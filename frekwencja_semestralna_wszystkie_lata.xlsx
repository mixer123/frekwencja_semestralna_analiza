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aśnienia" sheetId="1" state="visible" r:id="rId3"/>
    <sheet name="Dane szczegółowe" sheetId="2" state="visible" r:id="rId4"/>
    <sheet name="Pivot – Frekwencja %" sheetId="3" state="visible" r:id="rId5"/>
    <sheet name="Podsumowanie roczne" sheetId="4" state="visible" r:id="rId6"/>
    <sheet name="Uczniowie (zanonimizowani)" sheetId="5" state="visible" r:id="rId7"/>
    <sheet name="Odstający – podsumowani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<sst xmlns="http://schemas.openxmlformats.org/spreadsheetml/2006/main" count="24617" uniqueCount="993">
  <si>
    <t xml:space="preserve">Analiza frekwencji semestralnej — wszystkie klasy, wszystkie lata</t>
  </si>
  <si>
    <t xml:space="preserve">Zrodlo danych</t>
  </si>
  <si>
    <t xml:space="preserve">Arkusze zrodlowe: dane/frekw2020_2021.xlsx … dane/frekw2025_2026.xlsx (dziennik elektroniczny, wpisy frekwencji per lekcja).</t>
  </si>
  <si>
    <t xml:space="preserve">Zgodnie z analiza_v2_DASHBOARD_FINALNY.ipynb (komorka 5): z kazdego roku wykluczony jest sam 1 wrzesnia (filtr 'Data lekcji' &gt; 'RRRR-09-01', 1 wrzesnia wylacznie).</t>
  </si>
  <si>
    <t xml:space="preserve">Wzor frekwencji (zgodny z metodologia uzywana w projekcie — analiza_v2_DASHBOARD_FINALNY.ipynb)</t>
  </si>
  <si>
    <t xml:space="preserve">Frekwencja % = (Wszystkich wpisow − Nieobecnosci) / Wszystkich wpisow × 100</t>
  </si>
  <si>
    <t xml:space="preserve">Nieobecnosci = wpisy: 'nieobecność', 'nieob. uspraw.', 'nieob. uspr. p.s.'</t>
  </si>
  <si>
    <t xml:space="preserve">Do 'obecnosci' (nie liczone jako nieobecnosc) zaliczaja sie: 'obecność', 'nauka zdalna', 'spóźnienie', 'spóźn. uspr.', 'zwolniony' — tak jak w dotychczasowych dashboardach.</t>
  </si>
  <si>
    <t xml:space="preserve">Podzial na semestry</t>
  </si>
  <si>
    <t xml:space="preserve">W danych zrodlowych brak jawnej kolumny z numerem semestru — granice semestrow zostaly wyznaczone na podstawie przerwy w zajeciach (ferie zimowe) widocznej w datach lekcji w kazdym roku szkolnym:</t>
  </si>
  <si>
    <t xml:space="preserve">  2020/2021:  semestr I do 2020-12-22 (wlacznie)  •  semestr II od 2021-01-18 (wlacznie)</t>
  </si>
  <si>
    <t xml:space="preserve">  2021/2022:  semestr I do 2022-01-28 (wlacznie)  •  semestr II od 2022-02-14 (wlacznie)</t>
  </si>
  <si>
    <t xml:space="preserve">  2022/2023:  semestr I do 2023-02-10 (wlacznie)  •  semestr II od 2023-02-27 (wlacznie)</t>
  </si>
  <si>
    <t xml:space="preserve">  2023/2024:  semestr I do 2024-01-12 (wlacznie)  •  semestr II od 2024-01-29 (wlacznie)</t>
  </si>
  <si>
    <t xml:space="preserve">  2024/2025:  semestr I do 2024-12-20 (wlacznie)  •  semestr II od 2025-01-07 (wlacznie)</t>
  </si>
  <si>
    <t xml:space="preserve">  2025/2026:  semestr I do 2025-12-19 (wlacznie)  •  semestr II od 2026-01-07 (wlacznie)</t>
  </si>
  <si>
    <t xml:space="preserve">Zalozenie: klasyfikacja srodroczna przypada na koniec ostatniego tygodnia zajec przed feria zimowa, a semestr II zaczyna sie pierwszego dnia zajec po powrocie z ferii. Jesli szkola stosuje inna, formalnie ustalona date rady klasyfikacyjnej, granice na arkuszu 'Dane szczegolowe' mozna latwo skorygowac (kolumny 'Wszystkich wpisow' / 'Nieobecnosci' trzeba wtedy przeliczyc z danych zrodlowych).</t>
  </si>
  <si>
    <t xml:space="preserve">Klasy piate (numer klasy = 5)</t>
  </si>
  <si>
    <t xml:space="preserve">Tak jak w istniejacej analizie rocznej: dla klas piatych semestr II liczony jest tylko do 30 kwietnia danego roku szkolnego (koniec nauki w technikum 5-letnim).</t>
  </si>
  <si>
    <t xml:space="preserve">Uczniowie odstajacy (metoda IQR)</t>
  </si>
  <si>
    <t xml:space="preserve">Tak jak w analiza_v2_DASHBOARD_FINALNY.ipynb (komorki 18-19): dla kazdej klasy w kazdym semestrze liczymy Q1 i Q3 frekwencji uczniow, dolna granica = Q1 - 1,5*(Q3-Q1). Uczen ponizej tej granicy jest oznaczony jako odstajacy. Liczone osobno dla kazdego semestru (nie dla calego roku), wiec liczby moga sie roznic od rocznych dashboardow.</t>
  </si>
  <si>
    <t xml:space="preserve">Identyfikatory uczniow: SHA-256 z ta sama sola ("moja_szkola_2026") i ta sama funkcja co w notebooku - identyczne jak w rocznych dashboardach.</t>
  </si>
  <si>
    <t xml:space="preserve">Zawartosc skoroszytu</t>
  </si>
  <si>
    <t xml:space="preserve">•  Dane szczegółowe — jeden wiersz = klasa × rok szkolny × semestr, z liczbami wpisow i wyliczona frekwencja (formula).</t>
  </si>
  <si>
    <t xml:space="preserve">•  Pivot – Frekwencja % — macierz klasa × (rok szkolny, semestr), formuly INDEX/MATCH do arkusza 'Dane szczegółowe', z podswietleniem kolorem (czerwony = nizsza frekwencja, zielony = wyzsza).</t>
  </si>
  <si>
    <t xml:space="preserve">•  Podsumowanie roczne — srednia frekwencja calej szkoly w kazdym semestrze + roznica semestr I → II.</t>
  </si>
  <si>
    <t xml:space="preserve">•  Uczniowie (zanonimizowani) — jeden wiersz = uczen x klasa x semestr, z dolna granica IQR grupy i formula 'Odstajacy' (TAK/NIE).</t>
  </si>
  <si>
    <t xml:space="preserve">•  Odstający — podsumowanie — jeden wiersz = klasa x semestr: liczba uczniow, liczba odstajacych, % odstajacych, frekwencja z/bez odstajacych (wszystko formulami z arkusza 'Uczniowie').</t>
  </si>
  <si>
    <t xml:space="preserve">Dziennik (klasa)</t>
  </si>
  <si>
    <t xml:space="preserve">Rocznik</t>
  </si>
  <si>
    <t xml:space="preserve">Kierunek</t>
  </si>
  <si>
    <t xml:space="preserve">Rok szkolny</t>
  </si>
  <si>
    <t xml:space="preserve">Semestr</t>
  </si>
  <si>
    <t xml:space="preserve">Wszystkich wpisów</t>
  </si>
  <si>
    <t xml:space="preserve">Nieobecności</t>
  </si>
  <si>
    <t xml:space="preserve">Frekwencja %</t>
  </si>
  <si>
    <t xml:space="preserve">4TRM</t>
  </si>
  <si>
    <t xml:space="preserve">TRM</t>
  </si>
  <si>
    <t xml:space="preserve">2020/2021</t>
  </si>
  <si>
    <t xml:space="preserve">I</t>
  </si>
  <si>
    <t xml:space="preserve">II</t>
  </si>
  <si>
    <t xml:space="preserve">4TŻ</t>
  </si>
  <si>
    <t xml:space="preserve">TŻ</t>
  </si>
  <si>
    <t xml:space="preserve">3M</t>
  </si>
  <si>
    <t xml:space="preserve">M</t>
  </si>
  <si>
    <t xml:space="preserve">3TRM</t>
  </si>
  <si>
    <t xml:space="preserve">2021/2022</t>
  </si>
  <si>
    <t xml:space="preserve">3TŻ</t>
  </si>
  <si>
    <t xml:space="preserve">2MK</t>
  </si>
  <si>
    <t xml:space="preserve">MK</t>
  </si>
  <si>
    <t xml:space="preserve">3MK</t>
  </si>
  <si>
    <t xml:space="preserve">2RŻ5</t>
  </si>
  <si>
    <t xml:space="preserve">RŻ5</t>
  </si>
  <si>
    <t xml:space="preserve">3RŻ5</t>
  </si>
  <si>
    <t xml:space="preserve">4RŻ5</t>
  </si>
  <si>
    <t xml:space="preserve">2022/2023</t>
  </si>
  <si>
    <t xml:space="preserve">5RŻ5</t>
  </si>
  <si>
    <t xml:space="preserve">2023/2024</t>
  </si>
  <si>
    <t xml:space="preserve">2TM5</t>
  </si>
  <si>
    <t xml:space="preserve">TM5</t>
  </si>
  <si>
    <t xml:space="preserve">3TM5</t>
  </si>
  <si>
    <t xml:space="preserve">4TM5</t>
  </si>
  <si>
    <t xml:space="preserve">5TM5</t>
  </si>
  <si>
    <t xml:space="preserve">2TMR</t>
  </si>
  <si>
    <t xml:space="preserve">TMR</t>
  </si>
  <si>
    <t xml:space="preserve">3TMR</t>
  </si>
  <si>
    <t xml:space="preserve">4TMR</t>
  </si>
  <si>
    <t xml:space="preserve">2TR</t>
  </si>
  <si>
    <t xml:space="preserve">TR</t>
  </si>
  <si>
    <t xml:space="preserve">3TR</t>
  </si>
  <si>
    <t xml:space="preserve">4TR</t>
  </si>
  <si>
    <t xml:space="preserve">2TŻ</t>
  </si>
  <si>
    <t xml:space="preserve">1M</t>
  </si>
  <si>
    <t xml:space="preserve">2M</t>
  </si>
  <si>
    <t xml:space="preserve">1TM5</t>
  </si>
  <si>
    <t xml:space="preserve">2024/2025</t>
  </si>
  <si>
    <t xml:space="preserve">1TW5</t>
  </si>
  <si>
    <t xml:space="preserve">TW5</t>
  </si>
  <si>
    <t xml:space="preserve">2TW5</t>
  </si>
  <si>
    <t xml:space="preserve">3TW5</t>
  </si>
  <si>
    <t xml:space="preserve">4TW5</t>
  </si>
  <si>
    <t xml:space="preserve">5TW5</t>
  </si>
  <si>
    <t xml:space="preserve">1TŻ5</t>
  </si>
  <si>
    <t xml:space="preserve">TŻ5</t>
  </si>
  <si>
    <t xml:space="preserve">2TŻ5</t>
  </si>
  <si>
    <t xml:space="preserve">3TŻ5</t>
  </si>
  <si>
    <t xml:space="preserve">4TŻ5</t>
  </si>
  <si>
    <t xml:space="preserve">5TŻ5</t>
  </si>
  <si>
    <t xml:space="preserve">1RŻ5</t>
  </si>
  <si>
    <t xml:space="preserve">2025/2026</t>
  </si>
  <si>
    <t xml:space="preserve">1MK</t>
  </si>
  <si>
    <t xml:space="preserve">1TR5</t>
  </si>
  <si>
    <t xml:space="preserve">TR5</t>
  </si>
  <si>
    <t xml:space="preserve">2TR5</t>
  </si>
  <si>
    <t xml:space="preserve">3TR5</t>
  </si>
  <si>
    <t xml:space="preserve">4TR5</t>
  </si>
  <si>
    <t xml:space="preserve">1TMR</t>
  </si>
  <si>
    <t xml:space="preserve">1TR</t>
  </si>
  <si>
    <t xml:space="preserve">1TW</t>
  </si>
  <si>
    <t xml:space="preserve">TW</t>
  </si>
  <si>
    <t xml:space="preserve">2TW</t>
  </si>
  <si>
    <t xml:space="preserve">3TW</t>
  </si>
  <si>
    <t xml:space="preserve">1TŻ</t>
  </si>
  <si>
    <t xml:space="preserve">1RŻ</t>
  </si>
  <si>
    <t xml:space="preserve">RŻ</t>
  </si>
  <si>
    <t xml:space="preserve">2TMŻ</t>
  </si>
  <si>
    <t xml:space="preserve">TMŻ</t>
  </si>
  <si>
    <t xml:space="preserve">Klasa</t>
  </si>
  <si>
    <t xml:space="preserve">2020/2021 sem. I</t>
  </si>
  <si>
    <t xml:space="preserve">2020/2021 sem. II</t>
  </si>
  <si>
    <t xml:space="preserve">2021/2022 sem. I</t>
  </si>
  <si>
    <t xml:space="preserve">2021/2022 sem. II</t>
  </si>
  <si>
    <t xml:space="preserve">2022/2023 sem. I</t>
  </si>
  <si>
    <t xml:space="preserve">2022/2023 sem. II</t>
  </si>
  <si>
    <t xml:space="preserve">2023/2024 sem. I</t>
  </si>
  <si>
    <t xml:space="preserve">2023/2024 sem. II</t>
  </si>
  <si>
    <t xml:space="preserve">2024/2025 sem. I</t>
  </si>
  <si>
    <t xml:space="preserve">2024/2025 sem. II</t>
  </si>
  <si>
    <t xml:space="preserve">2025/2026 sem. I</t>
  </si>
  <si>
    <t xml:space="preserve">2025/2026 sem. II</t>
  </si>
  <si>
    <t xml:space="preserve">Średnia szkoły</t>
  </si>
  <si>
    <t xml:space="preserve">Średnia frekwencja szkoły %</t>
  </si>
  <si>
    <t xml:space="preserve">Liczba klas</t>
  </si>
  <si>
    <t xml:space="preserve">Najniższa frekwencja klasy %</t>
  </si>
  <si>
    <t xml:space="preserve">Najwyższa frekwencja klasy %</t>
  </si>
  <si>
    <t xml:space="preserve">ID ucznia</t>
  </si>
  <si>
    <t xml:space="preserve">Dziennik</t>
  </si>
  <si>
    <t xml:space="preserve">Dolna granica IQR (grupy)</t>
  </si>
  <si>
    <t xml:space="preserve">Odstający</t>
  </si>
  <si>
    <t xml:space="preserve">Nota: kolumna J ("Dolna granica IQR") to Q1 - 1,5*(Q3-Q1) frekwencji w danej grupie klasa x rok x semestr,</t>
  </si>
  <si>
    <t xml:space="preserve">02459A03BA</t>
  </si>
  <si>
    <t xml:space="preserve">wyliczona raz skryptem (jak w analiza_v2_DASHBOARD_FINALNY.ipynb) i wpisana jako wartosc - kolumna K jest juz formula porownujaca.</t>
  </si>
  <si>
    <t xml:space="preserve">0357F27F80</t>
  </si>
  <si>
    <t xml:space="preserve">0767EE8E89</t>
  </si>
  <si>
    <t xml:space="preserve">1D9E98524E</t>
  </si>
  <si>
    <t xml:space="preserve">232AD4E8C9</t>
  </si>
  <si>
    <t xml:space="preserve">286673718A</t>
  </si>
  <si>
    <t xml:space="preserve">2C93123F98</t>
  </si>
  <si>
    <t xml:space="preserve">3ADFC77172</t>
  </si>
  <si>
    <t xml:space="preserve">624B4E765C</t>
  </si>
  <si>
    <t xml:space="preserve">8E42C053AF</t>
  </si>
  <si>
    <t xml:space="preserve">94A48F07F3</t>
  </si>
  <si>
    <t xml:space="preserve">9FC8DBDC1F</t>
  </si>
  <si>
    <t xml:space="preserve">A5C7DFE9C7</t>
  </si>
  <si>
    <t xml:space="preserve">AD74740040</t>
  </si>
  <si>
    <t xml:space="preserve">B3AFBBA67D</t>
  </si>
  <si>
    <t xml:space="preserve">C630160C1B</t>
  </si>
  <si>
    <t xml:space="preserve">DA99693811</t>
  </si>
  <si>
    <t xml:space="preserve">DCCE998AEC</t>
  </si>
  <si>
    <t xml:space="preserve">DF0134FB0D</t>
  </si>
  <si>
    <t xml:space="preserve">E2BB2D889E</t>
  </si>
  <si>
    <t xml:space="preserve">E96AC2BAE5</t>
  </si>
  <si>
    <t xml:space="preserve">ECBBA9F231</t>
  </si>
  <si>
    <t xml:space="preserve">FBAD9EE13D</t>
  </si>
  <si>
    <t xml:space="preserve">1355F464F3</t>
  </si>
  <si>
    <t xml:space="preserve">1ABD146260</t>
  </si>
  <si>
    <t xml:space="preserve">23AA15079B</t>
  </si>
  <si>
    <t xml:space="preserve">2A7A109FC1</t>
  </si>
  <si>
    <t xml:space="preserve">2B087B0B93</t>
  </si>
  <si>
    <t xml:space="preserve">2E729F1909</t>
  </si>
  <si>
    <t xml:space="preserve">4D26E37014</t>
  </si>
  <si>
    <t xml:space="preserve">521B31C044</t>
  </si>
  <si>
    <t xml:space="preserve">66BAC8B0FB</t>
  </si>
  <si>
    <t xml:space="preserve">6C93547599</t>
  </si>
  <si>
    <t xml:space="preserve">70442E66EE</t>
  </si>
  <si>
    <t xml:space="preserve">837320BB2D</t>
  </si>
  <si>
    <t xml:space="preserve">911B688077</t>
  </si>
  <si>
    <t xml:space="preserve">979C822035</t>
  </si>
  <si>
    <t xml:space="preserve">9E02E259EF</t>
  </si>
  <si>
    <t xml:space="preserve">A24E9EE202</t>
  </si>
  <si>
    <t xml:space="preserve">A51C824D21</t>
  </si>
  <si>
    <t xml:space="preserve">A5EFD1F339</t>
  </si>
  <si>
    <t xml:space="preserve">BD1BA4D96B</t>
  </si>
  <si>
    <t xml:space="preserve">C51CF9550C</t>
  </si>
  <si>
    <t xml:space="preserve">CD18D65DC2</t>
  </si>
  <si>
    <t xml:space="preserve">D1998C1E01</t>
  </si>
  <si>
    <t xml:space="preserve">D36E445159</t>
  </si>
  <si>
    <t xml:space="preserve">E18F8FA243</t>
  </si>
  <si>
    <t xml:space="preserve">F723DB664A</t>
  </si>
  <si>
    <t xml:space="preserve">02CB7144BF</t>
  </si>
  <si>
    <t xml:space="preserve">0ABC0771A3</t>
  </si>
  <si>
    <t xml:space="preserve">1854C204D1</t>
  </si>
  <si>
    <t xml:space="preserve">4A18C2FE0D</t>
  </si>
  <si>
    <t xml:space="preserve">4B5DB17CBB</t>
  </si>
  <si>
    <t xml:space="preserve">642DC072EF</t>
  </si>
  <si>
    <t xml:space="preserve">7439102892</t>
  </si>
  <si>
    <t xml:space="preserve">BCA3E78DDC</t>
  </si>
  <si>
    <t xml:space="preserve">BE72B363BD</t>
  </si>
  <si>
    <t xml:space="preserve">C7FB626320</t>
  </si>
  <si>
    <t xml:space="preserve">D8B41478DC</t>
  </si>
  <si>
    <t xml:space="preserve">E74081EF47</t>
  </si>
  <si>
    <t xml:space="preserve">EEE5375052</t>
  </si>
  <si>
    <t xml:space="preserve">FB26D026EC</t>
  </si>
  <si>
    <t xml:space="preserve">015241F2DD</t>
  </si>
  <si>
    <t xml:space="preserve">10FEB95376</t>
  </si>
  <si>
    <t xml:space="preserve">1A496B7570</t>
  </si>
  <si>
    <t xml:space="preserve">1FD8036CC2</t>
  </si>
  <si>
    <t xml:space="preserve">257D09CDC9</t>
  </si>
  <si>
    <t xml:space="preserve">2B1A550806</t>
  </si>
  <si>
    <t xml:space="preserve">2CE8F40068</t>
  </si>
  <si>
    <t xml:space="preserve">2E1A037143</t>
  </si>
  <si>
    <t xml:space="preserve">3FB3605883</t>
  </si>
  <si>
    <t xml:space="preserve">56241B269D</t>
  </si>
  <si>
    <t xml:space="preserve">58F496ACD6</t>
  </si>
  <si>
    <t xml:space="preserve">7089F7F9F9</t>
  </si>
  <si>
    <t xml:space="preserve">74F2BFDEC5</t>
  </si>
  <si>
    <t xml:space="preserve">8056F5B3A4</t>
  </si>
  <si>
    <t xml:space="preserve">94255F7902</t>
  </si>
  <si>
    <t xml:space="preserve">9FE4F61582</t>
  </si>
  <si>
    <t xml:space="preserve">A01C564803</t>
  </si>
  <si>
    <t xml:space="preserve">A050011BBD</t>
  </si>
  <si>
    <t xml:space="preserve">A063112131</t>
  </si>
  <si>
    <t xml:space="preserve">A9D3790D80</t>
  </si>
  <si>
    <t xml:space="preserve">AC22054AD6</t>
  </si>
  <si>
    <t xml:space="preserve">AF3BC7449A</t>
  </si>
  <si>
    <t xml:space="preserve">CA42DF31B5</t>
  </si>
  <si>
    <t xml:space="preserve">CF3C47B9DD</t>
  </si>
  <si>
    <t xml:space="preserve">D1F55192B4</t>
  </si>
  <si>
    <t xml:space="preserve">D434B53014</t>
  </si>
  <si>
    <t xml:space="preserve">0B18314160</t>
  </si>
  <si>
    <t xml:space="preserve">1DF08397A3</t>
  </si>
  <si>
    <t xml:space="preserve">291C4FDA99</t>
  </si>
  <si>
    <t xml:space="preserve">30DF6A76FA</t>
  </si>
  <si>
    <t xml:space="preserve">3391182E41</t>
  </si>
  <si>
    <t xml:space="preserve">348980F580</t>
  </si>
  <si>
    <t xml:space="preserve">369DB789E2</t>
  </si>
  <si>
    <t xml:space="preserve">41C0AB41BD</t>
  </si>
  <si>
    <t xml:space="preserve">520D60BB38</t>
  </si>
  <si>
    <t xml:space="preserve">5D319672F5</t>
  </si>
  <si>
    <t xml:space="preserve">75806C1BE8</t>
  </si>
  <si>
    <t xml:space="preserve">788E54FCBB</t>
  </si>
  <si>
    <t xml:space="preserve">8737C252C9</t>
  </si>
  <si>
    <t xml:space="preserve">98F74E64FC</t>
  </si>
  <si>
    <t xml:space="preserve">A5E4246882</t>
  </si>
  <si>
    <t xml:space="preserve">BF0CAC2A2B</t>
  </si>
  <si>
    <t xml:space="preserve">CC60CF4F40</t>
  </si>
  <si>
    <t xml:space="preserve">E07E97C06C</t>
  </si>
  <si>
    <t xml:space="preserve">E7B255333C</t>
  </si>
  <si>
    <t xml:space="preserve">E9019AADC3</t>
  </si>
  <si>
    <t xml:space="preserve">05A142B6F6</t>
  </si>
  <si>
    <t xml:space="preserve">088F68FF6F</t>
  </si>
  <si>
    <t xml:space="preserve">0A24F61788</t>
  </si>
  <si>
    <t xml:space="preserve">0F5FAE8061</t>
  </si>
  <si>
    <t xml:space="preserve">16C4EB5A2F</t>
  </si>
  <si>
    <t xml:space="preserve">2C50C889E2</t>
  </si>
  <si>
    <t xml:space="preserve">3B160D52C1</t>
  </si>
  <si>
    <t xml:space="preserve">421106620E</t>
  </si>
  <si>
    <t xml:space="preserve">4774F13C22</t>
  </si>
  <si>
    <t xml:space="preserve">486C5794AF</t>
  </si>
  <si>
    <t xml:space="preserve">5775A823FA</t>
  </si>
  <si>
    <t xml:space="preserve">6C19BA77DD</t>
  </si>
  <si>
    <t xml:space="preserve">7724A35D33</t>
  </si>
  <si>
    <t xml:space="preserve">89EB038FD3</t>
  </si>
  <si>
    <t xml:space="preserve">9267F1FBF2</t>
  </si>
  <si>
    <t xml:space="preserve">9BEA0E0751</t>
  </si>
  <si>
    <t xml:space="preserve">A9A6A50612</t>
  </si>
  <si>
    <t xml:space="preserve">AE83FBCE6C</t>
  </si>
  <si>
    <t xml:space="preserve">B2165FD968</t>
  </si>
  <si>
    <t xml:space="preserve">BAEBBD0670</t>
  </si>
  <si>
    <t xml:space="preserve">BAEF2201A9</t>
  </si>
  <si>
    <t xml:space="preserve">D865EBCDD5</t>
  </si>
  <si>
    <t xml:space="preserve">DC95F13DF8</t>
  </si>
  <si>
    <t xml:space="preserve">F80D3A9DDE</t>
  </si>
  <si>
    <t xml:space="preserve">0023EFDB2E</t>
  </si>
  <si>
    <t xml:space="preserve">03697CB742</t>
  </si>
  <si>
    <t xml:space="preserve">069E18C595</t>
  </si>
  <si>
    <t xml:space="preserve">14319EA7C2</t>
  </si>
  <si>
    <t xml:space="preserve">1E12E6E73A</t>
  </si>
  <si>
    <t xml:space="preserve">1F159E3E9E</t>
  </si>
  <si>
    <t xml:space="preserve">30BBB22CB7</t>
  </si>
  <si>
    <t xml:space="preserve">42C6F17206</t>
  </si>
  <si>
    <t xml:space="preserve">432F9B143B</t>
  </si>
  <si>
    <t xml:space="preserve">5429C2BA59</t>
  </si>
  <si>
    <t xml:space="preserve">54C1680A6B</t>
  </si>
  <si>
    <t xml:space="preserve">5C24230BE6</t>
  </si>
  <si>
    <t xml:space="preserve">6419522A82</t>
  </si>
  <si>
    <t xml:space="preserve">699C40D03D</t>
  </si>
  <si>
    <t xml:space="preserve">702D690EDF</t>
  </si>
  <si>
    <t xml:space="preserve">71DE1067D6</t>
  </si>
  <si>
    <t xml:space="preserve">7276FFBF4E</t>
  </si>
  <si>
    <t xml:space="preserve">7284E44E67</t>
  </si>
  <si>
    <t xml:space="preserve">79B382A97F</t>
  </si>
  <si>
    <t xml:space="preserve">8DBEC938B6</t>
  </si>
  <si>
    <t xml:space="preserve">933047F475</t>
  </si>
  <si>
    <t xml:space="preserve">AF2BA1503D</t>
  </si>
  <si>
    <t xml:space="preserve">AFDB2301D6</t>
  </si>
  <si>
    <t xml:space="preserve">C10892CDD0</t>
  </si>
  <si>
    <t xml:space="preserve">C125F70583</t>
  </si>
  <si>
    <t xml:space="preserve">C1596BA96D</t>
  </si>
  <si>
    <t xml:space="preserve">CDFF9623C2</t>
  </si>
  <si>
    <t xml:space="preserve">D2339544C8</t>
  </si>
  <si>
    <t xml:space="preserve">EEF95A0E99</t>
  </si>
  <si>
    <t xml:space="preserve">FF65D504E1</t>
  </si>
  <si>
    <t xml:space="preserve">02DD9750C3</t>
  </si>
  <si>
    <t xml:space="preserve">0D08F75B41</t>
  </si>
  <si>
    <t xml:space="preserve">2935D10308</t>
  </si>
  <si>
    <t xml:space="preserve">2A67A029B7</t>
  </si>
  <si>
    <t xml:space="preserve">2CC79D8095</t>
  </si>
  <si>
    <t xml:space="preserve">2D31E81106</t>
  </si>
  <si>
    <t xml:space="preserve">2F536A29DF</t>
  </si>
  <si>
    <t xml:space="preserve">3EEA072A53</t>
  </si>
  <si>
    <t xml:space="preserve">4308B57EDC</t>
  </si>
  <si>
    <t xml:space="preserve">478A24481E</t>
  </si>
  <si>
    <t xml:space="preserve">77A84704B2</t>
  </si>
  <si>
    <t xml:space="preserve">7E6CEEF3DC</t>
  </si>
  <si>
    <t xml:space="preserve">89918C41A8</t>
  </si>
  <si>
    <t xml:space="preserve">95F89069D2</t>
  </si>
  <si>
    <t xml:space="preserve">981DF823A3</t>
  </si>
  <si>
    <t xml:space="preserve">A055A48265</t>
  </si>
  <si>
    <t xml:space="preserve">ACB36E88F0</t>
  </si>
  <si>
    <t xml:space="preserve">D1042AD297</t>
  </si>
  <si>
    <t xml:space="preserve">E17A875CD9</t>
  </si>
  <si>
    <t xml:space="preserve">E340CA8D80</t>
  </si>
  <si>
    <t xml:space="preserve">ED1D9CC0A8</t>
  </si>
  <si>
    <t xml:space="preserve">ED3D18923C</t>
  </si>
  <si>
    <t xml:space="preserve">096F753B79</t>
  </si>
  <si>
    <t xml:space="preserve">14B6C5205E</t>
  </si>
  <si>
    <t xml:space="preserve">1D5288FE1D</t>
  </si>
  <si>
    <t xml:space="preserve">1ED6F96AB3</t>
  </si>
  <si>
    <t xml:space="preserve">21B8C59A44</t>
  </si>
  <si>
    <t xml:space="preserve">394F7D11A9</t>
  </si>
  <si>
    <t xml:space="preserve">402213C4F3</t>
  </si>
  <si>
    <t xml:space="preserve">49413735A2</t>
  </si>
  <si>
    <t xml:space="preserve">4CBA89960B</t>
  </si>
  <si>
    <t xml:space="preserve">5EF68C3E6E</t>
  </si>
  <si>
    <t xml:space="preserve">65E5992ACF</t>
  </si>
  <si>
    <t xml:space="preserve">75BCF6123B</t>
  </si>
  <si>
    <t xml:space="preserve">7F4CB815A8</t>
  </si>
  <si>
    <t xml:space="preserve">80E394C666</t>
  </si>
  <si>
    <t xml:space="preserve">8690EEB1EC</t>
  </si>
  <si>
    <t xml:space="preserve">93D256FC07</t>
  </si>
  <si>
    <t xml:space="preserve">AB36F4F854</t>
  </si>
  <si>
    <t xml:space="preserve">B0E4E530DF</t>
  </si>
  <si>
    <t xml:space="preserve">B1DAE414EE</t>
  </si>
  <si>
    <t xml:space="preserve">D0B043A863</t>
  </si>
  <si>
    <t xml:space="preserve">E410EA4AA0</t>
  </si>
  <si>
    <t xml:space="preserve">E95392B68D</t>
  </si>
  <si>
    <t xml:space="preserve">00C580FC9A</t>
  </si>
  <si>
    <t xml:space="preserve">09A529FDC0</t>
  </si>
  <si>
    <t xml:space="preserve">0ADA3C8421</t>
  </si>
  <si>
    <t xml:space="preserve">1B2ECF62C7</t>
  </si>
  <si>
    <t xml:space="preserve">290D76477F</t>
  </si>
  <si>
    <t xml:space="preserve">29F1C292A9</t>
  </si>
  <si>
    <t xml:space="preserve">4E295DB4FC</t>
  </si>
  <si>
    <t xml:space="preserve">60D75D8E9E</t>
  </si>
  <si>
    <t xml:space="preserve">78E13599CC</t>
  </si>
  <si>
    <t xml:space="preserve">909EBF6B5C</t>
  </si>
  <si>
    <t xml:space="preserve">94BEC0E385</t>
  </si>
  <si>
    <t xml:space="preserve">9D36A4CFD3</t>
  </si>
  <si>
    <t xml:space="preserve">9DD27E96D5</t>
  </si>
  <si>
    <t xml:space="preserve">B197725529</t>
  </si>
  <si>
    <t xml:space="preserve">B7263F326B</t>
  </si>
  <si>
    <t xml:space="preserve">CFC3AF337C</t>
  </si>
  <si>
    <t xml:space="preserve">D0A43425CF</t>
  </si>
  <si>
    <t xml:space="preserve">D794F30524</t>
  </si>
  <si>
    <t xml:space="preserve">0D4CB53859</t>
  </si>
  <si>
    <t xml:space="preserve">1048C1C498</t>
  </si>
  <si>
    <t xml:space="preserve">13ADCA38B2</t>
  </si>
  <si>
    <t xml:space="preserve">2156D0BBCA</t>
  </si>
  <si>
    <t xml:space="preserve">26F80B74C7</t>
  </si>
  <si>
    <t xml:space="preserve">397130F9AE</t>
  </si>
  <si>
    <t xml:space="preserve">5A3CF0FEF9</t>
  </si>
  <si>
    <t xml:space="preserve">6C519C7383</t>
  </si>
  <si>
    <t xml:space="preserve">70D01B4E57</t>
  </si>
  <si>
    <t xml:space="preserve">725BA0FCB7</t>
  </si>
  <si>
    <t xml:space="preserve">7E158F2113</t>
  </si>
  <si>
    <t xml:space="preserve">8F81E96C5D</t>
  </si>
  <si>
    <t xml:space="preserve">994C98B017</t>
  </si>
  <si>
    <t xml:space="preserve">9F7BEA7335</t>
  </si>
  <si>
    <t xml:space="preserve">AEBF7833E6</t>
  </si>
  <si>
    <t xml:space="preserve">B0EC980C63</t>
  </si>
  <si>
    <t xml:space="preserve">B50C514E41</t>
  </si>
  <si>
    <t xml:space="preserve">BBA95893A2</t>
  </si>
  <si>
    <t xml:space="preserve">BE7B9BDC1A</t>
  </si>
  <si>
    <t xml:space="preserve">C0022E02DA</t>
  </si>
  <si>
    <t xml:space="preserve">CDE1F65A8C</t>
  </si>
  <si>
    <t xml:space="preserve">F4A043FB46</t>
  </si>
  <si>
    <t xml:space="preserve">FEE9305EE8</t>
  </si>
  <si>
    <t xml:space="preserve">08B5634E90</t>
  </si>
  <si>
    <t xml:space="preserve">1353AF652A</t>
  </si>
  <si>
    <t xml:space="preserve">2072B8A93F</t>
  </si>
  <si>
    <t xml:space="preserve">2749F8FF3A</t>
  </si>
  <si>
    <t xml:space="preserve">27505A1520</t>
  </si>
  <si>
    <t xml:space="preserve">5FF9AC7EA8</t>
  </si>
  <si>
    <t xml:space="preserve">755B2B8872</t>
  </si>
  <si>
    <t xml:space="preserve">7AC8AB8A05</t>
  </si>
  <si>
    <t xml:space="preserve">91AD19B797</t>
  </si>
  <si>
    <t xml:space="preserve">B2A1CAF44C</t>
  </si>
  <si>
    <t xml:space="preserve">C1F755A6E5</t>
  </si>
  <si>
    <t xml:space="preserve">C86788ACA3</t>
  </si>
  <si>
    <t xml:space="preserve">EB0C6FBCBF</t>
  </si>
  <si>
    <t xml:space="preserve">F4A86127E1</t>
  </si>
  <si>
    <t xml:space="preserve">FED285A429</t>
  </si>
  <si>
    <t xml:space="preserve">3D708695C3</t>
  </si>
  <si>
    <t xml:space="preserve">5BC6EDC0F8</t>
  </si>
  <si>
    <t xml:space="preserve">094EE79A92</t>
  </si>
  <si>
    <t xml:space="preserve">4C3CEB11E6</t>
  </si>
  <si>
    <t xml:space="preserve">5AFBF18368</t>
  </si>
  <si>
    <t xml:space="preserve">5B124AA943</t>
  </si>
  <si>
    <t xml:space="preserve">63B7A4F8BE</t>
  </si>
  <si>
    <t xml:space="preserve">69B1AB95F7</t>
  </si>
  <si>
    <t xml:space="preserve">6F984271FD</t>
  </si>
  <si>
    <t xml:space="preserve">76B27B3D5C</t>
  </si>
  <si>
    <t xml:space="preserve">7D9306E51F</t>
  </si>
  <si>
    <t xml:space="preserve">922C6FF356</t>
  </si>
  <si>
    <t xml:space="preserve">97EC186A2A</t>
  </si>
  <si>
    <t xml:space="preserve">99D7E8DBE9</t>
  </si>
  <si>
    <t xml:space="preserve">A2B9CCBA47</t>
  </si>
  <si>
    <t xml:space="preserve">A4FF3FD673</t>
  </si>
  <si>
    <t xml:space="preserve">BBD752E677</t>
  </si>
  <si>
    <t xml:space="preserve">C05978F027</t>
  </si>
  <si>
    <t xml:space="preserve">E9702359F6</t>
  </si>
  <si>
    <t xml:space="preserve">EA68223CB9</t>
  </si>
  <si>
    <t xml:space="preserve">F65658C34D</t>
  </si>
  <si>
    <t xml:space="preserve">FE417FF3C3</t>
  </si>
  <si>
    <t xml:space="preserve">FECF8CE156</t>
  </si>
  <si>
    <t xml:space="preserve">03C943D3F8</t>
  </si>
  <si>
    <t xml:space="preserve">055EE1BDCB</t>
  </si>
  <si>
    <t xml:space="preserve">0C450DAFF1</t>
  </si>
  <si>
    <t xml:space="preserve">0DD7ADDAF3</t>
  </si>
  <si>
    <t xml:space="preserve">210E90C9E4</t>
  </si>
  <si>
    <t xml:space="preserve">477DE3B96F</t>
  </si>
  <si>
    <t xml:space="preserve">5D8D20A0D2</t>
  </si>
  <si>
    <t xml:space="preserve">617DE9606E</t>
  </si>
  <si>
    <t xml:space="preserve">AAB60024F5</t>
  </si>
  <si>
    <t xml:space="preserve">B6F4709A1D</t>
  </si>
  <si>
    <t xml:space="preserve">C7A3D50E34</t>
  </si>
  <si>
    <t xml:space="preserve">DA07B49568</t>
  </si>
  <si>
    <t xml:space="preserve">E45666FE1F</t>
  </si>
  <si>
    <t xml:space="preserve">EE75A467A8</t>
  </si>
  <si>
    <t xml:space="preserve">1CD1A2B0B8</t>
  </si>
  <si>
    <t xml:space="preserve">316DDD1940</t>
  </si>
  <si>
    <t xml:space="preserve">3F0C7DC0DA</t>
  </si>
  <si>
    <t xml:space="preserve">53E89434AB</t>
  </si>
  <si>
    <t xml:space="preserve">65F25A395E</t>
  </si>
  <si>
    <t xml:space="preserve">6A5DE94F49</t>
  </si>
  <si>
    <t xml:space="preserve">7BEA62D88E</t>
  </si>
  <si>
    <t xml:space="preserve">94858C34A4</t>
  </si>
  <si>
    <t xml:space="preserve">B33F428A33</t>
  </si>
  <si>
    <t xml:space="preserve">B76800681B</t>
  </si>
  <si>
    <t xml:space="preserve">CAA32635AA</t>
  </si>
  <si>
    <t xml:space="preserve">CD95F36AEF</t>
  </si>
  <si>
    <t xml:space="preserve">D1F6555E9E</t>
  </si>
  <si>
    <t xml:space="preserve">F4DC8F8F90</t>
  </si>
  <si>
    <t xml:space="preserve">F669A1508D</t>
  </si>
  <si>
    <t xml:space="preserve">17344874FB</t>
  </si>
  <si>
    <t xml:space="preserve">23B466CB9C</t>
  </si>
  <si>
    <t xml:space="preserve">2F76542913</t>
  </si>
  <si>
    <t xml:space="preserve">4C878E2137</t>
  </si>
  <si>
    <t xml:space="preserve">50F2073D82</t>
  </si>
  <si>
    <t xml:space="preserve">576D777D09</t>
  </si>
  <si>
    <t xml:space="preserve">6D2F52EE76</t>
  </si>
  <si>
    <t xml:space="preserve">798DC9DE87</t>
  </si>
  <si>
    <t xml:space="preserve">AAD0D74132</t>
  </si>
  <si>
    <t xml:space="preserve">DA27AACFA2</t>
  </si>
  <si>
    <t xml:space="preserve">DD78E090BB</t>
  </si>
  <si>
    <t xml:space="preserve">EAB7582532</t>
  </si>
  <si>
    <t xml:space="preserve">EE908F587C</t>
  </si>
  <si>
    <t xml:space="preserve">F70FE5F380</t>
  </si>
  <si>
    <t xml:space="preserve">A32EE5D48C</t>
  </si>
  <si>
    <t xml:space="preserve">0490095064</t>
  </si>
  <si>
    <t xml:space="preserve">0CD2C2F095</t>
  </si>
  <si>
    <t xml:space="preserve">0CE48860EC</t>
  </si>
  <si>
    <t xml:space="preserve">148C0370A4</t>
  </si>
  <si>
    <t xml:space="preserve">24D99A2B7A</t>
  </si>
  <si>
    <t xml:space="preserve">2BA49A7C8B</t>
  </si>
  <si>
    <t xml:space="preserve">2FCEEB36B4</t>
  </si>
  <si>
    <t xml:space="preserve">364AC08BBB</t>
  </si>
  <si>
    <t xml:space="preserve">4320458CF7</t>
  </si>
  <si>
    <t xml:space="preserve">462B7DB5AC</t>
  </si>
  <si>
    <t xml:space="preserve">4A5260C8A8</t>
  </si>
  <si>
    <t xml:space="preserve">4C8E4F7251</t>
  </si>
  <si>
    <t xml:space="preserve">4E6BB3D870</t>
  </si>
  <si>
    <t xml:space="preserve">66502486E7</t>
  </si>
  <si>
    <t xml:space="preserve">68AE683B15</t>
  </si>
  <si>
    <t xml:space="preserve">710C25351D</t>
  </si>
  <si>
    <t xml:space="preserve">77BCAF0666</t>
  </si>
  <si>
    <t xml:space="preserve">7BE43D717C</t>
  </si>
  <si>
    <t xml:space="preserve">A33AD07A65</t>
  </si>
  <si>
    <t xml:space="preserve">A6CF67BD9C</t>
  </si>
  <si>
    <t xml:space="preserve">AAFB3DEEC6</t>
  </si>
  <si>
    <t xml:space="preserve">B09CA92364</t>
  </si>
  <si>
    <t xml:space="preserve">BA84B0307B</t>
  </si>
  <si>
    <t xml:space="preserve">DA41FA6CC6</t>
  </si>
  <si>
    <t xml:space="preserve">DE218F00E2</t>
  </si>
  <si>
    <t xml:space="preserve">E50314B097</t>
  </si>
  <si>
    <t xml:space="preserve">EDBFEDF588</t>
  </si>
  <si>
    <t xml:space="preserve">F54B1333DB</t>
  </si>
  <si>
    <t xml:space="preserve">03B870C824</t>
  </si>
  <si>
    <t xml:space="preserve">0748FBFDF1</t>
  </si>
  <si>
    <t xml:space="preserve">22632D84EA</t>
  </si>
  <si>
    <t xml:space="preserve">2EBEDF82B0</t>
  </si>
  <si>
    <t xml:space="preserve">3E20351F69</t>
  </si>
  <si>
    <t xml:space="preserve">4AFFD105F3</t>
  </si>
  <si>
    <t xml:space="preserve">59151983BF</t>
  </si>
  <si>
    <t xml:space="preserve">5C6CD666D0</t>
  </si>
  <si>
    <t xml:space="preserve">61570FA665</t>
  </si>
  <si>
    <t xml:space="preserve">70D1C5E5D0</t>
  </si>
  <si>
    <t xml:space="preserve">7401216D63</t>
  </si>
  <si>
    <t xml:space="preserve">880D7072AF</t>
  </si>
  <si>
    <t xml:space="preserve">9ADFEF334F</t>
  </si>
  <si>
    <t xml:space="preserve">9E8DAA8C13</t>
  </si>
  <si>
    <t xml:space="preserve">ADDA34429D</t>
  </si>
  <si>
    <t xml:space="preserve">AE5812FBE6</t>
  </si>
  <si>
    <t xml:space="preserve">B32B6054AC</t>
  </si>
  <si>
    <t xml:space="preserve">B46655A1FC</t>
  </si>
  <si>
    <t xml:space="preserve">BB6E69215D</t>
  </si>
  <si>
    <t xml:space="preserve">C7B1ECD44B</t>
  </si>
  <si>
    <t xml:space="preserve">C96A7542B5</t>
  </si>
  <si>
    <t xml:space="preserve">D00D53FBB5</t>
  </si>
  <si>
    <t xml:space="preserve">FCA47D9B1F</t>
  </si>
  <si>
    <t xml:space="preserve">02A96D4364</t>
  </si>
  <si>
    <t xml:space="preserve">0656150466</t>
  </si>
  <si>
    <t xml:space="preserve">165732F5D0</t>
  </si>
  <si>
    <t xml:space="preserve">18B645D5CA</t>
  </si>
  <si>
    <t xml:space="preserve">1E452F8B76</t>
  </si>
  <si>
    <t xml:space="preserve">233DC37A1E</t>
  </si>
  <si>
    <t xml:space="preserve">248AC7111A</t>
  </si>
  <si>
    <t xml:space="preserve">28ACFEDFE8</t>
  </si>
  <si>
    <t xml:space="preserve">33C5CA820C</t>
  </si>
  <si>
    <t xml:space="preserve">49DA0EE07B</t>
  </si>
  <si>
    <t xml:space="preserve">560FDC2DD7</t>
  </si>
  <si>
    <t xml:space="preserve">571C54E9D3</t>
  </si>
  <si>
    <t xml:space="preserve">61A03F2675</t>
  </si>
  <si>
    <t xml:space="preserve">68E4E95E90</t>
  </si>
  <si>
    <t xml:space="preserve">75ABBFEA09</t>
  </si>
  <si>
    <t xml:space="preserve">8BC40F0707</t>
  </si>
  <si>
    <t xml:space="preserve">B4C93EDD81</t>
  </si>
  <si>
    <t xml:space="preserve">B4D7441CB9</t>
  </si>
  <si>
    <t xml:space="preserve">B70D910674</t>
  </si>
  <si>
    <t xml:space="preserve">CB69E274F4</t>
  </si>
  <si>
    <t xml:space="preserve">CCA3BB568F</t>
  </si>
  <si>
    <t xml:space="preserve">D88AD7F31B</t>
  </si>
  <si>
    <t xml:space="preserve">FD77904472</t>
  </si>
  <si>
    <t xml:space="preserve">FFCC9F97F3</t>
  </si>
  <si>
    <t xml:space="preserve">03C33EFC61</t>
  </si>
  <si>
    <t xml:space="preserve">11E26BD505</t>
  </si>
  <si>
    <t xml:space="preserve">1939788789</t>
  </si>
  <si>
    <t xml:space="preserve">1989F40E9B</t>
  </si>
  <si>
    <t xml:space="preserve">1B7B63E233</t>
  </si>
  <si>
    <t xml:space="preserve">1BBBDED4D9</t>
  </si>
  <si>
    <t xml:space="preserve">21CCB31218</t>
  </si>
  <si>
    <t xml:space="preserve">381F85F9FF</t>
  </si>
  <si>
    <t xml:space="preserve">38E81BD51F</t>
  </si>
  <si>
    <t xml:space="preserve">43D4B728D8</t>
  </si>
  <si>
    <t xml:space="preserve">4A135655CB</t>
  </si>
  <si>
    <t xml:space="preserve">526B8D0E54</t>
  </si>
  <si>
    <t xml:space="preserve">5FBDF98D17</t>
  </si>
  <si>
    <t xml:space="preserve">62413E47C4</t>
  </si>
  <si>
    <t xml:space="preserve">67D8901050</t>
  </si>
  <si>
    <t xml:space="preserve">6A32292DA6</t>
  </si>
  <si>
    <t xml:space="preserve">6B7829B31D</t>
  </si>
  <si>
    <t xml:space="preserve">72420DFAAD</t>
  </si>
  <si>
    <t xml:space="preserve">729F5EF90C</t>
  </si>
  <si>
    <t xml:space="preserve">8B04FD22EE</t>
  </si>
  <si>
    <t xml:space="preserve">9DDA40F2D9</t>
  </si>
  <si>
    <t xml:space="preserve">A393E1AC9E</t>
  </si>
  <si>
    <t xml:space="preserve">A4D32F1059</t>
  </si>
  <si>
    <t xml:space="preserve">A8C178CF82</t>
  </si>
  <si>
    <t xml:space="preserve">AAE67D0085</t>
  </si>
  <si>
    <t xml:space="preserve">B6F6633122</t>
  </si>
  <si>
    <t xml:space="preserve">B98B27894E</t>
  </si>
  <si>
    <t xml:space="preserve">C3B8B9BAB3</t>
  </si>
  <si>
    <t xml:space="preserve">D110BB1996</t>
  </si>
  <si>
    <t xml:space="preserve">E6ACE753C1</t>
  </si>
  <si>
    <t xml:space="preserve">E925A2C893</t>
  </si>
  <si>
    <t xml:space="preserve">E9C891E3F0</t>
  </si>
  <si>
    <t xml:space="preserve">EF2B9A0982</t>
  </si>
  <si>
    <t xml:space="preserve">481520C19E</t>
  </si>
  <si>
    <t xml:space="preserve">33CA88648C</t>
  </si>
  <si>
    <t xml:space="preserve">932CFAC66E</t>
  </si>
  <si>
    <t xml:space="preserve">96EE3C15E6</t>
  </si>
  <si>
    <t xml:space="preserve">FD80E9E40A</t>
  </si>
  <si>
    <t xml:space="preserve">36C712836D</t>
  </si>
  <si>
    <t xml:space="preserve">41B03EE727</t>
  </si>
  <si>
    <t xml:space="preserve">4377BA6D39</t>
  </si>
  <si>
    <t xml:space="preserve">4EB5ED671B</t>
  </si>
  <si>
    <t xml:space="preserve">52DA85C107</t>
  </si>
  <si>
    <t xml:space="preserve">58C6C49BB3</t>
  </si>
  <si>
    <t xml:space="preserve">5F9041FF2E</t>
  </si>
  <si>
    <t xml:space="preserve">634A361DE2</t>
  </si>
  <si>
    <t xml:space="preserve">6CBA33ABB7</t>
  </si>
  <si>
    <t xml:space="preserve">6DD30301DF</t>
  </si>
  <si>
    <t xml:space="preserve">70D67517C5</t>
  </si>
  <si>
    <t xml:space="preserve">805DEAEF7F</t>
  </si>
  <si>
    <t xml:space="preserve">809530C18F</t>
  </si>
  <si>
    <t xml:space="preserve">914E65548B</t>
  </si>
  <si>
    <t xml:space="preserve">92FDDFBFA6</t>
  </si>
  <si>
    <t xml:space="preserve">9EE013BC2A</t>
  </si>
  <si>
    <t xml:space="preserve">A976A8F4A3</t>
  </si>
  <si>
    <t xml:space="preserve">ABAF891FDF</t>
  </si>
  <si>
    <t xml:space="preserve">BCC2D2097C</t>
  </si>
  <si>
    <t xml:space="preserve">BF6AEF8C61</t>
  </si>
  <si>
    <t xml:space="preserve">C23F7A58D4</t>
  </si>
  <si>
    <t xml:space="preserve">E0485821C4</t>
  </si>
  <si>
    <t xml:space="preserve">F9B70B42DE</t>
  </si>
  <si>
    <t xml:space="preserve">044A58D6C2</t>
  </si>
  <si>
    <t xml:space="preserve">0F4BB60648</t>
  </si>
  <si>
    <t xml:space="preserve">13CE1DABEB</t>
  </si>
  <si>
    <t xml:space="preserve">1D9D01C457</t>
  </si>
  <si>
    <t xml:space="preserve">4011B2C987</t>
  </si>
  <si>
    <t xml:space="preserve">41F56EF605</t>
  </si>
  <si>
    <t xml:space="preserve">46A969DD52</t>
  </si>
  <si>
    <t xml:space="preserve">50229D065B</t>
  </si>
  <si>
    <t xml:space="preserve">55F0BD5C16</t>
  </si>
  <si>
    <t xml:space="preserve">5C6D35477D</t>
  </si>
  <si>
    <t xml:space="preserve">68E2A088B6</t>
  </si>
  <si>
    <t xml:space="preserve">833480A4AE</t>
  </si>
  <si>
    <t xml:space="preserve">8EBF83DFD8</t>
  </si>
  <si>
    <t xml:space="preserve">93DC931EBD</t>
  </si>
  <si>
    <t xml:space="preserve">A5DD142A01</t>
  </si>
  <si>
    <t xml:space="preserve">B52D84287A</t>
  </si>
  <si>
    <t xml:space="preserve">D3891B2179</t>
  </si>
  <si>
    <t xml:space="preserve">DA56C1A81C</t>
  </si>
  <si>
    <t xml:space="preserve">DF23FFC8E4</t>
  </si>
  <si>
    <t xml:space="preserve">ECCDE89550</t>
  </si>
  <si>
    <t xml:space="preserve">EFA14EF01D</t>
  </si>
  <si>
    <t xml:space="preserve">0427C2D88E</t>
  </si>
  <si>
    <t xml:space="preserve">06AAE9D41A</t>
  </si>
  <si>
    <t xml:space="preserve">0A5820F136</t>
  </si>
  <si>
    <t xml:space="preserve">143CD130AC</t>
  </si>
  <si>
    <t xml:space="preserve">14ED939C17</t>
  </si>
  <si>
    <t xml:space="preserve">1EC41D38ED</t>
  </si>
  <si>
    <t xml:space="preserve">3E9D14C704</t>
  </si>
  <si>
    <t xml:space="preserve">61981B857B</t>
  </si>
  <si>
    <t xml:space="preserve">63304A2953</t>
  </si>
  <si>
    <t xml:space="preserve">868BCE38C8</t>
  </si>
  <si>
    <t xml:space="preserve">86DD174670</t>
  </si>
  <si>
    <t xml:space="preserve">912AAEFE58</t>
  </si>
  <si>
    <t xml:space="preserve">9E86A0D961</t>
  </si>
  <si>
    <t xml:space="preserve">A4308F8625</t>
  </si>
  <si>
    <t xml:space="preserve">AC16C22BDD</t>
  </si>
  <si>
    <t xml:space="preserve">B1071E9DB8</t>
  </si>
  <si>
    <t xml:space="preserve">BCDF4B5EE6</t>
  </si>
  <si>
    <t xml:space="preserve">BD9FD4EA6A</t>
  </si>
  <si>
    <t xml:space="preserve">BFCF86F28B</t>
  </si>
  <si>
    <t xml:space="preserve">D7DADAF72A</t>
  </si>
  <si>
    <t xml:space="preserve">D918AC2E73</t>
  </si>
  <si>
    <t xml:space="preserve">DF2B80C13B</t>
  </si>
  <si>
    <t xml:space="preserve">F2011A4FA9</t>
  </si>
  <si>
    <t xml:space="preserve">F98002DD2C</t>
  </si>
  <si>
    <t xml:space="preserve">05B54DD7BE</t>
  </si>
  <si>
    <t xml:space="preserve">063B395E1D</t>
  </si>
  <si>
    <t xml:space="preserve">069590C5EC</t>
  </si>
  <si>
    <t xml:space="preserve">098E54F2D6</t>
  </si>
  <si>
    <t xml:space="preserve">1042F42DEB</t>
  </si>
  <si>
    <t xml:space="preserve">22C34241E7</t>
  </si>
  <si>
    <t xml:space="preserve">27BA702978</t>
  </si>
  <si>
    <t xml:space="preserve">2BDBFBD70A</t>
  </si>
  <si>
    <t xml:space="preserve">39BFA1F088</t>
  </si>
  <si>
    <t xml:space="preserve">41A63133E1</t>
  </si>
  <si>
    <t xml:space="preserve">4D4FDC4D2A</t>
  </si>
  <si>
    <t xml:space="preserve">8767095DDE</t>
  </si>
  <si>
    <t xml:space="preserve">8879A5BF84</t>
  </si>
  <si>
    <t xml:space="preserve">8D3840E19A</t>
  </si>
  <si>
    <t xml:space="preserve">ADF7C128AD</t>
  </si>
  <si>
    <t xml:space="preserve">B9EBD3E3C1</t>
  </si>
  <si>
    <t xml:space="preserve">BD9AE7DA74</t>
  </si>
  <si>
    <t xml:space="preserve">C8DD5EAF9C</t>
  </si>
  <si>
    <t xml:space="preserve">C9477A3132</t>
  </si>
  <si>
    <t xml:space="preserve">DE8BA4B295</t>
  </si>
  <si>
    <t xml:space="preserve">EBDE48A309</t>
  </si>
  <si>
    <t xml:space="preserve">EFFA4DE729</t>
  </si>
  <si>
    <t xml:space="preserve">FF82200A74</t>
  </si>
  <si>
    <t xml:space="preserve">143CF7F3FD</t>
  </si>
  <si>
    <t xml:space="preserve">085EB0C6C4</t>
  </si>
  <si>
    <t xml:space="preserve">10993B78D2</t>
  </si>
  <si>
    <t xml:space="preserve">12FDA82E23</t>
  </si>
  <si>
    <t xml:space="preserve">257A597D9B</t>
  </si>
  <si>
    <t xml:space="preserve">39CF3DB037</t>
  </si>
  <si>
    <t xml:space="preserve">4BE6E13535</t>
  </si>
  <si>
    <t xml:space="preserve">65A4222506</t>
  </si>
  <si>
    <t xml:space="preserve">85CA4B4F29</t>
  </si>
  <si>
    <t xml:space="preserve">87216BCB66</t>
  </si>
  <si>
    <t xml:space="preserve">874DBAED47</t>
  </si>
  <si>
    <t xml:space="preserve">88EE17D191</t>
  </si>
  <si>
    <t xml:space="preserve">8C8C00CDD5</t>
  </si>
  <si>
    <t xml:space="preserve">99F95E06E6</t>
  </si>
  <si>
    <t xml:space="preserve">A510329A5F</t>
  </si>
  <si>
    <t xml:space="preserve">AD6BE5923B</t>
  </si>
  <si>
    <t xml:space="preserve">B66642A93B</t>
  </si>
  <si>
    <t xml:space="preserve">C181DD9ACF</t>
  </si>
  <si>
    <t xml:space="preserve">CE5ADB47E8</t>
  </si>
  <si>
    <t xml:space="preserve">DB30796B43</t>
  </si>
  <si>
    <t xml:space="preserve">E50B981424</t>
  </si>
  <si>
    <t xml:space="preserve">E8E3451C4A</t>
  </si>
  <si>
    <t xml:space="preserve">FC9BA2641A</t>
  </si>
  <si>
    <t xml:space="preserve">907867E9B4</t>
  </si>
  <si>
    <t xml:space="preserve">9095074A0F</t>
  </si>
  <si>
    <t xml:space="preserve">BE7BEC9A8C</t>
  </si>
  <si>
    <t xml:space="preserve">A1CE292364</t>
  </si>
  <si>
    <t xml:space="preserve">0244E1B6BF</t>
  </si>
  <si>
    <t xml:space="preserve">C107B7F21D</t>
  </si>
  <si>
    <t xml:space="preserve">03AEB33741</t>
  </si>
  <si>
    <t xml:space="preserve">083910DC52</t>
  </si>
  <si>
    <t xml:space="preserve">23DB6BD902</t>
  </si>
  <si>
    <t xml:space="preserve">2954C52C82</t>
  </si>
  <si>
    <t xml:space="preserve">3F27E14055</t>
  </si>
  <si>
    <t xml:space="preserve">5BF2808B10</t>
  </si>
  <si>
    <t xml:space="preserve">712F3B6D7F</t>
  </si>
  <si>
    <t xml:space="preserve">7700936E4E</t>
  </si>
  <si>
    <t xml:space="preserve">7811B2DBCC</t>
  </si>
  <si>
    <t xml:space="preserve">940BF22883</t>
  </si>
  <si>
    <t xml:space="preserve">98FEAB8F76</t>
  </si>
  <si>
    <t xml:space="preserve">A1243AB615</t>
  </si>
  <si>
    <t xml:space="preserve">A4A36B4E09</t>
  </si>
  <si>
    <t xml:space="preserve">A9E9EC6594</t>
  </si>
  <si>
    <t xml:space="preserve">B1DDFEEBB0</t>
  </si>
  <si>
    <t xml:space="preserve">B26C8B7C69</t>
  </si>
  <si>
    <t xml:space="preserve">B39E849D14</t>
  </si>
  <si>
    <t xml:space="preserve">B7C8567112</t>
  </si>
  <si>
    <t xml:space="preserve">CA401B47ED</t>
  </si>
  <si>
    <t xml:space="preserve">D390D5A596</t>
  </si>
  <si>
    <t xml:space="preserve">D4C0C869C8</t>
  </si>
  <si>
    <t xml:space="preserve">D599412EEA</t>
  </si>
  <si>
    <t xml:space="preserve">F8B50A8344</t>
  </si>
  <si>
    <t xml:space="preserve">FD2C74DB5D</t>
  </si>
  <si>
    <t xml:space="preserve">0373CBE4B4</t>
  </si>
  <si>
    <t xml:space="preserve">07A57A079B</t>
  </si>
  <si>
    <t xml:space="preserve">160687C9FD</t>
  </si>
  <si>
    <t xml:space="preserve">161607D752</t>
  </si>
  <si>
    <t xml:space="preserve">1CBC1F0E57</t>
  </si>
  <si>
    <t xml:space="preserve">24B2C50FF5</t>
  </si>
  <si>
    <t xml:space="preserve">24DB2A060B</t>
  </si>
  <si>
    <t xml:space="preserve">35C4CA1854</t>
  </si>
  <si>
    <t xml:space="preserve">362BA9762E</t>
  </si>
  <si>
    <t xml:space="preserve">495ADC4194</t>
  </si>
  <si>
    <t xml:space="preserve">4A472E1193</t>
  </si>
  <si>
    <t xml:space="preserve">51EF12B621</t>
  </si>
  <si>
    <t xml:space="preserve">5E7D2FB554</t>
  </si>
  <si>
    <t xml:space="preserve">5EC10B5EC7</t>
  </si>
  <si>
    <t xml:space="preserve">6254A60360</t>
  </si>
  <si>
    <t xml:space="preserve">88FDD8913F</t>
  </si>
  <si>
    <t xml:space="preserve">8DF1F18C18</t>
  </si>
  <si>
    <t xml:space="preserve">909307CE90</t>
  </si>
  <si>
    <t xml:space="preserve">9517AC92C7</t>
  </si>
  <si>
    <t xml:space="preserve">97F6191346</t>
  </si>
  <si>
    <t xml:space="preserve">987F5A2EB5</t>
  </si>
  <si>
    <t xml:space="preserve">BBAF304826</t>
  </si>
  <si>
    <t xml:space="preserve">C1CA22C677</t>
  </si>
  <si>
    <t xml:space="preserve">C3DFC24DBF</t>
  </si>
  <si>
    <t xml:space="preserve">D703A8BAD9</t>
  </si>
  <si>
    <t xml:space="preserve">E2EB12D56B</t>
  </si>
  <si>
    <t xml:space="preserve">0644E624AB</t>
  </si>
  <si>
    <t xml:space="preserve">07B34AE87D</t>
  </si>
  <si>
    <t xml:space="preserve">0A5EA16AA4</t>
  </si>
  <si>
    <t xml:space="preserve">0AEB44951B</t>
  </si>
  <si>
    <t xml:space="preserve">0CAB948628</t>
  </si>
  <si>
    <t xml:space="preserve">16F2E08692</t>
  </si>
  <si>
    <t xml:space="preserve">5EF45F0346</t>
  </si>
  <si>
    <t xml:space="preserve">6CB4AF60EE</t>
  </si>
  <si>
    <t xml:space="preserve">70EC2F5365</t>
  </si>
  <si>
    <t xml:space="preserve">76670B8B88</t>
  </si>
  <si>
    <t xml:space="preserve">843046F9C9</t>
  </si>
  <si>
    <t xml:space="preserve">8B99A1F16C</t>
  </si>
  <si>
    <t xml:space="preserve">91220F2730</t>
  </si>
  <si>
    <t xml:space="preserve">93F39F9143</t>
  </si>
  <si>
    <t xml:space="preserve">A9C306C81D</t>
  </si>
  <si>
    <t xml:space="preserve">ACBFBB3C0D</t>
  </si>
  <si>
    <t xml:space="preserve">BAE2ED1AB1</t>
  </si>
  <si>
    <t xml:space="preserve">BB8733CBED</t>
  </si>
  <si>
    <t xml:space="preserve">C599144CA3</t>
  </si>
  <si>
    <t xml:space="preserve">D14E748152</t>
  </si>
  <si>
    <t xml:space="preserve">DDE141B897</t>
  </si>
  <si>
    <t xml:space="preserve">E8B683F21B</t>
  </si>
  <si>
    <t xml:space="preserve">EDE80F230D</t>
  </si>
  <si>
    <t xml:space="preserve">F70F492F95</t>
  </si>
  <si>
    <t xml:space="preserve">E26D446AFC</t>
  </si>
  <si>
    <t xml:space="preserve">0BD2DF5F7A</t>
  </si>
  <si>
    <t xml:space="preserve">211A0B0C89</t>
  </si>
  <si>
    <t xml:space="preserve">265EC65E02</t>
  </si>
  <si>
    <t xml:space="preserve">3DF61A4217</t>
  </si>
  <si>
    <t xml:space="preserve">3F04D565F2</t>
  </si>
  <si>
    <t xml:space="preserve">4143E901F0</t>
  </si>
  <si>
    <t xml:space="preserve">4B3B8679F8</t>
  </si>
  <si>
    <t xml:space="preserve">4B94DA2FCC</t>
  </si>
  <si>
    <t xml:space="preserve">515055C608</t>
  </si>
  <si>
    <t xml:space="preserve">53C951AEB0</t>
  </si>
  <si>
    <t xml:space="preserve">54A178C507</t>
  </si>
  <si>
    <t xml:space="preserve">56EDD0A39A</t>
  </si>
  <si>
    <t xml:space="preserve">698B4CF901</t>
  </si>
  <si>
    <t xml:space="preserve">6F5E7B3666</t>
  </si>
  <si>
    <t xml:space="preserve">6F9DD33F7F</t>
  </si>
  <si>
    <t xml:space="preserve">8F2AF37D0F</t>
  </si>
  <si>
    <t xml:space="preserve">979FAF8236</t>
  </si>
  <si>
    <t xml:space="preserve">9DFF6EE3BD</t>
  </si>
  <si>
    <t xml:space="preserve">A31E21CDE1</t>
  </si>
  <si>
    <t xml:space="preserve">A3C38A835C</t>
  </si>
  <si>
    <t xml:space="preserve">A93766A98C</t>
  </si>
  <si>
    <t xml:space="preserve">B84E0B6A57</t>
  </si>
  <si>
    <t xml:space="preserve">C61AFBB3DA</t>
  </si>
  <si>
    <t xml:space="preserve">D4AFB7FBDD</t>
  </si>
  <si>
    <t xml:space="preserve">D5DCB8DDBF</t>
  </si>
  <si>
    <t xml:space="preserve">D7D0EAC4B0</t>
  </si>
  <si>
    <t xml:space="preserve">DA5549EDF3</t>
  </si>
  <si>
    <t xml:space="preserve">E04911FA86</t>
  </si>
  <si>
    <t xml:space="preserve">F4B12FE899</t>
  </si>
  <si>
    <t xml:space="preserve">06E73EB4A6</t>
  </si>
  <si>
    <t xml:space="preserve">19C9A4459E</t>
  </si>
  <si>
    <t xml:space="preserve">26BE6494BB</t>
  </si>
  <si>
    <t xml:space="preserve">32C3C01A62</t>
  </si>
  <si>
    <t xml:space="preserve">361602E01A</t>
  </si>
  <si>
    <t xml:space="preserve">36375DE4E7</t>
  </si>
  <si>
    <t xml:space="preserve">4066A85747</t>
  </si>
  <si>
    <t xml:space="preserve">5EBE942F64</t>
  </si>
  <si>
    <t xml:space="preserve">99D9678E19</t>
  </si>
  <si>
    <t xml:space="preserve">9C24014A17</t>
  </si>
  <si>
    <t xml:space="preserve">A61B9E0BA9</t>
  </si>
  <si>
    <t xml:space="preserve">AC085690EA</t>
  </si>
  <si>
    <t xml:space="preserve">CD2873309A</t>
  </si>
  <si>
    <t xml:space="preserve">0EDBE6C0D8</t>
  </si>
  <si>
    <t xml:space="preserve">27BE6256EC</t>
  </si>
  <si>
    <t xml:space="preserve">29A99559C5</t>
  </si>
  <si>
    <t xml:space="preserve">4A4378F22D</t>
  </si>
  <si>
    <t xml:space="preserve">F0AB1214F0</t>
  </si>
  <si>
    <t xml:space="preserve">A86E206FEE</t>
  </si>
  <si>
    <t xml:space="preserve">048BDF9C42</t>
  </si>
  <si>
    <t xml:space="preserve">1A8A6B0FC8</t>
  </si>
  <si>
    <t xml:space="preserve">1B27A450B8</t>
  </si>
  <si>
    <t xml:space="preserve">1EA6DCF969</t>
  </si>
  <si>
    <t xml:space="preserve">3A42F6F782</t>
  </si>
  <si>
    <t xml:space="preserve">3EB3F892FB</t>
  </si>
  <si>
    <t xml:space="preserve">7672689A0F</t>
  </si>
  <si>
    <t xml:space="preserve">79B8AABB74</t>
  </si>
  <si>
    <t xml:space="preserve">7D9E1CFBA6</t>
  </si>
  <si>
    <t xml:space="preserve">7EB1118E2B</t>
  </si>
  <si>
    <t xml:space="preserve">844F545F8D</t>
  </si>
  <si>
    <t xml:space="preserve">99AD4362C5</t>
  </si>
  <si>
    <t xml:space="preserve">C691BA9630</t>
  </si>
  <si>
    <t xml:space="preserve">CA164116DD</t>
  </si>
  <si>
    <t xml:space="preserve">CFAA093389</t>
  </si>
  <si>
    <t xml:space="preserve">DAB55A3494</t>
  </si>
  <si>
    <t xml:space="preserve">E677A2C610</t>
  </si>
  <si>
    <t xml:space="preserve">EF7CDF8C95</t>
  </si>
  <si>
    <t xml:space="preserve">BEDF3FC793</t>
  </si>
  <si>
    <t xml:space="preserve">05E3A75875</t>
  </si>
  <si>
    <t xml:space="preserve">1146BBBFF5</t>
  </si>
  <si>
    <t xml:space="preserve">134C356101</t>
  </si>
  <si>
    <t xml:space="preserve">36A8585508</t>
  </si>
  <si>
    <t xml:space="preserve">4160F987C1</t>
  </si>
  <si>
    <t xml:space="preserve">5ED2B87721</t>
  </si>
  <si>
    <t xml:space="preserve">60FD3568FA</t>
  </si>
  <si>
    <t xml:space="preserve">6AF1D956A2</t>
  </si>
  <si>
    <t xml:space="preserve">78C8D08E0D</t>
  </si>
  <si>
    <t xml:space="preserve">7D9A8DFBEF</t>
  </si>
  <si>
    <t xml:space="preserve">7E2671BD35</t>
  </si>
  <si>
    <t xml:space="preserve">7EFD1AF7BF</t>
  </si>
  <si>
    <t xml:space="preserve">7FC8D84EE7</t>
  </si>
  <si>
    <t xml:space="preserve">9B18D9BE98</t>
  </si>
  <si>
    <t xml:space="preserve">BACFA2C4CA</t>
  </si>
  <si>
    <t xml:space="preserve">C039135C89</t>
  </si>
  <si>
    <t xml:space="preserve">C745E2D829</t>
  </si>
  <si>
    <t xml:space="preserve">E1F467CA3D</t>
  </si>
  <si>
    <t xml:space="preserve">EE6501656E</t>
  </si>
  <si>
    <t xml:space="preserve">0EAEC41C6D</t>
  </si>
  <si>
    <t xml:space="preserve">37CFA1C63A</t>
  </si>
  <si>
    <t xml:space="preserve">495C87F778</t>
  </si>
  <si>
    <t xml:space="preserve">5158AD93BE</t>
  </si>
  <si>
    <t xml:space="preserve">56FEA389A0</t>
  </si>
  <si>
    <t xml:space="preserve">62B04ED066</t>
  </si>
  <si>
    <t xml:space="preserve">6623F9C560</t>
  </si>
  <si>
    <t xml:space="preserve">6730233D9B</t>
  </si>
  <si>
    <t xml:space="preserve">75AED3C340</t>
  </si>
  <si>
    <t xml:space="preserve">75F61E82BE</t>
  </si>
  <si>
    <t xml:space="preserve">783BC6E02D</t>
  </si>
  <si>
    <t xml:space="preserve">7B41F62E15</t>
  </si>
  <si>
    <t xml:space="preserve">7E2186E73A</t>
  </si>
  <si>
    <t xml:space="preserve">7FDF19781A</t>
  </si>
  <si>
    <t xml:space="preserve">9028A77BE1</t>
  </si>
  <si>
    <t xml:space="preserve">98C64DA07D</t>
  </si>
  <si>
    <t xml:space="preserve">F01C3B5B41</t>
  </si>
  <si>
    <t xml:space="preserve">FA58A769C3</t>
  </si>
  <si>
    <t xml:space="preserve">1D52910AEC</t>
  </si>
  <si>
    <t xml:space="preserve">1D7CE27219</t>
  </si>
  <si>
    <t xml:space="preserve">24C7D75398</t>
  </si>
  <si>
    <t xml:space="preserve">29FB9E412C</t>
  </si>
  <si>
    <t xml:space="preserve">2BFD2025B4</t>
  </si>
  <si>
    <t xml:space="preserve">357DFBCB4D</t>
  </si>
  <si>
    <t xml:space="preserve">3BE3545E01</t>
  </si>
  <si>
    <t xml:space="preserve">6B6562052E</t>
  </si>
  <si>
    <t xml:space="preserve">6F7EAC37BB</t>
  </si>
  <si>
    <t xml:space="preserve">B89B1AF3AC</t>
  </si>
  <si>
    <t xml:space="preserve">C6EB844156</t>
  </si>
  <si>
    <t xml:space="preserve">D9BB6ECBB4</t>
  </si>
  <si>
    <t xml:space="preserve">DC266A9396</t>
  </si>
  <si>
    <t xml:space="preserve">E273281386</t>
  </si>
  <si>
    <t xml:space="preserve">EC514CB4CC</t>
  </si>
  <si>
    <t xml:space="preserve">F7AE5C8CE6</t>
  </si>
  <si>
    <t xml:space="preserve">0033BC69A3</t>
  </si>
  <si>
    <t xml:space="preserve">81F4D6FF65</t>
  </si>
  <si>
    <t xml:space="preserve">11167041A5</t>
  </si>
  <si>
    <t xml:space="preserve">267EF672AA</t>
  </si>
  <si>
    <t xml:space="preserve">33822FC181</t>
  </si>
  <si>
    <t xml:space="preserve">37C90782D1</t>
  </si>
  <si>
    <t xml:space="preserve">57373E427A</t>
  </si>
  <si>
    <t xml:space="preserve">5832904BD1</t>
  </si>
  <si>
    <t xml:space="preserve">69551A8998</t>
  </si>
  <si>
    <t xml:space="preserve">6987CC47D9</t>
  </si>
  <si>
    <t xml:space="preserve">6C6374FE51</t>
  </si>
  <si>
    <t xml:space="preserve">6C9D8934BA</t>
  </si>
  <si>
    <t xml:space="preserve">85986E2C89</t>
  </si>
  <si>
    <t xml:space="preserve">87E71FE94F</t>
  </si>
  <si>
    <t xml:space="preserve">89EB5FA95B</t>
  </si>
  <si>
    <t xml:space="preserve">976A60772D</t>
  </si>
  <si>
    <t xml:space="preserve">998A5171D2</t>
  </si>
  <si>
    <t xml:space="preserve">A6CB543CF5</t>
  </si>
  <si>
    <t xml:space="preserve">A9EC476BB2</t>
  </si>
  <si>
    <t xml:space="preserve">C95362D1B9</t>
  </si>
  <si>
    <t xml:space="preserve">D5274CFBD3</t>
  </si>
  <si>
    <t xml:space="preserve">DE3DE08108</t>
  </si>
  <si>
    <t xml:space="preserve">DFC2B3B3A0</t>
  </si>
  <si>
    <t xml:space="preserve">ECABF2DF8B</t>
  </si>
  <si>
    <t xml:space="preserve">F851724F2C</t>
  </si>
  <si>
    <t xml:space="preserve">F0AB965B5B</t>
  </si>
  <si>
    <t xml:space="preserve">0E342AE111</t>
  </si>
  <si>
    <t xml:space="preserve">10575FD0FD</t>
  </si>
  <si>
    <t xml:space="preserve">312A4EC4B0</t>
  </si>
  <si>
    <t xml:space="preserve">37119FFF3D</t>
  </si>
  <si>
    <t xml:space="preserve">573225E40E</t>
  </si>
  <si>
    <t xml:space="preserve">5996A226D0</t>
  </si>
  <si>
    <t xml:space="preserve">77B9D6EA2D</t>
  </si>
  <si>
    <t xml:space="preserve">80D46F7BB8</t>
  </si>
  <si>
    <t xml:space="preserve">814B8F5D43</t>
  </si>
  <si>
    <t xml:space="preserve">B48F5D26C3</t>
  </si>
  <si>
    <t xml:space="preserve">B5E88F3351</t>
  </si>
  <si>
    <t xml:space="preserve">B83C6E6A6E</t>
  </si>
  <si>
    <t xml:space="preserve">BB5F7EEB61</t>
  </si>
  <si>
    <t xml:space="preserve">BCD26EC3C7</t>
  </si>
  <si>
    <t xml:space="preserve">CFE87EB955</t>
  </si>
  <si>
    <t xml:space="preserve">DD7A57F399</t>
  </si>
  <si>
    <t xml:space="preserve">EAA85770FA</t>
  </si>
  <si>
    <t xml:space="preserve">F1EA738B91</t>
  </si>
  <si>
    <t xml:space="preserve">F583E7B258</t>
  </si>
  <si>
    <t xml:space="preserve">F6ED75AC32</t>
  </si>
  <si>
    <t xml:space="preserve">FDAEE28602</t>
  </si>
  <si>
    <t xml:space="preserve">05BEC2FF38</t>
  </si>
  <si>
    <t xml:space="preserve">0A0A27E969</t>
  </si>
  <si>
    <t xml:space="preserve">0CB5EA9608</t>
  </si>
  <si>
    <t xml:space="preserve">1B266170B7</t>
  </si>
  <si>
    <t xml:space="preserve">1F2FAFD6C1</t>
  </si>
  <si>
    <t xml:space="preserve">3CBB30C14E</t>
  </si>
  <si>
    <t xml:space="preserve">3DC675536E</t>
  </si>
  <si>
    <t xml:space="preserve">3F20A26ED5</t>
  </si>
  <si>
    <t xml:space="preserve">451C8E5D38</t>
  </si>
  <si>
    <t xml:space="preserve">658AD1AFEA</t>
  </si>
  <si>
    <t xml:space="preserve">6D04E063E8</t>
  </si>
  <si>
    <t xml:space="preserve">7228140A21</t>
  </si>
  <si>
    <t xml:space="preserve">872EB1DED9</t>
  </si>
  <si>
    <t xml:space="preserve">8E5009A27B</t>
  </si>
  <si>
    <t xml:space="preserve">9BE2B06B35</t>
  </si>
  <si>
    <t xml:space="preserve">A542C3AD3C</t>
  </si>
  <si>
    <t xml:space="preserve">A817B9B6BA</t>
  </si>
  <si>
    <t xml:space="preserve">A828138F7C</t>
  </si>
  <si>
    <t xml:space="preserve">C30EC07E8D</t>
  </si>
  <si>
    <t xml:space="preserve">C7B162111C</t>
  </si>
  <si>
    <t xml:space="preserve">E1B843CDB9</t>
  </si>
  <si>
    <t xml:space="preserve">E31DE71B9D</t>
  </si>
  <si>
    <t xml:space="preserve">E3B3BDB6D8</t>
  </si>
  <si>
    <t xml:space="preserve">E701BCC43E</t>
  </si>
  <si>
    <t xml:space="preserve">E74EEC8C3E</t>
  </si>
  <si>
    <t xml:space="preserve">FA0376797B</t>
  </si>
  <si>
    <t xml:space="preserve">FF695639B2</t>
  </si>
  <si>
    <t xml:space="preserve">052D293C8A</t>
  </si>
  <si>
    <t xml:space="preserve">06E7DEEBEC</t>
  </si>
  <si>
    <t xml:space="preserve">10E157CD77</t>
  </si>
  <si>
    <t xml:space="preserve">17B9BE5E0F</t>
  </si>
  <si>
    <t xml:space="preserve">1E9617DFC6</t>
  </si>
  <si>
    <t xml:space="preserve">2CC5567E23</t>
  </si>
  <si>
    <t xml:space="preserve">2F008C15A1</t>
  </si>
  <si>
    <t xml:space="preserve">47C8EBA4A7</t>
  </si>
  <si>
    <t xml:space="preserve">4F53E1DBF8</t>
  </si>
  <si>
    <t xml:space="preserve">597832C0E7</t>
  </si>
  <si>
    <t xml:space="preserve">62D3FDB8E5</t>
  </si>
  <si>
    <t xml:space="preserve">78D46E37A9</t>
  </si>
  <si>
    <t xml:space="preserve">7B1675CCEF</t>
  </si>
  <si>
    <t xml:space="preserve">7EDDAB1665</t>
  </si>
  <si>
    <t xml:space="preserve">8F80787373</t>
  </si>
  <si>
    <t xml:space="preserve">A1508943D5</t>
  </si>
  <si>
    <t xml:space="preserve">A39F909FFD</t>
  </si>
  <si>
    <t xml:space="preserve">ABA646479D</t>
  </si>
  <si>
    <t xml:space="preserve">AEBE7E97D7</t>
  </si>
  <si>
    <t xml:space="preserve">B6BE934E3E</t>
  </si>
  <si>
    <t xml:space="preserve">B8751B86C0</t>
  </si>
  <si>
    <t xml:space="preserve">CABE13697E</t>
  </si>
  <si>
    <t xml:space="preserve">DCED7AE8B0</t>
  </si>
  <si>
    <t xml:space="preserve">E2445679DF</t>
  </si>
  <si>
    <t xml:space="preserve">E8CAE060C5</t>
  </si>
  <si>
    <t xml:space="preserve">Liczba uczniów</t>
  </si>
  <si>
    <t xml:space="preserve">Liczba odstających</t>
  </si>
  <si>
    <t xml:space="preserve">% odstających</t>
  </si>
  <si>
    <t xml:space="preserve">Śr. frekwencja z odstającymi</t>
  </si>
  <si>
    <t xml:space="preserve">Śr. frekwencja bez odstających</t>
  </si>
  <si>
    <t xml:space="preserve">Różnica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</si>
</sst>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B42"/>
      <name val="Arial"/>
      <family val="0"/>
      <charset val="1"/>
    </font>
    <font>
      <b val="true"/>
      <sz val="11"/>
      <color rgb="FF1C2B42"/>
      <name val="Arial"/>
      <family val="0"/>
      <charset val="1"/>
    </font>
    <font>
      <sz val="10.5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color rgb="FF000000"/>
      <name val="Arial"/>
      <family val="0"/>
      <charset val="1"/>
    </font>
    <font>
      <sz val="10.5"/>
      <color rgb="FF0000FF"/>
      <name val="Arial"/>
      <family val="0"/>
      <charset val="1"/>
    </font>
    <font>
      <b val="true"/>
      <sz val="10.5"/>
      <name val="Arial"/>
      <family val="0"/>
      <charset val="1"/>
    </font>
    <font>
      <b val="true"/>
      <i val="true"/>
      <sz val="10.5"/>
      <name val="Arial"/>
      <family val="0"/>
      <charset val="1"/>
    </font>
    <font>
      <i val="true"/>
      <sz val="10.5"/>
      <name val="Arial"/>
      <family val="0"/>
      <charset val="1"/>
    </font>
    <font>
      <i val="true"/>
      <sz val="9"/>
      <color rgb="FF89878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2B42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5C4"/>
      </left>
      <right style="thin">
        <color rgb="FFDCD5C4"/>
      </right>
      <top style="thin">
        <color rgb="FFDCD5C4"/>
      </top>
      <bottom style="thin">
        <color rgb="FFDCD5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C2B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D5C4"/>
      <rgbColor rgb="FF89878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B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neSzczegolowe" displayName="DaneSzczegolowe" ref="A1:H217" headerRowCount="1" totalsRowCount="0" totalsRowShown="0">
  <autoFilter ref="A1:H217"/>
  <tableColumns count="8">
    <tableColumn id="1" name="Dziennik (klasa)"/>
    <tableColumn id="2" name="Rocznik"/>
    <tableColumn id="3" name="Kierunek"/>
    <tableColumn id="4" name="Rok szkolny"/>
    <tableColumn id="5" name="Semestr"/>
    <tableColumn id="6" name="Wszystkich wpisów"/>
    <tableColumn id="7" name="Nieobecności"/>
    <tableColumn id="8" name="Frekwencja %"/>
  </tableColumns>
</table>
</file>

<file path=xl/tables/table2.xml><?xml version="1.0" encoding="utf-8"?>
<table xmlns="http://schemas.openxmlformats.org/spreadsheetml/2006/main" id="2" name="OdstajacyPodsumowanie" displayName="OdstajacyPodsumowanie" ref="A1:I217" headerRowCount="1" totalsRowCount="0" totalsRowShown="0">
  <autoFilter ref="A1:I217"/>
  <tableColumns count="9">
    <tableColumn id="1" name="Rok szkolny"/>
    <tableColumn id="2" name="Semestr"/>
    <tableColumn id="3" name="Dziennik"/>
    <tableColumn id="4" name="Liczba uczniów"/>
    <tableColumn id="5" name="Liczba odstających"/>
    <tableColumn id="6" name="% odstających"/>
    <tableColumn id="7" name="Śr. frekwencja z odstającymi"/>
    <tableColumn id="8" name="Śr. frekwencja bez odstających"/>
    <tableColumn id="9" name="Różnica"/>
  </tableColumns>
</table>
</file>

<file path=xl/tables/table3.xml><?xml version="1.0" encoding="utf-8"?>
<table xmlns="http://schemas.openxmlformats.org/spreadsheetml/2006/main" id="3" name="Uczniowie" displayName="Uczniowie" ref="A1:K4580" headerRowCount="1" totalsRowCount="0" totalsRowShown="0">
  <autoFilter ref="A1:K4580"/>
  <tableColumns count="11">
    <tableColumn id="1" name="ID ucznia"/>
    <tableColumn id="2" name="Dziennik"/>
    <tableColumn id="3" name="Rocznik"/>
    <tableColumn id="4" name="Kierunek"/>
    <tableColumn id="5" name="Rok szkolny"/>
    <tableColumn id="6" name="Semestr"/>
    <tableColumn id="7" name="Wszystkich wpisów"/>
    <tableColumn id="8" name="Nieobecności"/>
    <tableColumn id="9" name="Frekwencja %"/>
    <tableColumn id="10" name="Dolna granica IQR (grupy)"/>
    <tableColumn id="11" name="Odstając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1" customFormat="false" ht="15" hidden="false" customHeight="false" outlineLevel="0" collapsed="false">
      <c r="A21" s="3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3" t="s">
        <v>18</v>
      </c>
    </row>
    <row r="26" customFormat="false" ht="15" hidden="false" customHeight="false" outlineLevel="0" collapsed="false">
      <c r="A26" s="2" t="s">
        <v>19</v>
      </c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 t="s">
        <v>21</v>
      </c>
    </row>
    <row r="30" customFormat="false" ht="15" hidden="false" customHeight="false" outlineLevel="0" collapsed="false">
      <c r="A30" s="2" t="s">
        <v>22</v>
      </c>
    </row>
    <row r="31" customFormat="false" ht="15" hidden="false" customHeight="false" outlineLevel="0" collapsed="false">
      <c r="A31" s="3" t="s">
        <v>23</v>
      </c>
    </row>
    <row r="32" customFormat="false" ht="15" hidden="false" customHeight="false" outlineLevel="0" collapsed="false">
      <c r="A32" s="3" t="s">
        <v>24</v>
      </c>
    </row>
    <row r="33" customFormat="false" ht="15" hidden="false" customHeight="false" outlineLevel="0" collapsed="false">
      <c r="A33" s="3" t="s">
        <v>25</v>
      </c>
    </row>
    <row r="34" customFormat="false" ht="15" hidden="false" customHeight="false" outlineLevel="0" collapsed="false">
      <c r="A34" s="3" t="s">
        <v>26</v>
      </c>
    </row>
    <row r="35" customFormat="false" ht="15" hidden="false" customHeight="false" outlineLevel="0" collapsed="false">
      <c r="A35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7"/>
    <col collapsed="false" customWidth="true" hidden="false" outlineLevel="0" max="8" min="7" style="0" width="13"/>
  </cols>
  <sheetData>
    <row r="1" customFormat="false" ht="25.3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</row>
    <row r="2" customFormat="false" ht="15" hidden="false" customHeight="false" outlineLevel="0" collapsed="false">
      <c r="A2" s="5" t="s">
        <v>36</v>
      </c>
      <c r="B2" s="5" t="n">
        <v>2017</v>
      </c>
      <c r="C2" s="5" t="s">
        <v>37</v>
      </c>
      <c r="D2" s="5" t="s">
        <v>38</v>
      </c>
      <c r="E2" s="5" t="s">
        <v>39</v>
      </c>
      <c r="F2" s="6" t="n">
        <v>11363</v>
      </c>
      <c r="G2" s="6" t="n">
        <v>3544</v>
      </c>
      <c r="H2" s="7" t="n">
        <f aca="false">(F2-G2)/F2</f>
        <v>0.688110534189915</v>
      </c>
    </row>
    <row r="3" customFormat="false" ht="15" hidden="false" customHeight="false" outlineLevel="0" collapsed="false">
      <c r="A3" s="5" t="s">
        <v>36</v>
      </c>
      <c r="B3" s="5" t="n">
        <v>2017</v>
      </c>
      <c r="C3" s="5" t="s">
        <v>37</v>
      </c>
      <c r="D3" s="5" t="s">
        <v>38</v>
      </c>
      <c r="E3" s="5" t="s">
        <v>40</v>
      </c>
      <c r="F3" s="6" t="n">
        <v>11317</v>
      </c>
      <c r="G3" s="6" t="n">
        <v>3130</v>
      </c>
      <c r="H3" s="7" t="n">
        <f aca="false">(F3-G3)/F3</f>
        <v>0.723424935937086</v>
      </c>
    </row>
    <row r="4" customFormat="false" ht="15" hidden="false" customHeight="false" outlineLevel="0" collapsed="false">
      <c r="A4" s="5" t="s">
        <v>41</v>
      </c>
      <c r="B4" s="5" t="n">
        <v>2017</v>
      </c>
      <c r="C4" s="5" t="s">
        <v>42</v>
      </c>
      <c r="D4" s="5" t="s">
        <v>38</v>
      </c>
      <c r="E4" s="5" t="s">
        <v>39</v>
      </c>
      <c r="F4" s="6" t="n">
        <v>12667</v>
      </c>
      <c r="G4" s="6" t="n">
        <v>3528</v>
      </c>
      <c r="H4" s="7" t="n">
        <f aca="false">(F4-G4)/F4</f>
        <v>0.721481013657535</v>
      </c>
    </row>
    <row r="5" customFormat="false" ht="15" hidden="false" customHeight="false" outlineLevel="0" collapsed="false">
      <c r="A5" s="5" t="s">
        <v>41</v>
      </c>
      <c r="B5" s="5" t="n">
        <v>2017</v>
      </c>
      <c r="C5" s="5" t="s">
        <v>42</v>
      </c>
      <c r="D5" s="5" t="s">
        <v>38</v>
      </c>
      <c r="E5" s="5" t="s">
        <v>40</v>
      </c>
      <c r="F5" s="6" t="n">
        <v>11763</v>
      </c>
      <c r="G5" s="6" t="n">
        <v>2855</v>
      </c>
      <c r="H5" s="7" t="n">
        <f aca="false">(F5-G5)/F5</f>
        <v>0.757289807022018</v>
      </c>
    </row>
    <row r="6" customFormat="false" ht="15" hidden="false" customHeight="false" outlineLevel="0" collapsed="false">
      <c r="A6" s="5" t="s">
        <v>43</v>
      </c>
      <c r="B6" s="5" t="n">
        <v>2018</v>
      </c>
      <c r="C6" s="5" t="s">
        <v>44</v>
      </c>
      <c r="D6" s="5" t="s">
        <v>38</v>
      </c>
      <c r="E6" s="5" t="s">
        <v>39</v>
      </c>
      <c r="F6" s="6" t="n">
        <v>6650</v>
      </c>
      <c r="G6" s="6" t="n">
        <v>2877</v>
      </c>
      <c r="H6" s="7" t="n">
        <f aca="false">(F6-G6)/F6</f>
        <v>0.567368421052632</v>
      </c>
    </row>
    <row r="7" customFormat="false" ht="15" hidden="false" customHeight="false" outlineLevel="0" collapsed="false">
      <c r="A7" s="5" t="s">
        <v>43</v>
      </c>
      <c r="B7" s="5" t="n">
        <v>2018</v>
      </c>
      <c r="C7" s="5" t="s">
        <v>44</v>
      </c>
      <c r="D7" s="5" t="s">
        <v>38</v>
      </c>
      <c r="E7" s="5" t="s">
        <v>40</v>
      </c>
      <c r="F7" s="6" t="n">
        <v>8750</v>
      </c>
      <c r="G7" s="6" t="n">
        <v>4465</v>
      </c>
      <c r="H7" s="7" t="n">
        <f aca="false">(F7-G7)/F7</f>
        <v>0.489714285714286</v>
      </c>
    </row>
    <row r="8" customFormat="false" ht="15" hidden="false" customHeight="false" outlineLevel="0" collapsed="false">
      <c r="A8" s="5" t="s">
        <v>45</v>
      </c>
      <c r="B8" s="5" t="n">
        <v>2018</v>
      </c>
      <c r="C8" s="5" t="s">
        <v>37</v>
      </c>
      <c r="D8" s="5" t="s">
        <v>38</v>
      </c>
      <c r="E8" s="5" t="s">
        <v>39</v>
      </c>
      <c r="F8" s="6" t="n">
        <v>13892</v>
      </c>
      <c r="G8" s="6" t="n">
        <v>2510</v>
      </c>
      <c r="H8" s="7" t="n">
        <f aca="false">(F8-G8)/F8</f>
        <v>0.819320472214224</v>
      </c>
    </row>
    <row r="9" customFormat="false" ht="15" hidden="false" customHeight="false" outlineLevel="0" collapsed="false">
      <c r="A9" s="5" t="s">
        <v>45</v>
      </c>
      <c r="B9" s="5" t="n">
        <v>2018</v>
      </c>
      <c r="C9" s="5" t="s">
        <v>37</v>
      </c>
      <c r="D9" s="5" t="s">
        <v>38</v>
      </c>
      <c r="E9" s="5" t="s">
        <v>40</v>
      </c>
      <c r="F9" s="6" t="n">
        <v>18113</v>
      </c>
      <c r="G9" s="6" t="n">
        <v>5088</v>
      </c>
      <c r="H9" s="7" t="n">
        <f aca="false">(F9-G9)/F9</f>
        <v>0.719096781317286</v>
      </c>
    </row>
    <row r="10" customFormat="false" ht="15" hidden="false" customHeight="false" outlineLevel="0" collapsed="false">
      <c r="A10" s="5" t="s">
        <v>36</v>
      </c>
      <c r="B10" s="5" t="n">
        <v>2018</v>
      </c>
      <c r="C10" s="5" t="s">
        <v>37</v>
      </c>
      <c r="D10" s="5" t="s">
        <v>46</v>
      </c>
      <c r="E10" s="5" t="s">
        <v>39</v>
      </c>
      <c r="F10" s="6" t="n">
        <v>14569</v>
      </c>
      <c r="G10" s="6" t="n">
        <v>4444</v>
      </c>
      <c r="H10" s="7" t="n">
        <f aca="false">(F10-G10)/F10</f>
        <v>0.694968769304688</v>
      </c>
    </row>
    <row r="11" customFormat="false" ht="15" hidden="false" customHeight="false" outlineLevel="0" collapsed="false">
      <c r="A11" s="5" t="s">
        <v>36</v>
      </c>
      <c r="B11" s="5" t="n">
        <v>2018</v>
      </c>
      <c r="C11" s="5" t="s">
        <v>37</v>
      </c>
      <c r="D11" s="5" t="s">
        <v>46</v>
      </c>
      <c r="E11" s="5" t="s">
        <v>40</v>
      </c>
      <c r="F11" s="6" t="n">
        <v>8359</v>
      </c>
      <c r="G11" s="6" t="n">
        <v>3516</v>
      </c>
      <c r="H11" s="7" t="n">
        <f aca="false">(F11-G11)/F11</f>
        <v>0.579375523387965</v>
      </c>
    </row>
    <row r="12" customFormat="false" ht="15" hidden="false" customHeight="false" outlineLevel="0" collapsed="false">
      <c r="A12" s="5" t="s">
        <v>47</v>
      </c>
      <c r="B12" s="5" t="n">
        <v>2018</v>
      </c>
      <c r="C12" s="5" t="s">
        <v>42</v>
      </c>
      <c r="D12" s="5" t="s">
        <v>38</v>
      </c>
      <c r="E12" s="5" t="s">
        <v>39</v>
      </c>
      <c r="F12" s="6" t="n">
        <v>9338</v>
      </c>
      <c r="G12" s="6" t="n">
        <v>1488</v>
      </c>
      <c r="H12" s="7" t="n">
        <f aca="false">(F12-G12)/F12</f>
        <v>0.840651103019919</v>
      </c>
    </row>
    <row r="13" customFormat="false" ht="15" hidden="false" customHeight="false" outlineLevel="0" collapsed="false">
      <c r="A13" s="5" t="s">
        <v>47</v>
      </c>
      <c r="B13" s="5" t="n">
        <v>2018</v>
      </c>
      <c r="C13" s="5" t="s">
        <v>42</v>
      </c>
      <c r="D13" s="5" t="s">
        <v>38</v>
      </c>
      <c r="E13" s="5" t="s">
        <v>40</v>
      </c>
      <c r="F13" s="6" t="n">
        <v>14358</v>
      </c>
      <c r="G13" s="6" t="n">
        <v>2315</v>
      </c>
      <c r="H13" s="7" t="n">
        <f aca="false">(F13-G13)/F13</f>
        <v>0.838765844825185</v>
      </c>
    </row>
    <row r="14" customFormat="false" ht="15" hidden="false" customHeight="false" outlineLevel="0" collapsed="false">
      <c r="A14" s="5" t="s">
        <v>41</v>
      </c>
      <c r="B14" s="5" t="n">
        <v>2018</v>
      </c>
      <c r="C14" s="5" t="s">
        <v>42</v>
      </c>
      <c r="D14" s="5" t="s">
        <v>46</v>
      </c>
      <c r="E14" s="5" t="s">
        <v>39</v>
      </c>
      <c r="F14" s="6" t="n">
        <v>11786</v>
      </c>
      <c r="G14" s="6" t="n">
        <v>2661</v>
      </c>
      <c r="H14" s="7" t="n">
        <f aca="false">(F14-G14)/F14</f>
        <v>0.774223655184117</v>
      </c>
    </row>
    <row r="15" customFormat="false" ht="15" hidden="false" customHeight="false" outlineLevel="0" collapsed="false">
      <c r="A15" s="5" t="s">
        <v>41</v>
      </c>
      <c r="B15" s="5" t="n">
        <v>2018</v>
      </c>
      <c r="C15" s="5" t="s">
        <v>42</v>
      </c>
      <c r="D15" s="5" t="s">
        <v>46</v>
      </c>
      <c r="E15" s="5" t="s">
        <v>40</v>
      </c>
      <c r="F15" s="6" t="n">
        <v>6922</v>
      </c>
      <c r="G15" s="6" t="n">
        <v>2162</v>
      </c>
      <c r="H15" s="7" t="n">
        <f aca="false">(F15-G15)/F15</f>
        <v>0.687662525281711</v>
      </c>
    </row>
    <row r="16" customFormat="false" ht="15" hidden="false" customHeight="false" outlineLevel="0" collapsed="false">
      <c r="A16" s="5" t="s">
        <v>48</v>
      </c>
      <c r="B16" s="5" t="n">
        <v>2019</v>
      </c>
      <c r="C16" s="5" t="s">
        <v>49</v>
      </c>
      <c r="D16" s="5" t="s">
        <v>38</v>
      </c>
      <c r="E16" s="5" t="s">
        <v>39</v>
      </c>
      <c r="F16" s="6" t="n">
        <v>9515</v>
      </c>
      <c r="G16" s="6" t="n">
        <v>2816</v>
      </c>
      <c r="H16" s="7" t="n">
        <f aca="false">(F16-G16)/F16</f>
        <v>0.704046242774567</v>
      </c>
    </row>
    <row r="17" customFormat="false" ht="15" hidden="false" customHeight="false" outlineLevel="0" collapsed="false">
      <c r="A17" s="5" t="s">
        <v>48</v>
      </c>
      <c r="B17" s="5" t="n">
        <v>2019</v>
      </c>
      <c r="C17" s="5" t="s">
        <v>49</v>
      </c>
      <c r="D17" s="5" t="s">
        <v>38</v>
      </c>
      <c r="E17" s="5" t="s">
        <v>40</v>
      </c>
      <c r="F17" s="6" t="n">
        <v>12886</v>
      </c>
      <c r="G17" s="6" t="n">
        <v>4393</v>
      </c>
      <c r="H17" s="7" t="n">
        <f aca="false">(F17-G17)/F17</f>
        <v>0.659087381654509</v>
      </c>
    </row>
    <row r="18" customFormat="false" ht="15" hidden="false" customHeight="false" outlineLevel="0" collapsed="false">
      <c r="A18" s="5" t="s">
        <v>50</v>
      </c>
      <c r="B18" s="5" t="n">
        <v>2019</v>
      </c>
      <c r="C18" s="5" t="s">
        <v>49</v>
      </c>
      <c r="D18" s="5" t="s">
        <v>46</v>
      </c>
      <c r="E18" s="5" t="s">
        <v>39</v>
      </c>
      <c r="F18" s="6" t="n">
        <v>10508</v>
      </c>
      <c r="G18" s="6" t="n">
        <v>3428</v>
      </c>
      <c r="H18" s="7" t="n">
        <f aca="false">(F18-G18)/F18</f>
        <v>0.673772363913209</v>
      </c>
    </row>
    <row r="19" customFormat="false" ht="15" hidden="false" customHeight="false" outlineLevel="0" collapsed="false">
      <c r="A19" s="5" t="s">
        <v>50</v>
      </c>
      <c r="B19" s="5" t="n">
        <v>2019</v>
      </c>
      <c r="C19" s="5" t="s">
        <v>49</v>
      </c>
      <c r="D19" s="5" t="s">
        <v>46</v>
      </c>
      <c r="E19" s="5" t="s">
        <v>40</v>
      </c>
      <c r="F19" s="6" t="n">
        <v>9682</v>
      </c>
      <c r="G19" s="6" t="n">
        <v>4195</v>
      </c>
      <c r="H19" s="7" t="n">
        <f aca="false">(F19-G19)/F19</f>
        <v>0.566721751704193</v>
      </c>
    </row>
    <row r="20" customFormat="false" ht="15" hidden="false" customHeight="false" outlineLevel="0" collapsed="false">
      <c r="A20" s="5" t="s">
        <v>51</v>
      </c>
      <c r="B20" s="5" t="n">
        <v>2019</v>
      </c>
      <c r="C20" s="5" t="s">
        <v>52</v>
      </c>
      <c r="D20" s="5" t="s">
        <v>38</v>
      </c>
      <c r="E20" s="5" t="s">
        <v>39</v>
      </c>
      <c r="F20" s="6" t="n">
        <v>14703</v>
      </c>
      <c r="G20" s="6" t="n">
        <v>2668</v>
      </c>
      <c r="H20" s="7" t="n">
        <f aca="false">(F20-G20)/F20</f>
        <v>0.818540433925049</v>
      </c>
    </row>
    <row r="21" customFormat="false" ht="15" hidden="false" customHeight="false" outlineLevel="0" collapsed="false">
      <c r="A21" s="5" t="s">
        <v>51</v>
      </c>
      <c r="B21" s="5" t="n">
        <v>2019</v>
      </c>
      <c r="C21" s="5" t="s">
        <v>52</v>
      </c>
      <c r="D21" s="5" t="s">
        <v>38</v>
      </c>
      <c r="E21" s="5" t="s">
        <v>40</v>
      </c>
      <c r="F21" s="6" t="n">
        <v>17780</v>
      </c>
      <c r="G21" s="6" t="n">
        <v>4823</v>
      </c>
      <c r="H21" s="7" t="n">
        <f aca="false">(F21-G21)/F21</f>
        <v>0.728740157480315</v>
      </c>
    </row>
    <row r="22" customFormat="false" ht="15" hidden="false" customHeight="false" outlineLevel="0" collapsed="false">
      <c r="A22" s="5" t="s">
        <v>53</v>
      </c>
      <c r="B22" s="5" t="n">
        <v>2019</v>
      </c>
      <c r="C22" s="5" t="s">
        <v>52</v>
      </c>
      <c r="D22" s="5" t="s">
        <v>46</v>
      </c>
      <c r="E22" s="5" t="s">
        <v>39</v>
      </c>
      <c r="F22" s="6" t="n">
        <v>17161</v>
      </c>
      <c r="G22" s="6" t="n">
        <v>4604</v>
      </c>
      <c r="H22" s="7" t="n">
        <f aca="false">(F22-G22)/F22</f>
        <v>0.731717265893596</v>
      </c>
    </row>
    <row r="23" customFormat="false" ht="15" hidden="false" customHeight="false" outlineLevel="0" collapsed="false">
      <c r="A23" s="5" t="s">
        <v>53</v>
      </c>
      <c r="B23" s="5" t="n">
        <v>2019</v>
      </c>
      <c r="C23" s="5" t="s">
        <v>52</v>
      </c>
      <c r="D23" s="5" t="s">
        <v>46</v>
      </c>
      <c r="E23" s="5" t="s">
        <v>40</v>
      </c>
      <c r="F23" s="6" t="n">
        <v>14608</v>
      </c>
      <c r="G23" s="6" t="n">
        <v>5024</v>
      </c>
      <c r="H23" s="7" t="n">
        <f aca="false">(F23-G23)/F23</f>
        <v>0.656078860898138</v>
      </c>
    </row>
    <row r="24" customFormat="false" ht="15" hidden="false" customHeight="false" outlineLevel="0" collapsed="false">
      <c r="A24" s="5" t="s">
        <v>54</v>
      </c>
      <c r="B24" s="5" t="n">
        <v>2019</v>
      </c>
      <c r="C24" s="5" t="s">
        <v>52</v>
      </c>
      <c r="D24" s="5" t="s">
        <v>55</v>
      </c>
      <c r="E24" s="5" t="s">
        <v>39</v>
      </c>
      <c r="F24" s="6" t="n">
        <v>16184</v>
      </c>
      <c r="G24" s="6" t="n">
        <v>4461</v>
      </c>
      <c r="H24" s="7" t="n">
        <f aca="false">(F24-G24)/F24</f>
        <v>0.72435739001483</v>
      </c>
    </row>
    <row r="25" customFormat="false" ht="15" hidden="false" customHeight="false" outlineLevel="0" collapsed="false">
      <c r="A25" s="5" t="s">
        <v>54</v>
      </c>
      <c r="B25" s="5" t="n">
        <v>2019</v>
      </c>
      <c r="C25" s="5" t="s">
        <v>52</v>
      </c>
      <c r="D25" s="5" t="s">
        <v>55</v>
      </c>
      <c r="E25" s="5" t="s">
        <v>40</v>
      </c>
      <c r="F25" s="6" t="n">
        <v>13601</v>
      </c>
      <c r="G25" s="6" t="n">
        <v>5863</v>
      </c>
      <c r="H25" s="7" t="n">
        <f aca="false">(F25-G25)/F25</f>
        <v>0.568928755238585</v>
      </c>
    </row>
    <row r="26" customFormat="false" ht="15" hidden="false" customHeight="false" outlineLevel="0" collapsed="false">
      <c r="A26" s="5" t="s">
        <v>56</v>
      </c>
      <c r="B26" s="5" t="n">
        <v>2019</v>
      </c>
      <c r="C26" s="5" t="s">
        <v>52</v>
      </c>
      <c r="D26" s="5" t="s">
        <v>57</v>
      </c>
      <c r="E26" s="5" t="s">
        <v>39</v>
      </c>
      <c r="F26" s="6" t="n">
        <v>13685</v>
      </c>
      <c r="G26" s="6" t="n">
        <v>4485</v>
      </c>
      <c r="H26" s="7" t="n">
        <f aca="false">(F26-G26)/F26</f>
        <v>0.672268907563025</v>
      </c>
    </row>
    <row r="27" customFormat="false" ht="15" hidden="false" customHeight="false" outlineLevel="0" collapsed="false">
      <c r="A27" s="5" t="s">
        <v>56</v>
      </c>
      <c r="B27" s="5" t="n">
        <v>2019</v>
      </c>
      <c r="C27" s="5" t="s">
        <v>52</v>
      </c>
      <c r="D27" s="5" t="s">
        <v>57</v>
      </c>
      <c r="E27" s="5" t="s">
        <v>40</v>
      </c>
      <c r="F27" s="6" t="n">
        <v>9539</v>
      </c>
      <c r="G27" s="6" t="n">
        <v>4300</v>
      </c>
      <c r="H27" s="7" t="n">
        <f aca="false">(F27-G27)/F27</f>
        <v>0.549218995701856</v>
      </c>
    </row>
    <row r="28" customFormat="false" ht="15" hidden="false" customHeight="false" outlineLevel="0" collapsed="false">
      <c r="A28" s="5" t="s">
        <v>58</v>
      </c>
      <c r="B28" s="5" t="n">
        <v>2019</v>
      </c>
      <c r="C28" s="5" t="s">
        <v>59</v>
      </c>
      <c r="D28" s="5" t="s">
        <v>38</v>
      </c>
      <c r="E28" s="5" t="s">
        <v>39</v>
      </c>
      <c r="F28" s="6" t="n">
        <v>10494</v>
      </c>
      <c r="G28" s="6" t="n">
        <v>1165</v>
      </c>
      <c r="H28" s="7" t="n">
        <f aca="false">(F28-G28)/F28</f>
        <v>0.888984181437012</v>
      </c>
    </row>
    <row r="29" customFormat="false" ht="15" hidden="false" customHeight="false" outlineLevel="0" collapsed="false">
      <c r="A29" s="5" t="s">
        <v>58</v>
      </c>
      <c r="B29" s="5" t="n">
        <v>2019</v>
      </c>
      <c r="C29" s="5" t="s">
        <v>59</v>
      </c>
      <c r="D29" s="5" t="s">
        <v>38</v>
      </c>
      <c r="E29" s="5" t="s">
        <v>40</v>
      </c>
      <c r="F29" s="6" t="n">
        <v>12551</v>
      </c>
      <c r="G29" s="6" t="n">
        <v>2321</v>
      </c>
      <c r="H29" s="7" t="n">
        <f aca="false">(F29-G29)/F29</f>
        <v>0.815074496056091</v>
      </c>
    </row>
    <row r="30" customFormat="false" ht="15" hidden="false" customHeight="false" outlineLevel="0" collapsed="false">
      <c r="A30" s="5" t="s">
        <v>60</v>
      </c>
      <c r="B30" s="5" t="n">
        <v>2019</v>
      </c>
      <c r="C30" s="5" t="s">
        <v>59</v>
      </c>
      <c r="D30" s="5" t="s">
        <v>46</v>
      </c>
      <c r="E30" s="5" t="s">
        <v>39</v>
      </c>
      <c r="F30" s="6" t="n">
        <v>13442</v>
      </c>
      <c r="G30" s="6" t="n">
        <v>2584</v>
      </c>
      <c r="H30" s="7" t="n">
        <f aca="false">(F30-G30)/F30</f>
        <v>0.807766701383723</v>
      </c>
    </row>
    <row r="31" customFormat="false" ht="15" hidden="false" customHeight="false" outlineLevel="0" collapsed="false">
      <c r="A31" s="5" t="s">
        <v>60</v>
      </c>
      <c r="B31" s="5" t="n">
        <v>2019</v>
      </c>
      <c r="C31" s="5" t="s">
        <v>59</v>
      </c>
      <c r="D31" s="5" t="s">
        <v>46</v>
      </c>
      <c r="E31" s="5" t="s">
        <v>40</v>
      </c>
      <c r="F31" s="6" t="n">
        <v>11308</v>
      </c>
      <c r="G31" s="6" t="n">
        <v>3247</v>
      </c>
      <c r="H31" s="7" t="n">
        <f aca="false">(F31-G31)/F31</f>
        <v>0.712858153519632</v>
      </c>
    </row>
    <row r="32" customFormat="false" ht="15" hidden="false" customHeight="false" outlineLevel="0" collapsed="false">
      <c r="A32" s="5" t="s">
        <v>61</v>
      </c>
      <c r="B32" s="5" t="n">
        <v>2019</v>
      </c>
      <c r="C32" s="5" t="s">
        <v>59</v>
      </c>
      <c r="D32" s="5" t="s">
        <v>55</v>
      </c>
      <c r="E32" s="5" t="s">
        <v>39</v>
      </c>
      <c r="F32" s="6" t="n">
        <v>11484</v>
      </c>
      <c r="G32" s="6" t="n">
        <v>1957</v>
      </c>
      <c r="H32" s="7" t="n">
        <f aca="false">(F32-G32)/F32</f>
        <v>0.829588993382097</v>
      </c>
    </row>
    <row r="33" customFormat="false" ht="15" hidden="false" customHeight="false" outlineLevel="0" collapsed="false">
      <c r="A33" s="5" t="s">
        <v>61</v>
      </c>
      <c r="B33" s="5" t="n">
        <v>2019</v>
      </c>
      <c r="C33" s="5" t="s">
        <v>59</v>
      </c>
      <c r="D33" s="5" t="s">
        <v>55</v>
      </c>
      <c r="E33" s="5" t="s">
        <v>40</v>
      </c>
      <c r="F33" s="6" t="n">
        <v>8954</v>
      </c>
      <c r="G33" s="6" t="n">
        <v>2903</v>
      </c>
      <c r="H33" s="7" t="n">
        <f aca="false">(F33-G33)/F33</f>
        <v>0.675787357605539</v>
      </c>
    </row>
    <row r="34" customFormat="false" ht="15" hidden="false" customHeight="false" outlineLevel="0" collapsed="false">
      <c r="A34" s="5" t="s">
        <v>62</v>
      </c>
      <c r="B34" s="5" t="n">
        <v>2019</v>
      </c>
      <c r="C34" s="5" t="s">
        <v>59</v>
      </c>
      <c r="D34" s="5" t="s">
        <v>57</v>
      </c>
      <c r="E34" s="5" t="s">
        <v>39</v>
      </c>
      <c r="F34" s="6" t="n">
        <v>10901</v>
      </c>
      <c r="G34" s="6" t="n">
        <v>1938</v>
      </c>
      <c r="H34" s="7" t="n">
        <f aca="false">(F34-G34)/F34</f>
        <v>0.822218145124301</v>
      </c>
    </row>
    <row r="35" customFormat="false" ht="15" hidden="false" customHeight="false" outlineLevel="0" collapsed="false">
      <c r="A35" s="5" t="s">
        <v>62</v>
      </c>
      <c r="B35" s="5" t="n">
        <v>2019</v>
      </c>
      <c r="C35" s="5" t="s">
        <v>59</v>
      </c>
      <c r="D35" s="5" t="s">
        <v>57</v>
      </c>
      <c r="E35" s="5" t="s">
        <v>40</v>
      </c>
      <c r="F35" s="6" t="n">
        <v>7381</v>
      </c>
      <c r="G35" s="6" t="n">
        <v>2851</v>
      </c>
      <c r="H35" s="7" t="n">
        <f aca="false">(F35-G35)/F35</f>
        <v>0.613737975884027</v>
      </c>
    </row>
    <row r="36" customFormat="false" ht="15" hidden="false" customHeight="false" outlineLevel="0" collapsed="false">
      <c r="A36" s="5" t="s">
        <v>63</v>
      </c>
      <c r="B36" s="5" t="n">
        <v>2019</v>
      </c>
      <c r="C36" s="5" t="s">
        <v>64</v>
      </c>
      <c r="D36" s="5" t="s">
        <v>38</v>
      </c>
      <c r="E36" s="5" t="s">
        <v>39</v>
      </c>
      <c r="F36" s="6" t="n">
        <v>12619</v>
      </c>
      <c r="G36" s="6" t="n">
        <v>2621</v>
      </c>
      <c r="H36" s="7" t="n">
        <f aca="false">(F36-G36)/F36</f>
        <v>0.792297329423885</v>
      </c>
    </row>
    <row r="37" customFormat="false" ht="15" hidden="false" customHeight="false" outlineLevel="0" collapsed="false">
      <c r="A37" s="5" t="s">
        <v>63</v>
      </c>
      <c r="B37" s="5" t="n">
        <v>2019</v>
      </c>
      <c r="C37" s="5" t="s">
        <v>64</v>
      </c>
      <c r="D37" s="5" t="s">
        <v>38</v>
      </c>
      <c r="E37" s="5" t="s">
        <v>40</v>
      </c>
      <c r="F37" s="6" t="n">
        <v>13982</v>
      </c>
      <c r="G37" s="6" t="n">
        <v>3081</v>
      </c>
      <c r="H37" s="7" t="n">
        <f aca="false">(F37-G37)/F37</f>
        <v>0.7796452581891</v>
      </c>
    </row>
    <row r="38" customFormat="false" ht="15" hidden="false" customHeight="false" outlineLevel="0" collapsed="false">
      <c r="A38" s="5" t="s">
        <v>65</v>
      </c>
      <c r="B38" s="5" t="n">
        <v>2019</v>
      </c>
      <c r="C38" s="5" t="s">
        <v>64</v>
      </c>
      <c r="D38" s="5" t="s">
        <v>46</v>
      </c>
      <c r="E38" s="5" t="s">
        <v>39</v>
      </c>
      <c r="F38" s="6" t="n">
        <v>14762</v>
      </c>
      <c r="G38" s="6" t="n">
        <v>4827</v>
      </c>
      <c r="H38" s="7" t="n">
        <f aca="false">(F38-G38)/F38</f>
        <v>0.673011787020729</v>
      </c>
    </row>
    <row r="39" customFormat="false" ht="15" hidden="false" customHeight="false" outlineLevel="0" collapsed="false">
      <c r="A39" s="5" t="s">
        <v>65</v>
      </c>
      <c r="B39" s="5" t="n">
        <v>2019</v>
      </c>
      <c r="C39" s="5" t="s">
        <v>64</v>
      </c>
      <c r="D39" s="5" t="s">
        <v>46</v>
      </c>
      <c r="E39" s="5" t="s">
        <v>40</v>
      </c>
      <c r="F39" s="6" t="n">
        <v>10902</v>
      </c>
      <c r="G39" s="6" t="n">
        <v>3872</v>
      </c>
      <c r="H39" s="7" t="n">
        <f aca="false">(F39-G39)/F39</f>
        <v>0.64483580994313</v>
      </c>
    </row>
    <row r="40" customFormat="false" ht="15" hidden="false" customHeight="false" outlineLevel="0" collapsed="false">
      <c r="A40" s="5" t="s">
        <v>66</v>
      </c>
      <c r="B40" s="5" t="n">
        <v>2019</v>
      </c>
      <c r="C40" s="5" t="s">
        <v>64</v>
      </c>
      <c r="D40" s="5" t="s">
        <v>55</v>
      </c>
      <c r="E40" s="5" t="s">
        <v>39</v>
      </c>
      <c r="F40" s="6" t="n">
        <v>15801</v>
      </c>
      <c r="G40" s="6" t="n">
        <v>5783</v>
      </c>
      <c r="H40" s="7" t="n">
        <f aca="false">(F40-G40)/F40</f>
        <v>0.634010505664199</v>
      </c>
    </row>
    <row r="41" customFormat="false" ht="15" hidden="false" customHeight="false" outlineLevel="0" collapsed="false">
      <c r="A41" s="5" t="s">
        <v>66</v>
      </c>
      <c r="B41" s="5" t="n">
        <v>2019</v>
      </c>
      <c r="C41" s="5" t="s">
        <v>64</v>
      </c>
      <c r="D41" s="5" t="s">
        <v>55</v>
      </c>
      <c r="E41" s="5" t="s">
        <v>40</v>
      </c>
      <c r="F41" s="6" t="n">
        <v>6095</v>
      </c>
      <c r="G41" s="6" t="n">
        <v>3414</v>
      </c>
      <c r="H41" s="7" t="n">
        <f aca="false">(F41-G41)/F41</f>
        <v>0.439868744872847</v>
      </c>
    </row>
    <row r="42" customFormat="false" ht="15" hidden="false" customHeight="false" outlineLevel="0" collapsed="false">
      <c r="A42" s="5" t="s">
        <v>67</v>
      </c>
      <c r="B42" s="5" t="n">
        <v>2019</v>
      </c>
      <c r="C42" s="5" t="s">
        <v>68</v>
      </c>
      <c r="D42" s="5" t="s">
        <v>38</v>
      </c>
      <c r="E42" s="5" t="s">
        <v>39</v>
      </c>
      <c r="F42" s="6" t="n">
        <v>9458</v>
      </c>
      <c r="G42" s="6" t="n">
        <v>2149</v>
      </c>
      <c r="H42" s="7" t="n">
        <f aca="false">(F42-G42)/F42</f>
        <v>0.772784943962783</v>
      </c>
    </row>
    <row r="43" customFormat="false" ht="15" hidden="false" customHeight="false" outlineLevel="0" collapsed="false">
      <c r="A43" s="5" t="s">
        <v>67</v>
      </c>
      <c r="B43" s="5" t="n">
        <v>2019</v>
      </c>
      <c r="C43" s="5" t="s">
        <v>68</v>
      </c>
      <c r="D43" s="5" t="s">
        <v>38</v>
      </c>
      <c r="E43" s="5" t="s">
        <v>40</v>
      </c>
      <c r="F43" s="6" t="n">
        <v>10512</v>
      </c>
      <c r="G43" s="6" t="n">
        <v>2757</v>
      </c>
      <c r="H43" s="7" t="n">
        <f aca="false">(F43-G43)/F43</f>
        <v>0.737728310502283</v>
      </c>
    </row>
    <row r="44" customFormat="false" ht="15" hidden="false" customHeight="false" outlineLevel="0" collapsed="false">
      <c r="A44" s="5" t="s">
        <v>69</v>
      </c>
      <c r="B44" s="5" t="n">
        <v>2019</v>
      </c>
      <c r="C44" s="5" t="s">
        <v>68</v>
      </c>
      <c r="D44" s="5" t="s">
        <v>46</v>
      </c>
      <c r="E44" s="5" t="s">
        <v>39</v>
      </c>
      <c r="F44" s="6" t="n">
        <v>10947</v>
      </c>
      <c r="G44" s="6" t="n">
        <v>2798</v>
      </c>
      <c r="H44" s="7" t="n">
        <f aca="false">(F44-G44)/F44</f>
        <v>0.744404859778935</v>
      </c>
    </row>
    <row r="45" customFormat="false" ht="15" hidden="false" customHeight="false" outlineLevel="0" collapsed="false">
      <c r="A45" s="5" t="s">
        <v>69</v>
      </c>
      <c r="B45" s="5" t="n">
        <v>2019</v>
      </c>
      <c r="C45" s="5" t="s">
        <v>68</v>
      </c>
      <c r="D45" s="5" t="s">
        <v>46</v>
      </c>
      <c r="E45" s="5" t="s">
        <v>40</v>
      </c>
      <c r="F45" s="6" t="n">
        <v>8245</v>
      </c>
      <c r="G45" s="6" t="n">
        <v>2647</v>
      </c>
      <c r="H45" s="7" t="n">
        <f aca="false">(F45-G45)/F45</f>
        <v>0.678956943602183</v>
      </c>
    </row>
    <row r="46" customFormat="false" ht="15" hidden="false" customHeight="false" outlineLevel="0" collapsed="false">
      <c r="A46" s="5" t="s">
        <v>70</v>
      </c>
      <c r="B46" s="5" t="n">
        <v>2019</v>
      </c>
      <c r="C46" s="5" t="s">
        <v>68</v>
      </c>
      <c r="D46" s="5" t="s">
        <v>55</v>
      </c>
      <c r="E46" s="5" t="s">
        <v>39</v>
      </c>
      <c r="F46" s="6" t="n">
        <v>11118</v>
      </c>
      <c r="G46" s="6" t="n">
        <v>2817</v>
      </c>
      <c r="H46" s="7" t="n">
        <f aca="false">(F46-G46)/F46</f>
        <v>0.746627091203454</v>
      </c>
    </row>
    <row r="47" customFormat="false" ht="15" hidden="false" customHeight="false" outlineLevel="0" collapsed="false">
      <c r="A47" s="5" t="s">
        <v>70</v>
      </c>
      <c r="B47" s="5" t="n">
        <v>2019</v>
      </c>
      <c r="C47" s="5" t="s">
        <v>68</v>
      </c>
      <c r="D47" s="5" t="s">
        <v>55</v>
      </c>
      <c r="E47" s="5" t="s">
        <v>40</v>
      </c>
      <c r="F47" s="6" t="n">
        <v>4454</v>
      </c>
      <c r="G47" s="6" t="n">
        <v>1904</v>
      </c>
      <c r="H47" s="7" t="n">
        <f aca="false">(F47-G47)/F47</f>
        <v>0.572519083969466</v>
      </c>
    </row>
    <row r="48" customFormat="false" ht="15" hidden="false" customHeight="false" outlineLevel="0" collapsed="false">
      <c r="A48" s="5" t="s">
        <v>71</v>
      </c>
      <c r="B48" s="5" t="n">
        <v>2019</v>
      </c>
      <c r="C48" s="5" t="s">
        <v>42</v>
      </c>
      <c r="D48" s="5" t="s">
        <v>38</v>
      </c>
      <c r="E48" s="5" t="s">
        <v>39</v>
      </c>
      <c r="F48" s="6" t="n">
        <v>12917</v>
      </c>
      <c r="G48" s="6" t="n">
        <v>2013</v>
      </c>
      <c r="H48" s="7" t="n">
        <f aca="false">(F48-G48)/F48</f>
        <v>0.844158860416505</v>
      </c>
    </row>
    <row r="49" customFormat="false" ht="15" hidden="false" customHeight="false" outlineLevel="0" collapsed="false">
      <c r="A49" s="5" t="s">
        <v>71</v>
      </c>
      <c r="B49" s="5" t="n">
        <v>2019</v>
      </c>
      <c r="C49" s="5" t="s">
        <v>42</v>
      </c>
      <c r="D49" s="5" t="s">
        <v>38</v>
      </c>
      <c r="E49" s="5" t="s">
        <v>40</v>
      </c>
      <c r="F49" s="6" t="n">
        <v>13963</v>
      </c>
      <c r="G49" s="6" t="n">
        <v>2574</v>
      </c>
      <c r="H49" s="7" t="n">
        <f aca="false">(F49-G49)/F49</f>
        <v>0.815655661390819</v>
      </c>
    </row>
    <row r="50" customFormat="false" ht="15" hidden="false" customHeight="false" outlineLevel="0" collapsed="false">
      <c r="A50" s="5" t="s">
        <v>47</v>
      </c>
      <c r="B50" s="5" t="n">
        <v>2019</v>
      </c>
      <c r="C50" s="5" t="s">
        <v>42</v>
      </c>
      <c r="D50" s="5" t="s">
        <v>46</v>
      </c>
      <c r="E50" s="5" t="s">
        <v>39</v>
      </c>
      <c r="F50" s="6" t="n">
        <v>13062</v>
      </c>
      <c r="G50" s="6" t="n">
        <v>3490</v>
      </c>
      <c r="H50" s="7" t="n">
        <f aca="false">(F50-G50)/F50</f>
        <v>0.732812739243608</v>
      </c>
    </row>
    <row r="51" customFormat="false" ht="15" hidden="false" customHeight="false" outlineLevel="0" collapsed="false">
      <c r="A51" s="5" t="s">
        <v>47</v>
      </c>
      <c r="B51" s="5" t="n">
        <v>2019</v>
      </c>
      <c r="C51" s="5" t="s">
        <v>42</v>
      </c>
      <c r="D51" s="5" t="s">
        <v>46</v>
      </c>
      <c r="E51" s="5" t="s">
        <v>40</v>
      </c>
      <c r="F51" s="6" t="n">
        <v>10087</v>
      </c>
      <c r="G51" s="6" t="n">
        <v>3422</v>
      </c>
      <c r="H51" s="7" t="n">
        <f aca="false">(F51-G51)/F51</f>
        <v>0.66075146227818</v>
      </c>
    </row>
    <row r="52" customFormat="false" ht="15" hidden="false" customHeight="false" outlineLevel="0" collapsed="false">
      <c r="A52" s="5" t="s">
        <v>41</v>
      </c>
      <c r="B52" s="5" t="n">
        <v>2019</v>
      </c>
      <c r="C52" s="5" t="s">
        <v>42</v>
      </c>
      <c r="D52" s="5" t="s">
        <v>55</v>
      </c>
      <c r="E52" s="5" t="s">
        <v>39</v>
      </c>
      <c r="F52" s="6" t="n">
        <v>14000</v>
      </c>
      <c r="G52" s="6" t="n">
        <v>3677</v>
      </c>
      <c r="H52" s="7" t="n">
        <f aca="false">(F52-G52)/F52</f>
        <v>0.737357142857143</v>
      </c>
    </row>
    <row r="53" customFormat="false" ht="15" hidden="false" customHeight="false" outlineLevel="0" collapsed="false">
      <c r="A53" s="5" t="s">
        <v>41</v>
      </c>
      <c r="B53" s="5" t="n">
        <v>2019</v>
      </c>
      <c r="C53" s="5" t="s">
        <v>42</v>
      </c>
      <c r="D53" s="5" t="s">
        <v>55</v>
      </c>
      <c r="E53" s="5" t="s">
        <v>40</v>
      </c>
      <c r="F53" s="6" t="n">
        <v>5720</v>
      </c>
      <c r="G53" s="6" t="n">
        <v>2388</v>
      </c>
      <c r="H53" s="7" t="n">
        <f aca="false">(F53-G53)/F53</f>
        <v>0.582517482517483</v>
      </c>
    </row>
    <row r="54" customFormat="false" ht="15" hidden="false" customHeight="false" outlineLevel="0" collapsed="false">
      <c r="A54" s="5" t="s">
        <v>72</v>
      </c>
      <c r="B54" s="5" t="n">
        <v>2020</v>
      </c>
      <c r="C54" s="5" t="s">
        <v>44</v>
      </c>
      <c r="D54" s="5" t="s">
        <v>38</v>
      </c>
      <c r="E54" s="5" t="s">
        <v>39</v>
      </c>
      <c r="F54" s="6" t="n">
        <v>7575</v>
      </c>
      <c r="G54" s="6" t="n">
        <v>1789</v>
      </c>
      <c r="H54" s="7" t="n">
        <f aca="false">(F54-G54)/F54</f>
        <v>0.763828382838284</v>
      </c>
    </row>
    <row r="55" customFormat="false" ht="15" hidden="false" customHeight="false" outlineLevel="0" collapsed="false">
      <c r="A55" s="5" t="s">
        <v>72</v>
      </c>
      <c r="B55" s="5" t="n">
        <v>2020</v>
      </c>
      <c r="C55" s="5" t="s">
        <v>44</v>
      </c>
      <c r="D55" s="5" t="s">
        <v>38</v>
      </c>
      <c r="E55" s="5" t="s">
        <v>40</v>
      </c>
      <c r="F55" s="6" t="n">
        <v>9705</v>
      </c>
      <c r="G55" s="6" t="n">
        <v>2707</v>
      </c>
      <c r="H55" s="7" t="n">
        <f aca="false">(F55-G55)/F55</f>
        <v>0.72107161257084</v>
      </c>
    </row>
    <row r="56" customFormat="false" ht="15" hidden="false" customHeight="false" outlineLevel="0" collapsed="false">
      <c r="A56" s="5" t="s">
        <v>73</v>
      </c>
      <c r="B56" s="5" t="n">
        <v>2020</v>
      </c>
      <c r="C56" s="5" t="s">
        <v>44</v>
      </c>
      <c r="D56" s="5" t="s">
        <v>46</v>
      </c>
      <c r="E56" s="5" t="s">
        <v>39</v>
      </c>
      <c r="F56" s="6" t="n">
        <v>9021</v>
      </c>
      <c r="G56" s="6" t="n">
        <v>2735</v>
      </c>
      <c r="H56" s="7" t="n">
        <f aca="false">(F56-G56)/F56</f>
        <v>0.69681853453054</v>
      </c>
    </row>
    <row r="57" customFormat="false" ht="15" hidden="false" customHeight="false" outlineLevel="0" collapsed="false">
      <c r="A57" s="5" t="s">
        <v>73</v>
      </c>
      <c r="B57" s="5" t="n">
        <v>2020</v>
      </c>
      <c r="C57" s="5" t="s">
        <v>44</v>
      </c>
      <c r="D57" s="5" t="s">
        <v>46</v>
      </c>
      <c r="E57" s="5" t="s">
        <v>40</v>
      </c>
      <c r="F57" s="6" t="n">
        <v>9024</v>
      </c>
      <c r="G57" s="6" t="n">
        <v>4031</v>
      </c>
      <c r="H57" s="7" t="n">
        <f aca="false">(F57-G57)/F57</f>
        <v>0.553302304964539</v>
      </c>
    </row>
    <row r="58" customFormat="false" ht="15" hidden="false" customHeight="false" outlineLevel="0" collapsed="false">
      <c r="A58" s="5" t="s">
        <v>43</v>
      </c>
      <c r="B58" s="5" t="n">
        <v>2020</v>
      </c>
      <c r="C58" s="5" t="s">
        <v>44</v>
      </c>
      <c r="D58" s="5" t="s">
        <v>55</v>
      </c>
      <c r="E58" s="5" t="s">
        <v>39</v>
      </c>
      <c r="F58" s="6" t="n">
        <v>10118</v>
      </c>
      <c r="G58" s="6" t="n">
        <v>3759</v>
      </c>
      <c r="H58" s="7" t="n">
        <f aca="false">(F58-G58)/F58</f>
        <v>0.628483890096857</v>
      </c>
    </row>
    <row r="59" customFormat="false" ht="15" hidden="false" customHeight="false" outlineLevel="0" collapsed="false">
      <c r="A59" s="5" t="s">
        <v>43</v>
      </c>
      <c r="B59" s="5" t="n">
        <v>2020</v>
      </c>
      <c r="C59" s="5" t="s">
        <v>44</v>
      </c>
      <c r="D59" s="5" t="s">
        <v>55</v>
      </c>
      <c r="E59" s="5" t="s">
        <v>40</v>
      </c>
      <c r="F59" s="6" t="n">
        <v>6227</v>
      </c>
      <c r="G59" s="6" t="n">
        <v>2289</v>
      </c>
      <c r="H59" s="7" t="n">
        <f aca="false">(F59-G59)/F59</f>
        <v>0.63240725871206</v>
      </c>
    </row>
    <row r="60" customFormat="false" ht="15" hidden="false" customHeight="false" outlineLevel="0" collapsed="false">
      <c r="A60" s="5" t="s">
        <v>74</v>
      </c>
      <c r="B60" s="5" t="n">
        <v>2020</v>
      </c>
      <c r="C60" s="5" t="s">
        <v>59</v>
      </c>
      <c r="D60" s="5" t="s">
        <v>38</v>
      </c>
      <c r="E60" s="5" t="s">
        <v>39</v>
      </c>
      <c r="F60" s="6" t="n">
        <v>9164</v>
      </c>
      <c r="G60" s="6" t="n">
        <v>1275</v>
      </c>
      <c r="H60" s="7" t="n">
        <f aca="false">(F60-G60)/F60</f>
        <v>0.860868616324749</v>
      </c>
    </row>
    <row r="61" customFormat="false" ht="15" hidden="false" customHeight="false" outlineLevel="0" collapsed="false">
      <c r="A61" s="5" t="s">
        <v>74</v>
      </c>
      <c r="B61" s="5" t="n">
        <v>2020</v>
      </c>
      <c r="C61" s="5" t="s">
        <v>59</v>
      </c>
      <c r="D61" s="5" t="s">
        <v>38</v>
      </c>
      <c r="E61" s="5" t="s">
        <v>40</v>
      </c>
      <c r="F61" s="6" t="n">
        <v>11911</v>
      </c>
      <c r="G61" s="6" t="n">
        <v>1893</v>
      </c>
      <c r="H61" s="7" t="n">
        <f aca="false">(F61-G61)/F61</f>
        <v>0.841071278649987</v>
      </c>
    </row>
    <row r="62" customFormat="false" ht="15" hidden="false" customHeight="false" outlineLevel="0" collapsed="false">
      <c r="A62" s="5" t="s">
        <v>58</v>
      </c>
      <c r="B62" s="5" t="n">
        <v>2020</v>
      </c>
      <c r="C62" s="5" t="s">
        <v>59</v>
      </c>
      <c r="D62" s="5" t="s">
        <v>46</v>
      </c>
      <c r="E62" s="5" t="s">
        <v>39</v>
      </c>
      <c r="F62" s="6" t="n">
        <v>11718</v>
      </c>
      <c r="G62" s="6" t="n">
        <v>2589</v>
      </c>
      <c r="H62" s="7" t="n">
        <f aca="false">(F62-G62)/F62</f>
        <v>0.779057859703021</v>
      </c>
    </row>
    <row r="63" customFormat="false" ht="15" hidden="false" customHeight="false" outlineLevel="0" collapsed="false">
      <c r="A63" s="5" t="s">
        <v>58</v>
      </c>
      <c r="B63" s="5" t="n">
        <v>2020</v>
      </c>
      <c r="C63" s="5" t="s">
        <v>59</v>
      </c>
      <c r="D63" s="5" t="s">
        <v>46</v>
      </c>
      <c r="E63" s="5" t="s">
        <v>40</v>
      </c>
      <c r="F63" s="6" t="n">
        <v>9382</v>
      </c>
      <c r="G63" s="6" t="n">
        <v>1857</v>
      </c>
      <c r="H63" s="7" t="n">
        <f aca="false">(F63-G63)/F63</f>
        <v>0.802067789383927</v>
      </c>
    </row>
    <row r="64" customFormat="false" ht="15" hidden="false" customHeight="false" outlineLevel="0" collapsed="false">
      <c r="A64" s="5" t="s">
        <v>60</v>
      </c>
      <c r="B64" s="5" t="n">
        <v>2020</v>
      </c>
      <c r="C64" s="5" t="s">
        <v>59</v>
      </c>
      <c r="D64" s="5" t="s">
        <v>55</v>
      </c>
      <c r="E64" s="5" t="s">
        <v>39</v>
      </c>
      <c r="F64" s="6" t="n">
        <v>12608</v>
      </c>
      <c r="G64" s="6" t="n">
        <v>2797</v>
      </c>
      <c r="H64" s="7" t="n">
        <f aca="false">(F64-G64)/F64</f>
        <v>0.778156725888325</v>
      </c>
    </row>
    <row r="65" customFormat="false" ht="15" hidden="false" customHeight="false" outlineLevel="0" collapsed="false">
      <c r="A65" s="5" t="s">
        <v>60</v>
      </c>
      <c r="B65" s="5" t="n">
        <v>2020</v>
      </c>
      <c r="C65" s="5" t="s">
        <v>59</v>
      </c>
      <c r="D65" s="5" t="s">
        <v>55</v>
      </c>
      <c r="E65" s="5" t="s">
        <v>40</v>
      </c>
      <c r="F65" s="6" t="n">
        <v>7025</v>
      </c>
      <c r="G65" s="6" t="n">
        <v>2775</v>
      </c>
      <c r="H65" s="7" t="n">
        <f aca="false">(F65-G65)/F65</f>
        <v>0.604982206405694</v>
      </c>
    </row>
    <row r="66" customFormat="false" ht="15" hidden="false" customHeight="false" outlineLevel="0" collapsed="false">
      <c r="A66" s="5" t="s">
        <v>61</v>
      </c>
      <c r="B66" s="5" t="n">
        <v>2020</v>
      </c>
      <c r="C66" s="5" t="s">
        <v>59</v>
      </c>
      <c r="D66" s="5" t="s">
        <v>57</v>
      </c>
      <c r="E66" s="5" t="s">
        <v>39</v>
      </c>
      <c r="F66" s="6" t="n">
        <v>6964</v>
      </c>
      <c r="G66" s="6" t="n">
        <v>1742</v>
      </c>
      <c r="H66" s="7" t="n">
        <f aca="false">(F66-G66)/F66</f>
        <v>0.749856404365307</v>
      </c>
    </row>
    <row r="67" customFormat="false" ht="15" hidden="false" customHeight="false" outlineLevel="0" collapsed="false">
      <c r="A67" s="5" t="s">
        <v>61</v>
      </c>
      <c r="B67" s="5" t="n">
        <v>2020</v>
      </c>
      <c r="C67" s="5" t="s">
        <v>59</v>
      </c>
      <c r="D67" s="5" t="s">
        <v>57</v>
      </c>
      <c r="E67" s="5" t="s">
        <v>40</v>
      </c>
      <c r="F67" s="6" t="n">
        <v>9880</v>
      </c>
      <c r="G67" s="6" t="n">
        <v>4577</v>
      </c>
      <c r="H67" s="7" t="n">
        <f aca="false">(F67-G67)/F67</f>
        <v>0.536740890688259</v>
      </c>
    </row>
    <row r="68" customFormat="false" ht="15" hidden="false" customHeight="false" outlineLevel="0" collapsed="false">
      <c r="A68" s="5" t="s">
        <v>62</v>
      </c>
      <c r="B68" s="5" t="n">
        <v>2020</v>
      </c>
      <c r="C68" s="5" t="s">
        <v>59</v>
      </c>
      <c r="D68" s="5" t="s">
        <v>75</v>
      </c>
      <c r="E68" s="5" t="s">
        <v>39</v>
      </c>
      <c r="F68" s="6" t="n">
        <v>8190</v>
      </c>
      <c r="G68" s="6" t="n">
        <v>2630</v>
      </c>
      <c r="H68" s="7" t="n">
        <f aca="false">(F68-G68)/F68</f>
        <v>0.678876678876679</v>
      </c>
    </row>
    <row r="69" customFormat="false" ht="15" hidden="false" customHeight="false" outlineLevel="0" collapsed="false">
      <c r="A69" s="5" t="s">
        <v>62</v>
      </c>
      <c r="B69" s="5" t="n">
        <v>2020</v>
      </c>
      <c r="C69" s="5" t="s">
        <v>59</v>
      </c>
      <c r="D69" s="5" t="s">
        <v>75</v>
      </c>
      <c r="E69" s="5" t="s">
        <v>40</v>
      </c>
      <c r="F69" s="6" t="n">
        <v>6656</v>
      </c>
      <c r="G69" s="6" t="n">
        <v>3656</v>
      </c>
      <c r="H69" s="7" t="n">
        <f aca="false">(F69-G69)/F69</f>
        <v>0.450721153846154</v>
      </c>
    </row>
    <row r="70" customFormat="false" ht="15" hidden="false" customHeight="false" outlineLevel="0" collapsed="false">
      <c r="A70" s="5" t="s">
        <v>76</v>
      </c>
      <c r="B70" s="5" t="n">
        <v>2020</v>
      </c>
      <c r="C70" s="5" t="s">
        <v>77</v>
      </c>
      <c r="D70" s="5" t="s">
        <v>38</v>
      </c>
      <c r="E70" s="5" t="s">
        <v>39</v>
      </c>
      <c r="F70" s="6" t="n">
        <v>7728</v>
      </c>
      <c r="G70" s="6" t="n">
        <v>556</v>
      </c>
      <c r="H70" s="7" t="n">
        <f aca="false">(F70-G70)/F70</f>
        <v>0.928053830227743</v>
      </c>
    </row>
    <row r="71" customFormat="false" ht="15" hidden="false" customHeight="false" outlineLevel="0" collapsed="false">
      <c r="A71" s="5" t="s">
        <v>76</v>
      </c>
      <c r="B71" s="5" t="n">
        <v>2020</v>
      </c>
      <c r="C71" s="5" t="s">
        <v>77</v>
      </c>
      <c r="D71" s="5" t="s">
        <v>38</v>
      </c>
      <c r="E71" s="5" t="s">
        <v>40</v>
      </c>
      <c r="F71" s="6" t="n">
        <v>9320</v>
      </c>
      <c r="G71" s="6" t="n">
        <v>986</v>
      </c>
      <c r="H71" s="7" t="n">
        <f aca="false">(F71-G71)/F71</f>
        <v>0.894206008583691</v>
      </c>
    </row>
    <row r="72" customFormat="false" ht="15" hidden="false" customHeight="false" outlineLevel="0" collapsed="false">
      <c r="A72" s="5" t="s">
        <v>78</v>
      </c>
      <c r="B72" s="5" t="n">
        <v>2020</v>
      </c>
      <c r="C72" s="5" t="s">
        <v>77</v>
      </c>
      <c r="D72" s="5" t="s">
        <v>46</v>
      </c>
      <c r="E72" s="5" t="s">
        <v>39</v>
      </c>
      <c r="F72" s="6" t="n">
        <v>8877</v>
      </c>
      <c r="G72" s="6" t="n">
        <v>1809</v>
      </c>
      <c r="H72" s="7" t="n">
        <f aca="false">(F72-G72)/F72</f>
        <v>0.796214937478878</v>
      </c>
    </row>
    <row r="73" customFormat="false" ht="15" hidden="false" customHeight="false" outlineLevel="0" collapsed="false">
      <c r="A73" s="5" t="s">
        <v>78</v>
      </c>
      <c r="B73" s="5" t="n">
        <v>2020</v>
      </c>
      <c r="C73" s="5" t="s">
        <v>77</v>
      </c>
      <c r="D73" s="5" t="s">
        <v>46</v>
      </c>
      <c r="E73" s="5" t="s">
        <v>40</v>
      </c>
      <c r="F73" s="6" t="n">
        <v>6160</v>
      </c>
      <c r="G73" s="6" t="n">
        <v>1410</v>
      </c>
      <c r="H73" s="7" t="n">
        <f aca="false">(F73-G73)/F73</f>
        <v>0.771103896103896</v>
      </c>
    </row>
    <row r="74" customFormat="false" ht="15" hidden="false" customHeight="false" outlineLevel="0" collapsed="false">
      <c r="A74" s="5" t="s">
        <v>79</v>
      </c>
      <c r="B74" s="5" t="n">
        <v>2020</v>
      </c>
      <c r="C74" s="5" t="s">
        <v>77</v>
      </c>
      <c r="D74" s="5" t="s">
        <v>55</v>
      </c>
      <c r="E74" s="5" t="s">
        <v>39</v>
      </c>
      <c r="F74" s="6" t="n">
        <v>10426</v>
      </c>
      <c r="G74" s="6" t="n">
        <v>1640</v>
      </c>
      <c r="H74" s="7" t="n">
        <f aca="false">(F74-G74)/F74</f>
        <v>0.842700939957798</v>
      </c>
    </row>
    <row r="75" customFormat="false" ht="15" hidden="false" customHeight="false" outlineLevel="0" collapsed="false">
      <c r="A75" s="5" t="s">
        <v>79</v>
      </c>
      <c r="B75" s="5" t="n">
        <v>2020</v>
      </c>
      <c r="C75" s="5" t="s">
        <v>77</v>
      </c>
      <c r="D75" s="5" t="s">
        <v>55</v>
      </c>
      <c r="E75" s="5" t="s">
        <v>40</v>
      </c>
      <c r="F75" s="6" t="n">
        <v>7007</v>
      </c>
      <c r="G75" s="6" t="n">
        <v>2343</v>
      </c>
      <c r="H75" s="7" t="n">
        <f aca="false">(F75-G75)/F75</f>
        <v>0.665620094191523</v>
      </c>
    </row>
    <row r="76" customFormat="false" ht="15" hidden="false" customHeight="false" outlineLevel="0" collapsed="false">
      <c r="A76" s="5" t="s">
        <v>80</v>
      </c>
      <c r="B76" s="5" t="n">
        <v>2020</v>
      </c>
      <c r="C76" s="5" t="s">
        <v>77</v>
      </c>
      <c r="D76" s="5" t="s">
        <v>57</v>
      </c>
      <c r="E76" s="5" t="s">
        <v>39</v>
      </c>
      <c r="F76" s="6" t="n">
        <v>6175</v>
      </c>
      <c r="G76" s="6" t="n">
        <v>1159</v>
      </c>
      <c r="H76" s="7" t="n">
        <f aca="false">(F76-G76)/F76</f>
        <v>0.812307692307692</v>
      </c>
    </row>
    <row r="77" customFormat="false" ht="15" hidden="false" customHeight="false" outlineLevel="0" collapsed="false">
      <c r="A77" s="5" t="s">
        <v>80</v>
      </c>
      <c r="B77" s="5" t="n">
        <v>2020</v>
      </c>
      <c r="C77" s="5" t="s">
        <v>77</v>
      </c>
      <c r="D77" s="5" t="s">
        <v>57</v>
      </c>
      <c r="E77" s="5" t="s">
        <v>40</v>
      </c>
      <c r="F77" s="6" t="n">
        <v>8487</v>
      </c>
      <c r="G77" s="6" t="n">
        <v>2133</v>
      </c>
      <c r="H77" s="7" t="n">
        <f aca="false">(F77-G77)/F77</f>
        <v>0.748674443266172</v>
      </c>
    </row>
    <row r="78" customFormat="false" ht="15" hidden="false" customHeight="false" outlineLevel="0" collapsed="false">
      <c r="A78" s="5" t="s">
        <v>81</v>
      </c>
      <c r="B78" s="5" t="n">
        <v>2020</v>
      </c>
      <c r="C78" s="5" t="s">
        <v>77</v>
      </c>
      <c r="D78" s="5" t="s">
        <v>75</v>
      </c>
      <c r="E78" s="5" t="s">
        <v>39</v>
      </c>
      <c r="F78" s="6" t="n">
        <v>5674</v>
      </c>
      <c r="G78" s="6" t="n">
        <v>1601</v>
      </c>
      <c r="H78" s="7" t="n">
        <f aca="false">(F78-G78)/F78</f>
        <v>0.717835741980966</v>
      </c>
    </row>
    <row r="79" customFormat="false" ht="15" hidden="false" customHeight="false" outlineLevel="0" collapsed="false">
      <c r="A79" s="5" t="s">
        <v>81</v>
      </c>
      <c r="B79" s="5" t="n">
        <v>2020</v>
      </c>
      <c r="C79" s="5" t="s">
        <v>77</v>
      </c>
      <c r="D79" s="5" t="s">
        <v>75</v>
      </c>
      <c r="E79" s="5" t="s">
        <v>40</v>
      </c>
      <c r="F79" s="6" t="n">
        <v>4476</v>
      </c>
      <c r="G79" s="6" t="n">
        <v>1651</v>
      </c>
      <c r="H79" s="7" t="n">
        <f aca="false">(F79-G79)/F79</f>
        <v>0.631143878462913</v>
      </c>
    </row>
    <row r="80" customFormat="false" ht="15" hidden="false" customHeight="false" outlineLevel="0" collapsed="false">
      <c r="A80" s="5" t="s">
        <v>82</v>
      </c>
      <c r="B80" s="5" t="n">
        <v>2020</v>
      </c>
      <c r="C80" s="5" t="s">
        <v>83</v>
      </c>
      <c r="D80" s="5" t="s">
        <v>38</v>
      </c>
      <c r="E80" s="5" t="s">
        <v>39</v>
      </c>
      <c r="F80" s="6" t="n">
        <v>8470</v>
      </c>
      <c r="G80" s="6" t="n">
        <v>1237</v>
      </c>
      <c r="H80" s="7" t="n">
        <f aca="false">(F80-G80)/F80</f>
        <v>0.853955135773318</v>
      </c>
    </row>
    <row r="81" customFormat="false" ht="15" hidden="false" customHeight="false" outlineLevel="0" collapsed="false">
      <c r="A81" s="5" t="s">
        <v>82</v>
      </c>
      <c r="B81" s="5" t="n">
        <v>2020</v>
      </c>
      <c r="C81" s="5" t="s">
        <v>83</v>
      </c>
      <c r="D81" s="5" t="s">
        <v>38</v>
      </c>
      <c r="E81" s="5" t="s">
        <v>40</v>
      </c>
      <c r="F81" s="6" t="n">
        <v>10685</v>
      </c>
      <c r="G81" s="6" t="n">
        <v>1858</v>
      </c>
      <c r="H81" s="7" t="n">
        <f aca="false">(F81-G81)/F81</f>
        <v>0.826111371080955</v>
      </c>
    </row>
    <row r="82" customFormat="false" ht="15" hidden="false" customHeight="false" outlineLevel="0" collapsed="false">
      <c r="A82" s="5" t="s">
        <v>84</v>
      </c>
      <c r="B82" s="5" t="n">
        <v>2020</v>
      </c>
      <c r="C82" s="5" t="s">
        <v>83</v>
      </c>
      <c r="D82" s="5" t="s">
        <v>46</v>
      </c>
      <c r="E82" s="5" t="s">
        <v>39</v>
      </c>
      <c r="F82" s="6" t="n">
        <v>7701</v>
      </c>
      <c r="G82" s="6" t="n">
        <v>1569</v>
      </c>
      <c r="H82" s="7" t="n">
        <f aca="false">(F82-G82)/F82</f>
        <v>0.796260225944683</v>
      </c>
    </row>
    <row r="83" customFormat="false" ht="15" hidden="false" customHeight="false" outlineLevel="0" collapsed="false">
      <c r="A83" s="5" t="s">
        <v>84</v>
      </c>
      <c r="B83" s="5" t="n">
        <v>2020</v>
      </c>
      <c r="C83" s="5" t="s">
        <v>83</v>
      </c>
      <c r="D83" s="5" t="s">
        <v>46</v>
      </c>
      <c r="E83" s="5" t="s">
        <v>40</v>
      </c>
      <c r="F83" s="6" t="n">
        <v>8307</v>
      </c>
      <c r="G83" s="6" t="n">
        <v>2368</v>
      </c>
      <c r="H83" s="7" t="n">
        <f aca="false">(F83-G83)/F83</f>
        <v>0.714939207896954</v>
      </c>
    </row>
    <row r="84" customFormat="false" ht="15" hidden="false" customHeight="false" outlineLevel="0" collapsed="false">
      <c r="A84" s="5" t="s">
        <v>85</v>
      </c>
      <c r="B84" s="5" t="n">
        <v>2020</v>
      </c>
      <c r="C84" s="5" t="s">
        <v>83</v>
      </c>
      <c r="D84" s="5" t="s">
        <v>55</v>
      </c>
      <c r="E84" s="5" t="s">
        <v>39</v>
      </c>
      <c r="F84" s="6" t="n">
        <v>10225</v>
      </c>
      <c r="G84" s="6" t="n">
        <v>2553</v>
      </c>
      <c r="H84" s="7" t="n">
        <f aca="false">(F84-G84)/F84</f>
        <v>0.750317848410758</v>
      </c>
    </row>
    <row r="85" customFormat="false" ht="15" hidden="false" customHeight="false" outlineLevel="0" collapsed="false">
      <c r="A85" s="5" t="s">
        <v>85</v>
      </c>
      <c r="B85" s="5" t="n">
        <v>2020</v>
      </c>
      <c r="C85" s="5" t="s">
        <v>83</v>
      </c>
      <c r="D85" s="5" t="s">
        <v>55</v>
      </c>
      <c r="E85" s="5" t="s">
        <v>40</v>
      </c>
      <c r="F85" s="6" t="n">
        <v>5641</v>
      </c>
      <c r="G85" s="6" t="n">
        <v>1692</v>
      </c>
      <c r="H85" s="7" t="n">
        <f aca="false">(F85-G85)/F85</f>
        <v>0.700053182059918</v>
      </c>
    </row>
    <row r="86" customFormat="false" ht="15" hidden="false" customHeight="false" outlineLevel="0" collapsed="false">
      <c r="A86" s="5" t="s">
        <v>86</v>
      </c>
      <c r="B86" s="5" t="n">
        <v>2020</v>
      </c>
      <c r="C86" s="5" t="s">
        <v>83</v>
      </c>
      <c r="D86" s="5" t="s">
        <v>57</v>
      </c>
      <c r="E86" s="5" t="s">
        <v>39</v>
      </c>
      <c r="F86" s="6" t="n">
        <v>5664</v>
      </c>
      <c r="G86" s="6" t="n">
        <v>1786</v>
      </c>
      <c r="H86" s="7" t="n">
        <f aca="false">(F86-G86)/F86</f>
        <v>0.684675141242938</v>
      </c>
    </row>
    <row r="87" customFormat="false" ht="15" hidden="false" customHeight="false" outlineLevel="0" collapsed="false">
      <c r="A87" s="5" t="s">
        <v>86</v>
      </c>
      <c r="B87" s="5" t="n">
        <v>2020</v>
      </c>
      <c r="C87" s="5" t="s">
        <v>83</v>
      </c>
      <c r="D87" s="5" t="s">
        <v>57</v>
      </c>
      <c r="E87" s="5" t="s">
        <v>40</v>
      </c>
      <c r="F87" s="6" t="n">
        <v>8009</v>
      </c>
      <c r="G87" s="6" t="n">
        <v>3011</v>
      </c>
      <c r="H87" s="7" t="n">
        <f aca="false">(F87-G87)/F87</f>
        <v>0.624047946060682</v>
      </c>
    </row>
    <row r="88" customFormat="false" ht="15" hidden="false" customHeight="false" outlineLevel="0" collapsed="false">
      <c r="A88" s="5" t="s">
        <v>87</v>
      </c>
      <c r="B88" s="5" t="n">
        <v>2020</v>
      </c>
      <c r="C88" s="5" t="s">
        <v>83</v>
      </c>
      <c r="D88" s="5" t="s">
        <v>75</v>
      </c>
      <c r="E88" s="5" t="s">
        <v>39</v>
      </c>
      <c r="F88" s="6" t="n">
        <v>5332</v>
      </c>
      <c r="G88" s="6" t="n">
        <v>1237</v>
      </c>
      <c r="H88" s="7" t="n">
        <f aca="false">(F88-G88)/F88</f>
        <v>0.768004501125281</v>
      </c>
    </row>
    <row r="89" customFormat="false" ht="15" hidden="false" customHeight="false" outlineLevel="0" collapsed="false">
      <c r="A89" s="5" t="s">
        <v>87</v>
      </c>
      <c r="B89" s="5" t="n">
        <v>2020</v>
      </c>
      <c r="C89" s="5" t="s">
        <v>83</v>
      </c>
      <c r="D89" s="5" t="s">
        <v>75</v>
      </c>
      <c r="E89" s="5" t="s">
        <v>40</v>
      </c>
      <c r="F89" s="6" t="n">
        <v>4128</v>
      </c>
      <c r="G89" s="6" t="n">
        <v>1616</v>
      </c>
      <c r="H89" s="7" t="n">
        <f aca="false">(F89-G89)/F89</f>
        <v>0.608527131782946</v>
      </c>
    </row>
    <row r="90" customFormat="false" ht="15" hidden="false" customHeight="false" outlineLevel="0" collapsed="false">
      <c r="A90" s="5" t="s">
        <v>72</v>
      </c>
      <c r="B90" s="5" t="n">
        <v>2021</v>
      </c>
      <c r="C90" s="5" t="s">
        <v>44</v>
      </c>
      <c r="D90" s="5" t="s">
        <v>46</v>
      </c>
      <c r="E90" s="5" t="s">
        <v>39</v>
      </c>
      <c r="F90" s="6" t="n">
        <v>8835</v>
      </c>
      <c r="G90" s="6" t="n">
        <v>1727</v>
      </c>
      <c r="H90" s="7" t="n">
        <f aca="false">(F90-G90)/F90</f>
        <v>0.804527447651387</v>
      </c>
    </row>
    <row r="91" customFormat="false" ht="15" hidden="false" customHeight="false" outlineLevel="0" collapsed="false">
      <c r="A91" s="5" t="s">
        <v>72</v>
      </c>
      <c r="B91" s="5" t="n">
        <v>2021</v>
      </c>
      <c r="C91" s="5" t="s">
        <v>44</v>
      </c>
      <c r="D91" s="5" t="s">
        <v>46</v>
      </c>
      <c r="E91" s="5" t="s">
        <v>40</v>
      </c>
      <c r="F91" s="6" t="n">
        <v>8563</v>
      </c>
      <c r="G91" s="6" t="n">
        <v>2014</v>
      </c>
      <c r="H91" s="7" t="n">
        <f aca="false">(F91-G91)/F91</f>
        <v>0.764802055354432</v>
      </c>
    </row>
    <row r="92" customFormat="false" ht="15" hidden="false" customHeight="false" outlineLevel="0" collapsed="false">
      <c r="A92" s="5" t="s">
        <v>73</v>
      </c>
      <c r="B92" s="5" t="n">
        <v>2021</v>
      </c>
      <c r="C92" s="5" t="s">
        <v>44</v>
      </c>
      <c r="D92" s="5" t="s">
        <v>55</v>
      </c>
      <c r="E92" s="5" t="s">
        <v>39</v>
      </c>
      <c r="F92" s="6" t="n">
        <v>9654</v>
      </c>
      <c r="G92" s="6" t="n">
        <v>2331</v>
      </c>
      <c r="H92" s="7" t="n">
        <f aca="false">(F92-G92)/F92</f>
        <v>0.758545680546924</v>
      </c>
    </row>
    <row r="93" customFormat="false" ht="15" hidden="false" customHeight="false" outlineLevel="0" collapsed="false">
      <c r="A93" s="5" t="s">
        <v>73</v>
      </c>
      <c r="B93" s="5" t="n">
        <v>2021</v>
      </c>
      <c r="C93" s="5" t="s">
        <v>44</v>
      </c>
      <c r="D93" s="5" t="s">
        <v>55</v>
      </c>
      <c r="E93" s="5" t="s">
        <v>40</v>
      </c>
      <c r="F93" s="6" t="n">
        <v>6410</v>
      </c>
      <c r="G93" s="6" t="n">
        <v>2650</v>
      </c>
      <c r="H93" s="7" t="n">
        <f aca="false">(F93-G93)/F93</f>
        <v>0.586583463338534</v>
      </c>
    </row>
    <row r="94" customFormat="false" ht="15" hidden="false" customHeight="false" outlineLevel="0" collapsed="false">
      <c r="A94" s="5" t="s">
        <v>43</v>
      </c>
      <c r="B94" s="5" t="n">
        <v>2021</v>
      </c>
      <c r="C94" s="5" t="s">
        <v>44</v>
      </c>
      <c r="D94" s="5" t="s">
        <v>57</v>
      </c>
      <c r="E94" s="5" t="s">
        <v>39</v>
      </c>
      <c r="F94" s="6" t="n">
        <v>7514</v>
      </c>
      <c r="G94" s="6" t="n">
        <v>2869</v>
      </c>
      <c r="H94" s="7" t="n">
        <f aca="false">(F94-G94)/F94</f>
        <v>0.618179398456215</v>
      </c>
    </row>
    <row r="95" customFormat="false" ht="15" hidden="false" customHeight="false" outlineLevel="0" collapsed="false">
      <c r="A95" s="5" t="s">
        <v>43</v>
      </c>
      <c r="B95" s="5" t="n">
        <v>2021</v>
      </c>
      <c r="C95" s="5" t="s">
        <v>44</v>
      </c>
      <c r="D95" s="5" t="s">
        <v>57</v>
      </c>
      <c r="E95" s="5" t="s">
        <v>40</v>
      </c>
      <c r="F95" s="6" t="n">
        <v>8125</v>
      </c>
      <c r="G95" s="6" t="n">
        <v>3352</v>
      </c>
      <c r="H95" s="7" t="n">
        <f aca="false">(F95-G95)/F95</f>
        <v>0.587446153846154</v>
      </c>
    </row>
    <row r="96" customFormat="false" ht="15" hidden="false" customHeight="false" outlineLevel="0" collapsed="false">
      <c r="A96" s="5" t="s">
        <v>88</v>
      </c>
      <c r="B96" s="5" t="n">
        <v>2021</v>
      </c>
      <c r="C96" s="5" t="s">
        <v>52</v>
      </c>
      <c r="D96" s="5" t="s">
        <v>46</v>
      </c>
      <c r="E96" s="5" t="s">
        <v>39</v>
      </c>
      <c r="F96" s="6" t="n">
        <v>17572</v>
      </c>
      <c r="G96" s="6" t="n">
        <v>2488</v>
      </c>
      <c r="H96" s="7" t="n">
        <f aca="false">(F96-G96)/F96</f>
        <v>0.858411108581835</v>
      </c>
    </row>
    <row r="97" customFormat="false" ht="15" hidden="false" customHeight="false" outlineLevel="0" collapsed="false">
      <c r="A97" s="5" t="s">
        <v>88</v>
      </c>
      <c r="B97" s="5" t="n">
        <v>2021</v>
      </c>
      <c r="C97" s="5" t="s">
        <v>52</v>
      </c>
      <c r="D97" s="5" t="s">
        <v>46</v>
      </c>
      <c r="E97" s="5" t="s">
        <v>40</v>
      </c>
      <c r="F97" s="6" t="n">
        <v>16379</v>
      </c>
      <c r="G97" s="6" t="n">
        <v>3933</v>
      </c>
      <c r="H97" s="7" t="n">
        <f aca="false">(F97-G97)/F97</f>
        <v>0.759875450271689</v>
      </c>
    </row>
    <row r="98" customFormat="false" ht="15" hidden="false" customHeight="false" outlineLevel="0" collapsed="false">
      <c r="A98" s="5" t="s">
        <v>51</v>
      </c>
      <c r="B98" s="5" t="n">
        <v>2021</v>
      </c>
      <c r="C98" s="5" t="s">
        <v>52</v>
      </c>
      <c r="D98" s="5" t="s">
        <v>55</v>
      </c>
      <c r="E98" s="5" t="s">
        <v>39</v>
      </c>
      <c r="F98" s="6" t="n">
        <v>18914</v>
      </c>
      <c r="G98" s="6" t="n">
        <v>2773</v>
      </c>
      <c r="H98" s="7" t="n">
        <f aca="false">(F98-G98)/F98</f>
        <v>0.853389024003384</v>
      </c>
    </row>
    <row r="99" customFormat="false" ht="15" hidden="false" customHeight="false" outlineLevel="0" collapsed="false">
      <c r="A99" s="5" t="s">
        <v>51</v>
      </c>
      <c r="B99" s="5" t="n">
        <v>2021</v>
      </c>
      <c r="C99" s="5" t="s">
        <v>52</v>
      </c>
      <c r="D99" s="5" t="s">
        <v>55</v>
      </c>
      <c r="E99" s="5" t="s">
        <v>40</v>
      </c>
      <c r="F99" s="6" t="n">
        <v>11051</v>
      </c>
      <c r="G99" s="6" t="n">
        <v>3388</v>
      </c>
      <c r="H99" s="7" t="n">
        <f aca="false">(F99-G99)/F99</f>
        <v>0.693421409827165</v>
      </c>
    </row>
    <row r="100" customFormat="false" ht="15" hidden="false" customHeight="false" outlineLevel="0" collapsed="false">
      <c r="A100" s="5" t="s">
        <v>53</v>
      </c>
      <c r="B100" s="5" t="n">
        <v>2021</v>
      </c>
      <c r="C100" s="5" t="s">
        <v>52</v>
      </c>
      <c r="D100" s="5" t="s">
        <v>57</v>
      </c>
      <c r="E100" s="5" t="s">
        <v>39</v>
      </c>
      <c r="F100" s="6" t="n">
        <v>16002</v>
      </c>
      <c r="G100" s="6" t="n">
        <v>3504</v>
      </c>
      <c r="H100" s="7" t="n">
        <f aca="false">(F100-G100)/F100</f>
        <v>0.781027371578553</v>
      </c>
    </row>
    <row r="101" customFormat="false" ht="15" hidden="false" customHeight="false" outlineLevel="0" collapsed="false">
      <c r="A101" s="5" t="s">
        <v>53</v>
      </c>
      <c r="B101" s="5" t="n">
        <v>2021</v>
      </c>
      <c r="C101" s="5" t="s">
        <v>52</v>
      </c>
      <c r="D101" s="5" t="s">
        <v>57</v>
      </c>
      <c r="E101" s="5" t="s">
        <v>40</v>
      </c>
      <c r="F101" s="6" t="n">
        <v>15269</v>
      </c>
      <c r="G101" s="6" t="n">
        <v>5183</v>
      </c>
      <c r="H101" s="7" t="n">
        <f aca="false">(F101-G101)/F101</f>
        <v>0.660554063789377</v>
      </c>
    </row>
    <row r="102" customFormat="false" ht="15" hidden="false" customHeight="false" outlineLevel="0" collapsed="false">
      <c r="A102" s="5" t="s">
        <v>54</v>
      </c>
      <c r="B102" s="5" t="n">
        <v>2021</v>
      </c>
      <c r="C102" s="5" t="s">
        <v>52</v>
      </c>
      <c r="D102" s="5" t="s">
        <v>75</v>
      </c>
      <c r="E102" s="5" t="s">
        <v>39</v>
      </c>
      <c r="F102" s="6" t="n">
        <v>9738</v>
      </c>
      <c r="G102" s="6" t="n">
        <v>2447</v>
      </c>
      <c r="H102" s="7" t="n">
        <f aca="false">(F102-G102)/F102</f>
        <v>0.748716368864243</v>
      </c>
    </row>
    <row r="103" customFormat="false" ht="15" hidden="false" customHeight="false" outlineLevel="0" collapsed="false">
      <c r="A103" s="5" t="s">
        <v>54</v>
      </c>
      <c r="B103" s="5" t="n">
        <v>2021</v>
      </c>
      <c r="C103" s="5" t="s">
        <v>52</v>
      </c>
      <c r="D103" s="5" t="s">
        <v>75</v>
      </c>
      <c r="E103" s="5" t="s">
        <v>40</v>
      </c>
      <c r="F103" s="6" t="n">
        <v>17378</v>
      </c>
      <c r="G103" s="6" t="n">
        <v>6260</v>
      </c>
      <c r="H103" s="7" t="n">
        <f aca="false">(F103-G103)/F103</f>
        <v>0.639774427436989</v>
      </c>
    </row>
    <row r="104" customFormat="false" ht="15" hidden="false" customHeight="false" outlineLevel="0" collapsed="false">
      <c r="A104" s="5" t="s">
        <v>56</v>
      </c>
      <c r="B104" s="5" t="n">
        <v>2021</v>
      </c>
      <c r="C104" s="5" t="s">
        <v>52</v>
      </c>
      <c r="D104" s="5" t="s">
        <v>89</v>
      </c>
      <c r="E104" s="5" t="s">
        <v>39</v>
      </c>
      <c r="F104" s="6" t="n">
        <v>10218</v>
      </c>
      <c r="G104" s="6" t="n">
        <v>2648</v>
      </c>
      <c r="H104" s="7" t="n">
        <f aca="false">(F104-G104)/F104</f>
        <v>0.740849481307497</v>
      </c>
    </row>
    <row r="105" customFormat="false" ht="15" hidden="false" customHeight="false" outlineLevel="0" collapsed="false">
      <c r="A105" s="5" t="s">
        <v>56</v>
      </c>
      <c r="B105" s="5" t="n">
        <v>2021</v>
      </c>
      <c r="C105" s="5" t="s">
        <v>52</v>
      </c>
      <c r="D105" s="5" t="s">
        <v>89</v>
      </c>
      <c r="E105" s="5" t="s">
        <v>40</v>
      </c>
      <c r="F105" s="6" t="n">
        <v>8280</v>
      </c>
      <c r="G105" s="6" t="n">
        <v>3388</v>
      </c>
      <c r="H105" s="7" t="n">
        <f aca="false">(F105-G105)/F105</f>
        <v>0.590821256038647</v>
      </c>
    </row>
    <row r="106" customFormat="false" ht="15" hidden="false" customHeight="false" outlineLevel="0" collapsed="false">
      <c r="A106" s="5" t="s">
        <v>74</v>
      </c>
      <c r="B106" s="5" t="n">
        <v>2021</v>
      </c>
      <c r="C106" s="5" t="s">
        <v>59</v>
      </c>
      <c r="D106" s="5" t="s">
        <v>46</v>
      </c>
      <c r="E106" s="5" t="s">
        <v>39</v>
      </c>
      <c r="F106" s="6" t="n">
        <v>15330</v>
      </c>
      <c r="G106" s="6" t="n">
        <v>2446</v>
      </c>
      <c r="H106" s="7" t="n">
        <f aca="false">(F106-G106)/F106</f>
        <v>0.84044357469015</v>
      </c>
    </row>
    <row r="107" customFormat="false" ht="15" hidden="false" customHeight="false" outlineLevel="0" collapsed="false">
      <c r="A107" s="5" t="s">
        <v>74</v>
      </c>
      <c r="B107" s="5" t="n">
        <v>2021</v>
      </c>
      <c r="C107" s="5" t="s">
        <v>59</v>
      </c>
      <c r="D107" s="5" t="s">
        <v>46</v>
      </c>
      <c r="E107" s="5" t="s">
        <v>40</v>
      </c>
      <c r="F107" s="6" t="n">
        <v>14042</v>
      </c>
      <c r="G107" s="6" t="n">
        <v>2527</v>
      </c>
      <c r="H107" s="7" t="n">
        <f aca="false">(F107-G107)/F107</f>
        <v>0.820039880358923</v>
      </c>
    </row>
    <row r="108" customFormat="false" ht="15" hidden="false" customHeight="false" outlineLevel="0" collapsed="false">
      <c r="A108" s="5" t="s">
        <v>58</v>
      </c>
      <c r="B108" s="5" t="n">
        <v>2021</v>
      </c>
      <c r="C108" s="5" t="s">
        <v>59</v>
      </c>
      <c r="D108" s="5" t="s">
        <v>55</v>
      </c>
      <c r="E108" s="5" t="s">
        <v>39</v>
      </c>
      <c r="F108" s="6" t="n">
        <v>17090</v>
      </c>
      <c r="G108" s="6" t="n">
        <v>3385</v>
      </c>
      <c r="H108" s="7" t="n">
        <f aca="false">(F108-G108)/F108</f>
        <v>0.801930953774137</v>
      </c>
    </row>
    <row r="109" customFormat="false" ht="15" hidden="false" customHeight="false" outlineLevel="0" collapsed="false">
      <c r="A109" s="5" t="s">
        <v>58</v>
      </c>
      <c r="B109" s="5" t="n">
        <v>2021</v>
      </c>
      <c r="C109" s="5" t="s">
        <v>59</v>
      </c>
      <c r="D109" s="5" t="s">
        <v>55</v>
      </c>
      <c r="E109" s="5" t="s">
        <v>40</v>
      </c>
      <c r="F109" s="6" t="n">
        <v>9372</v>
      </c>
      <c r="G109" s="6" t="n">
        <v>2976</v>
      </c>
      <c r="H109" s="7" t="n">
        <f aca="false">(F109-G109)/F109</f>
        <v>0.682458386683739</v>
      </c>
    </row>
    <row r="110" customFormat="false" ht="15" hidden="false" customHeight="false" outlineLevel="0" collapsed="false">
      <c r="A110" s="5" t="s">
        <v>60</v>
      </c>
      <c r="B110" s="5" t="n">
        <v>2021</v>
      </c>
      <c r="C110" s="5" t="s">
        <v>59</v>
      </c>
      <c r="D110" s="5" t="s">
        <v>57</v>
      </c>
      <c r="E110" s="5" t="s">
        <v>39</v>
      </c>
      <c r="F110" s="6" t="n">
        <v>14633</v>
      </c>
      <c r="G110" s="6" t="n">
        <v>3303</v>
      </c>
      <c r="H110" s="7" t="n">
        <f aca="false">(F110-G110)/F110</f>
        <v>0.774277318389941</v>
      </c>
    </row>
    <row r="111" customFormat="false" ht="15" hidden="false" customHeight="false" outlineLevel="0" collapsed="false">
      <c r="A111" s="5" t="s">
        <v>60</v>
      </c>
      <c r="B111" s="5" t="n">
        <v>2021</v>
      </c>
      <c r="C111" s="5" t="s">
        <v>59</v>
      </c>
      <c r="D111" s="5" t="s">
        <v>57</v>
      </c>
      <c r="E111" s="5" t="s">
        <v>40</v>
      </c>
      <c r="F111" s="6" t="n">
        <v>13702</v>
      </c>
      <c r="G111" s="6" t="n">
        <v>5621</v>
      </c>
      <c r="H111" s="7" t="n">
        <f aca="false">(F111-G111)/F111</f>
        <v>0.589767917092395</v>
      </c>
    </row>
    <row r="112" customFormat="false" ht="15" hidden="false" customHeight="false" outlineLevel="0" collapsed="false">
      <c r="A112" s="5" t="s">
        <v>61</v>
      </c>
      <c r="B112" s="5" t="n">
        <v>2021</v>
      </c>
      <c r="C112" s="5" t="s">
        <v>59</v>
      </c>
      <c r="D112" s="5" t="s">
        <v>75</v>
      </c>
      <c r="E112" s="5" t="s">
        <v>39</v>
      </c>
      <c r="F112" s="6" t="n">
        <v>9752</v>
      </c>
      <c r="G112" s="6" t="n">
        <v>2057</v>
      </c>
      <c r="H112" s="7" t="n">
        <f aca="false">(F112-G112)/F112</f>
        <v>0.789068908941756</v>
      </c>
    </row>
    <row r="113" customFormat="false" ht="15" hidden="false" customHeight="false" outlineLevel="0" collapsed="false">
      <c r="A113" s="5" t="s">
        <v>61</v>
      </c>
      <c r="B113" s="5" t="n">
        <v>2021</v>
      </c>
      <c r="C113" s="5" t="s">
        <v>59</v>
      </c>
      <c r="D113" s="5" t="s">
        <v>75</v>
      </c>
      <c r="E113" s="5" t="s">
        <v>40</v>
      </c>
      <c r="F113" s="6" t="n">
        <v>16913</v>
      </c>
      <c r="G113" s="6" t="n">
        <v>6035</v>
      </c>
      <c r="H113" s="7" t="n">
        <f aca="false">(F113-G113)/F113</f>
        <v>0.643173889907172</v>
      </c>
    </row>
    <row r="114" customFormat="false" ht="15" hidden="false" customHeight="false" outlineLevel="0" collapsed="false">
      <c r="A114" s="5" t="s">
        <v>62</v>
      </c>
      <c r="B114" s="5" t="n">
        <v>2021</v>
      </c>
      <c r="C114" s="5" t="s">
        <v>59</v>
      </c>
      <c r="D114" s="5" t="s">
        <v>89</v>
      </c>
      <c r="E114" s="5" t="s">
        <v>39</v>
      </c>
      <c r="F114" s="6" t="n">
        <v>9720</v>
      </c>
      <c r="G114" s="6" t="n">
        <v>3168</v>
      </c>
      <c r="H114" s="7" t="n">
        <f aca="false">(F114-G114)/F114</f>
        <v>0.674074074074074</v>
      </c>
    </row>
    <row r="115" customFormat="false" ht="15" hidden="false" customHeight="false" outlineLevel="0" collapsed="false">
      <c r="A115" s="5" t="s">
        <v>62</v>
      </c>
      <c r="B115" s="5" t="n">
        <v>2021</v>
      </c>
      <c r="C115" s="5" t="s">
        <v>59</v>
      </c>
      <c r="D115" s="5" t="s">
        <v>89</v>
      </c>
      <c r="E115" s="5" t="s">
        <v>40</v>
      </c>
      <c r="F115" s="6" t="n">
        <v>7909</v>
      </c>
      <c r="G115" s="6" t="n">
        <v>4087</v>
      </c>
      <c r="H115" s="7" t="n">
        <f aca="false">(F115-G115)/F115</f>
        <v>0.483246933872803</v>
      </c>
    </row>
    <row r="116" customFormat="false" ht="15" hidden="false" customHeight="false" outlineLevel="0" collapsed="false">
      <c r="A116" s="5" t="s">
        <v>76</v>
      </c>
      <c r="B116" s="5" t="n">
        <v>2021</v>
      </c>
      <c r="C116" s="5" t="s">
        <v>77</v>
      </c>
      <c r="D116" s="5" t="s">
        <v>46</v>
      </c>
      <c r="E116" s="5" t="s">
        <v>39</v>
      </c>
      <c r="F116" s="6" t="n">
        <v>15565</v>
      </c>
      <c r="G116" s="6" t="n">
        <v>2339</v>
      </c>
      <c r="H116" s="7" t="n">
        <f aca="false">(F116-G116)/F116</f>
        <v>0.849726951493736</v>
      </c>
    </row>
    <row r="117" customFormat="false" ht="15" hidden="false" customHeight="false" outlineLevel="0" collapsed="false">
      <c r="A117" s="5" t="s">
        <v>76</v>
      </c>
      <c r="B117" s="5" t="n">
        <v>2021</v>
      </c>
      <c r="C117" s="5" t="s">
        <v>77</v>
      </c>
      <c r="D117" s="5" t="s">
        <v>46</v>
      </c>
      <c r="E117" s="5" t="s">
        <v>40</v>
      </c>
      <c r="F117" s="6" t="n">
        <v>14054</v>
      </c>
      <c r="G117" s="6" t="n">
        <v>3282</v>
      </c>
      <c r="H117" s="7" t="n">
        <f aca="false">(F117-G117)/F117</f>
        <v>0.766472178739149</v>
      </c>
    </row>
    <row r="118" customFormat="false" ht="15" hidden="false" customHeight="false" outlineLevel="0" collapsed="false">
      <c r="A118" s="5" t="s">
        <v>78</v>
      </c>
      <c r="B118" s="5" t="n">
        <v>2021</v>
      </c>
      <c r="C118" s="5" t="s">
        <v>77</v>
      </c>
      <c r="D118" s="5" t="s">
        <v>55</v>
      </c>
      <c r="E118" s="5" t="s">
        <v>39</v>
      </c>
      <c r="F118" s="6" t="n">
        <v>17453</v>
      </c>
      <c r="G118" s="6" t="n">
        <v>2499</v>
      </c>
      <c r="H118" s="7" t="n">
        <f aca="false">(F118-G118)/F118</f>
        <v>0.856815447201054</v>
      </c>
    </row>
    <row r="119" customFormat="false" ht="15" hidden="false" customHeight="false" outlineLevel="0" collapsed="false">
      <c r="A119" s="5" t="s">
        <v>78</v>
      </c>
      <c r="B119" s="5" t="n">
        <v>2021</v>
      </c>
      <c r="C119" s="5" t="s">
        <v>77</v>
      </c>
      <c r="D119" s="5" t="s">
        <v>55</v>
      </c>
      <c r="E119" s="5" t="s">
        <v>40</v>
      </c>
      <c r="F119" s="6" t="n">
        <v>9072</v>
      </c>
      <c r="G119" s="6" t="n">
        <v>2447</v>
      </c>
      <c r="H119" s="7" t="n">
        <f aca="false">(F119-G119)/F119</f>
        <v>0.730268959435626</v>
      </c>
    </row>
    <row r="120" customFormat="false" ht="15" hidden="false" customHeight="false" outlineLevel="0" collapsed="false">
      <c r="A120" s="5" t="s">
        <v>79</v>
      </c>
      <c r="B120" s="5" t="n">
        <v>2021</v>
      </c>
      <c r="C120" s="5" t="s">
        <v>77</v>
      </c>
      <c r="D120" s="5" t="s">
        <v>57</v>
      </c>
      <c r="E120" s="5" t="s">
        <v>39</v>
      </c>
      <c r="F120" s="6" t="n">
        <v>14122</v>
      </c>
      <c r="G120" s="6" t="n">
        <v>2806</v>
      </c>
      <c r="H120" s="7" t="n">
        <f aca="false">(F120-G120)/F120</f>
        <v>0.801302931596091</v>
      </c>
    </row>
    <row r="121" customFormat="false" ht="15" hidden="false" customHeight="false" outlineLevel="0" collapsed="false">
      <c r="A121" s="5" t="s">
        <v>79</v>
      </c>
      <c r="B121" s="5" t="n">
        <v>2021</v>
      </c>
      <c r="C121" s="5" t="s">
        <v>77</v>
      </c>
      <c r="D121" s="5" t="s">
        <v>57</v>
      </c>
      <c r="E121" s="5" t="s">
        <v>40</v>
      </c>
      <c r="F121" s="6" t="n">
        <v>15118</v>
      </c>
      <c r="G121" s="6" t="n">
        <v>4484</v>
      </c>
      <c r="H121" s="7" t="n">
        <f aca="false">(F121-G121)/F121</f>
        <v>0.703399920624421</v>
      </c>
    </row>
    <row r="122" customFormat="false" ht="15" hidden="false" customHeight="false" outlineLevel="0" collapsed="false">
      <c r="A122" s="5" t="s">
        <v>80</v>
      </c>
      <c r="B122" s="5" t="n">
        <v>2021</v>
      </c>
      <c r="C122" s="5" t="s">
        <v>77</v>
      </c>
      <c r="D122" s="5" t="s">
        <v>75</v>
      </c>
      <c r="E122" s="5" t="s">
        <v>39</v>
      </c>
      <c r="F122" s="6" t="n">
        <v>8946</v>
      </c>
      <c r="G122" s="6" t="n">
        <v>1609</v>
      </c>
      <c r="H122" s="7" t="n">
        <f aca="false">(F122-G122)/F122</f>
        <v>0.820143080706461</v>
      </c>
    </row>
    <row r="123" customFormat="false" ht="15" hidden="false" customHeight="false" outlineLevel="0" collapsed="false">
      <c r="A123" s="5" t="s">
        <v>80</v>
      </c>
      <c r="B123" s="5" t="n">
        <v>2021</v>
      </c>
      <c r="C123" s="5" t="s">
        <v>77</v>
      </c>
      <c r="D123" s="5" t="s">
        <v>75</v>
      </c>
      <c r="E123" s="5" t="s">
        <v>40</v>
      </c>
      <c r="F123" s="6" t="n">
        <v>16068</v>
      </c>
      <c r="G123" s="6" t="n">
        <v>4384</v>
      </c>
      <c r="H123" s="7" t="n">
        <f aca="false">(F123-G123)/F123</f>
        <v>0.727159571819766</v>
      </c>
    </row>
    <row r="124" customFormat="false" ht="15" hidden="false" customHeight="false" outlineLevel="0" collapsed="false">
      <c r="A124" s="5" t="s">
        <v>81</v>
      </c>
      <c r="B124" s="5" t="n">
        <v>2021</v>
      </c>
      <c r="C124" s="5" t="s">
        <v>77</v>
      </c>
      <c r="D124" s="5" t="s">
        <v>89</v>
      </c>
      <c r="E124" s="5" t="s">
        <v>39</v>
      </c>
      <c r="F124" s="6" t="n">
        <v>9936</v>
      </c>
      <c r="G124" s="6" t="n">
        <v>2589</v>
      </c>
      <c r="H124" s="7" t="n">
        <f aca="false">(F124-G124)/F124</f>
        <v>0.739432367149759</v>
      </c>
    </row>
    <row r="125" customFormat="false" ht="15" hidden="false" customHeight="false" outlineLevel="0" collapsed="false">
      <c r="A125" s="5" t="s">
        <v>81</v>
      </c>
      <c r="B125" s="5" t="n">
        <v>2021</v>
      </c>
      <c r="C125" s="5" t="s">
        <v>77</v>
      </c>
      <c r="D125" s="5" t="s">
        <v>89</v>
      </c>
      <c r="E125" s="5" t="s">
        <v>40</v>
      </c>
      <c r="F125" s="6" t="n">
        <v>7379</v>
      </c>
      <c r="G125" s="6" t="n">
        <v>2923</v>
      </c>
      <c r="H125" s="7" t="n">
        <f aca="false">(F125-G125)/F125</f>
        <v>0.603875863938203</v>
      </c>
    </row>
    <row r="126" customFormat="false" ht="15" hidden="false" customHeight="false" outlineLevel="0" collapsed="false">
      <c r="A126" s="5" t="s">
        <v>90</v>
      </c>
      <c r="B126" s="5" t="n">
        <v>2022</v>
      </c>
      <c r="C126" s="5" t="s">
        <v>49</v>
      </c>
      <c r="D126" s="5" t="s">
        <v>55</v>
      </c>
      <c r="E126" s="5" t="s">
        <v>39</v>
      </c>
      <c r="F126" s="6" t="n">
        <v>17289</v>
      </c>
      <c r="G126" s="6" t="n">
        <v>3273</v>
      </c>
      <c r="H126" s="7" t="n">
        <f aca="false">(F126-G126)/F126</f>
        <v>0.81068887732084</v>
      </c>
    </row>
    <row r="127" customFormat="false" ht="15" hidden="false" customHeight="false" outlineLevel="0" collapsed="false">
      <c r="A127" s="5" t="s">
        <v>90</v>
      </c>
      <c r="B127" s="5" t="n">
        <v>2022</v>
      </c>
      <c r="C127" s="5" t="s">
        <v>49</v>
      </c>
      <c r="D127" s="5" t="s">
        <v>55</v>
      </c>
      <c r="E127" s="5" t="s">
        <v>40</v>
      </c>
      <c r="F127" s="6" t="n">
        <v>13076</v>
      </c>
      <c r="G127" s="6" t="n">
        <v>3507</v>
      </c>
      <c r="H127" s="7" t="n">
        <f aca="false">(F127-G127)/F127</f>
        <v>0.731798715203426</v>
      </c>
    </row>
    <row r="128" customFormat="false" ht="15" hidden="false" customHeight="false" outlineLevel="0" collapsed="false">
      <c r="A128" s="5" t="s">
        <v>48</v>
      </c>
      <c r="B128" s="5" t="n">
        <v>2022</v>
      </c>
      <c r="C128" s="5" t="s">
        <v>49</v>
      </c>
      <c r="D128" s="5" t="s">
        <v>57</v>
      </c>
      <c r="E128" s="5" t="s">
        <v>39</v>
      </c>
      <c r="F128" s="6" t="n">
        <v>17208</v>
      </c>
      <c r="G128" s="6" t="n">
        <v>4732</v>
      </c>
      <c r="H128" s="7" t="n">
        <f aca="false">(F128-G128)/F128</f>
        <v>0.725011622501162</v>
      </c>
    </row>
    <row r="129" customFormat="false" ht="15" hidden="false" customHeight="false" outlineLevel="0" collapsed="false">
      <c r="A129" s="5" t="s">
        <v>48</v>
      </c>
      <c r="B129" s="5" t="n">
        <v>2022</v>
      </c>
      <c r="C129" s="5" t="s">
        <v>49</v>
      </c>
      <c r="D129" s="5" t="s">
        <v>57</v>
      </c>
      <c r="E129" s="5" t="s">
        <v>40</v>
      </c>
      <c r="F129" s="6" t="n">
        <v>18673</v>
      </c>
      <c r="G129" s="6" t="n">
        <v>7295</v>
      </c>
      <c r="H129" s="7" t="n">
        <f aca="false">(F129-G129)/F129</f>
        <v>0.609328977668291</v>
      </c>
    </row>
    <row r="130" customFormat="false" ht="15" hidden="false" customHeight="false" outlineLevel="0" collapsed="false">
      <c r="A130" s="5" t="s">
        <v>50</v>
      </c>
      <c r="B130" s="5" t="n">
        <v>2022</v>
      </c>
      <c r="C130" s="5" t="s">
        <v>49</v>
      </c>
      <c r="D130" s="5" t="s">
        <v>75</v>
      </c>
      <c r="E130" s="5" t="s">
        <v>39</v>
      </c>
      <c r="F130" s="6" t="n">
        <v>15167</v>
      </c>
      <c r="G130" s="6" t="n">
        <v>4624</v>
      </c>
      <c r="H130" s="7" t="n">
        <f aca="false">(F130-G130)/F130</f>
        <v>0.695127579613635</v>
      </c>
    </row>
    <row r="131" customFormat="false" ht="15" hidden="false" customHeight="false" outlineLevel="0" collapsed="false">
      <c r="A131" s="5" t="s">
        <v>50</v>
      </c>
      <c r="B131" s="5" t="n">
        <v>2022</v>
      </c>
      <c r="C131" s="5" t="s">
        <v>49</v>
      </c>
      <c r="D131" s="5" t="s">
        <v>75</v>
      </c>
      <c r="E131" s="5" t="s">
        <v>40</v>
      </c>
      <c r="F131" s="6" t="n">
        <v>21109</v>
      </c>
      <c r="G131" s="6" t="n">
        <v>9111</v>
      </c>
      <c r="H131" s="7" t="n">
        <f aca="false">(F131-G131)/F131</f>
        <v>0.568383154104884</v>
      </c>
    </row>
    <row r="132" customFormat="false" ht="15" hidden="false" customHeight="false" outlineLevel="0" collapsed="false">
      <c r="A132" s="5" t="s">
        <v>74</v>
      </c>
      <c r="B132" s="5" t="n">
        <v>2022</v>
      </c>
      <c r="C132" s="5" t="s">
        <v>59</v>
      </c>
      <c r="D132" s="5" t="s">
        <v>55</v>
      </c>
      <c r="E132" s="5" t="s">
        <v>39</v>
      </c>
      <c r="F132" s="6" t="n">
        <v>17536</v>
      </c>
      <c r="G132" s="6" t="n">
        <v>2274</v>
      </c>
      <c r="H132" s="7" t="n">
        <f aca="false">(F132-G132)/F132</f>
        <v>0.870323905109489</v>
      </c>
    </row>
    <row r="133" customFormat="false" ht="15" hidden="false" customHeight="false" outlineLevel="0" collapsed="false">
      <c r="A133" s="5" t="s">
        <v>74</v>
      </c>
      <c r="B133" s="5" t="n">
        <v>2022</v>
      </c>
      <c r="C133" s="5" t="s">
        <v>59</v>
      </c>
      <c r="D133" s="5" t="s">
        <v>55</v>
      </c>
      <c r="E133" s="5" t="s">
        <v>40</v>
      </c>
      <c r="F133" s="6" t="n">
        <v>12145</v>
      </c>
      <c r="G133" s="6" t="n">
        <v>2979</v>
      </c>
      <c r="H133" s="7" t="n">
        <f aca="false">(F133-G133)/F133</f>
        <v>0.754713874022231</v>
      </c>
    </row>
    <row r="134" customFormat="false" ht="15" hidden="false" customHeight="false" outlineLevel="0" collapsed="false">
      <c r="A134" s="5" t="s">
        <v>58</v>
      </c>
      <c r="B134" s="5" t="n">
        <v>2022</v>
      </c>
      <c r="C134" s="5" t="s">
        <v>59</v>
      </c>
      <c r="D134" s="5" t="s">
        <v>57</v>
      </c>
      <c r="E134" s="5" t="s">
        <v>39</v>
      </c>
      <c r="F134" s="6" t="n">
        <v>14357</v>
      </c>
      <c r="G134" s="6" t="n">
        <v>3226</v>
      </c>
      <c r="H134" s="7" t="n">
        <f aca="false">(F134-G134)/F134</f>
        <v>0.775301246778575</v>
      </c>
    </row>
    <row r="135" customFormat="false" ht="15" hidden="false" customHeight="false" outlineLevel="0" collapsed="false">
      <c r="A135" s="5" t="s">
        <v>58</v>
      </c>
      <c r="B135" s="5" t="n">
        <v>2022</v>
      </c>
      <c r="C135" s="5" t="s">
        <v>59</v>
      </c>
      <c r="D135" s="5" t="s">
        <v>57</v>
      </c>
      <c r="E135" s="5" t="s">
        <v>40</v>
      </c>
      <c r="F135" s="6" t="n">
        <v>13193</v>
      </c>
      <c r="G135" s="6" t="n">
        <v>4179</v>
      </c>
      <c r="H135" s="7" t="n">
        <f aca="false">(F135-G135)/F135</f>
        <v>0.683241112711286</v>
      </c>
    </row>
    <row r="136" customFormat="false" ht="15" hidden="false" customHeight="false" outlineLevel="0" collapsed="false">
      <c r="A136" s="5" t="s">
        <v>60</v>
      </c>
      <c r="B136" s="5" t="n">
        <v>2022</v>
      </c>
      <c r="C136" s="5" t="s">
        <v>59</v>
      </c>
      <c r="D136" s="5" t="s">
        <v>75</v>
      </c>
      <c r="E136" s="5" t="s">
        <v>39</v>
      </c>
      <c r="F136" s="6" t="n">
        <v>11360</v>
      </c>
      <c r="G136" s="6" t="n">
        <v>2955</v>
      </c>
      <c r="H136" s="7" t="n">
        <f aca="false">(F136-G136)/F136</f>
        <v>0.73987676056338</v>
      </c>
    </row>
    <row r="137" customFormat="false" ht="15" hidden="false" customHeight="false" outlineLevel="0" collapsed="false">
      <c r="A137" s="5" t="s">
        <v>60</v>
      </c>
      <c r="B137" s="5" t="n">
        <v>2022</v>
      </c>
      <c r="C137" s="5" t="s">
        <v>59</v>
      </c>
      <c r="D137" s="5" t="s">
        <v>75</v>
      </c>
      <c r="E137" s="5" t="s">
        <v>40</v>
      </c>
      <c r="F137" s="6" t="n">
        <v>14340</v>
      </c>
      <c r="G137" s="6" t="n">
        <v>6165</v>
      </c>
      <c r="H137" s="7" t="n">
        <f aca="false">(F137-G137)/F137</f>
        <v>0.570083682008368</v>
      </c>
    </row>
    <row r="138" customFormat="false" ht="15" hidden="false" customHeight="false" outlineLevel="0" collapsed="false">
      <c r="A138" s="5" t="s">
        <v>61</v>
      </c>
      <c r="B138" s="5" t="n">
        <v>2022</v>
      </c>
      <c r="C138" s="5" t="s">
        <v>59</v>
      </c>
      <c r="D138" s="5" t="s">
        <v>89</v>
      </c>
      <c r="E138" s="5" t="s">
        <v>39</v>
      </c>
      <c r="F138" s="6" t="n">
        <v>8070</v>
      </c>
      <c r="G138" s="6" t="n">
        <v>2037</v>
      </c>
      <c r="H138" s="7" t="n">
        <f aca="false">(F138-G138)/F138</f>
        <v>0.747583643122677</v>
      </c>
    </row>
    <row r="139" customFormat="false" ht="15" hidden="false" customHeight="false" outlineLevel="0" collapsed="false">
      <c r="A139" s="5" t="s">
        <v>61</v>
      </c>
      <c r="B139" s="5" t="n">
        <v>2022</v>
      </c>
      <c r="C139" s="5" t="s">
        <v>59</v>
      </c>
      <c r="D139" s="5" t="s">
        <v>89</v>
      </c>
      <c r="E139" s="5" t="s">
        <v>40</v>
      </c>
      <c r="F139" s="6" t="n">
        <v>13669</v>
      </c>
      <c r="G139" s="6" t="n">
        <v>5059</v>
      </c>
      <c r="H139" s="7" t="n">
        <f aca="false">(F139-G139)/F139</f>
        <v>0.629892457385325</v>
      </c>
    </row>
    <row r="140" customFormat="false" ht="15" hidden="false" customHeight="false" outlineLevel="0" collapsed="false">
      <c r="A140" s="5" t="s">
        <v>91</v>
      </c>
      <c r="B140" s="5" t="n">
        <v>2022</v>
      </c>
      <c r="C140" s="5" t="s">
        <v>92</v>
      </c>
      <c r="D140" s="5" t="s">
        <v>55</v>
      </c>
      <c r="E140" s="5" t="s">
        <v>39</v>
      </c>
      <c r="F140" s="6" t="n">
        <v>15163</v>
      </c>
      <c r="G140" s="6" t="n">
        <v>2508</v>
      </c>
      <c r="H140" s="7" t="n">
        <f aca="false">(F140-G140)/F140</f>
        <v>0.834597375189606</v>
      </c>
    </row>
    <row r="141" customFormat="false" ht="15" hidden="false" customHeight="false" outlineLevel="0" collapsed="false">
      <c r="A141" s="5" t="s">
        <v>91</v>
      </c>
      <c r="B141" s="5" t="n">
        <v>2022</v>
      </c>
      <c r="C141" s="5" t="s">
        <v>92</v>
      </c>
      <c r="D141" s="5" t="s">
        <v>55</v>
      </c>
      <c r="E141" s="5" t="s">
        <v>40</v>
      </c>
      <c r="F141" s="6" t="n">
        <v>9348</v>
      </c>
      <c r="G141" s="6" t="n">
        <v>2943</v>
      </c>
      <c r="H141" s="7" t="n">
        <f aca="false">(F141-G141)/F141</f>
        <v>0.685173299101412</v>
      </c>
    </row>
    <row r="142" customFormat="false" ht="15" hidden="false" customHeight="false" outlineLevel="0" collapsed="false">
      <c r="A142" s="5" t="s">
        <v>93</v>
      </c>
      <c r="B142" s="5" t="n">
        <v>2022</v>
      </c>
      <c r="C142" s="5" t="s">
        <v>92</v>
      </c>
      <c r="D142" s="5" t="s">
        <v>57</v>
      </c>
      <c r="E142" s="5" t="s">
        <v>39</v>
      </c>
      <c r="F142" s="6" t="n">
        <v>9832</v>
      </c>
      <c r="G142" s="6" t="n">
        <v>1911</v>
      </c>
      <c r="H142" s="7" t="n">
        <f aca="false">(F142-G142)/F142</f>
        <v>0.805634662327095</v>
      </c>
    </row>
    <row r="143" customFormat="false" ht="15" hidden="false" customHeight="false" outlineLevel="0" collapsed="false">
      <c r="A143" s="5" t="s">
        <v>93</v>
      </c>
      <c r="B143" s="5" t="n">
        <v>2022</v>
      </c>
      <c r="C143" s="5" t="s">
        <v>92</v>
      </c>
      <c r="D143" s="5" t="s">
        <v>57</v>
      </c>
      <c r="E143" s="5" t="s">
        <v>40</v>
      </c>
      <c r="F143" s="6" t="n">
        <v>9429</v>
      </c>
      <c r="G143" s="6" t="n">
        <v>3068</v>
      </c>
      <c r="H143" s="7" t="n">
        <f aca="false">(F143-G143)/F143</f>
        <v>0.674620850567398</v>
      </c>
    </row>
    <row r="144" customFormat="false" ht="15" hidden="false" customHeight="false" outlineLevel="0" collapsed="false">
      <c r="A144" s="5" t="s">
        <v>94</v>
      </c>
      <c r="B144" s="5" t="n">
        <v>2022</v>
      </c>
      <c r="C144" s="5" t="s">
        <v>92</v>
      </c>
      <c r="D144" s="5" t="s">
        <v>75</v>
      </c>
      <c r="E144" s="5" t="s">
        <v>39</v>
      </c>
      <c r="F144" s="6" t="n">
        <v>8867</v>
      </c>
      <c r="G144" s="6" t="n">
        <v>2401</v>
      </c>
      <c r="H144" s="7" t="n">
        <f aca="false">(F144-G144)/F144</f>
        <v>0.729220705988497</v>
      </c>
    </row>
    <row r="145" customFormat="false" ht="15" hidden="false" customHeight="false" outlineLevel="0" collapsed="false">
      <c r="A145" s="5" t="s">
        <v>94</v>
      </c>
      <c r="B145" s="5" t="n">
        <v>2022</v>
      </c>
      <c r="C145" s="5" t="s">
        <v>92</v>
      </c>
      <c r="D145" s="5" t="s">
        <v>75</v>
      </c>
      <c r="E145" s="5" t="s">
        <v>40</v>
      </c>
      <c r="F145" s="6" t="n">
        <v>12179</v>
      </c>
      <c r="G145" s="6" t="n">
        <v>4403</v>
      </c>
      <c r="H145" s="7" t="n">
        <f aca="false">(F145-G145)/F145</f>
        <v>0.638476065358404</v>
      </c>
    </row>
    <row r="146" customFormat="false" ht="15" hidden="false" customHeight="false" outlineLevel="0" collapsed="false">
      <c r="A146" s="5" t="s">
        <v>95</v>
      </c>
      <c r="B146" s="5" t="n">
        <v>2022</v>
      </c>
      <c r="C146" s="5" t="s">
        <v>92</v>
      </c>
      <c r="D146" s="5" t="s">
        <v>89</v>
      </c>
      <c r="E146" s="5" t="s">
        <v>39</v>
      </c>
      <c r="F146" s="6" t="n">
        <v>5970</v>
      </c>
      <c r="G146" s="6" t="n">
        <v>1578</v>
      </c>
      <c r="H146" s="7" t="n">
        <f aca="false">(F146-G146)/F146</f>
        <v>0.735678391959799</v>
      </c>
    </row>
    <row r="147" customFormat="false" ht="15" hidden="false" customHeight="false" outlineLevel="0" collapsed="false">
      <c r="A147" s="5" t="s">
        <v>95</v>
      </c>
      <c r="B147" s="5" t="n">
        <v>2022</v>
      </c>
      <c r="C147" s="5" t="s">
        <v>92</v>
      </c>
      <c r="D147" s="5" t="s">
        <v>89</v>
      </c>
      <c r="E147" s="5" t="s">
        <v>40</v>
      </c>
      <c r="F147" s="6" t="n">
        <v>10264</v>
      </c>
      <c r="G147" s="6" t="n">
        <v>4009</v>
      </c>
      <c r="H147" s="7" t="n">
        <f aca="false">(F147-G147)/F147</f>
        <v>0.609411535463757</v>
      </c>
    </row>
    <row r="148" customFormat="false" ht="15" hidden="false" customHeight="false" outlineLevel="0" collapsed="false">
      <c r="A148" s="5" t="s">
        <v>76</v>
      </c>
      <c r="B148" s="5" t="n">
        <v>2022</v>
      </c>
      <c r="C148" s="5" t="s">
        <v>77</v>
      </c>
      <c r="D148" s="5" t="s">
        <v>55</v>
      </c>
      <c r="E148" s="5" t="s">
        <v>39</v>
      </c>
      <c r="F148" s="6" t="n">
        <v>18311</v>
      </c>
      <c r="G148" s="6" t="n">
        <v>2436</v>
      </c>
      <c r="H148" s="7" t="n">
        <f aca="false">(F148-G148)/F148</f>
        <v>0.86696521216755</v>
      </c>
    </row>
    <row r="149" customFormat="false" ht="15" hidden="false" customHeight="false" outlineLevel="0" collapsed="false">
      <c r="A149" s="5" t="s">
        <v>76</v>
      </c>
      <c r="B149" s="5" t="n">
        <v>2022</v>
      </c>
      <c r="C149" s="5" t="s">
        <v>77</v>
      </c>
      <c r="D149" s="5" t="s">
        <v>55</v>
      </c>
      <c r="E149" s="5" t="s">
        <v>40</v>
      </c>
      <c r="F149" s="6" t="n">
        <v>11818</v>
      </c>
      <c r="G149" s="6" t="n">
        <v>3248</v>
      </c>
      <c r="H149" s="7" t="n">
        <f aca="false">(F149-G149)/F149</f>
        <v>0.725165002538501</v>
      </c>
    </row>
    <row r="150" customFormat="false" ht="15" hidden="false" customHeight="false" outlineLevel="0" collapsed="false">
      <c r="A150" s="5" t="s">
        <v>78</v>
      </c>
      <c r="B150" s="5" t="n">
        <v>2022</v>
      </c>
      <c r="C150" s="5" t="s">
        <v>77</v>
      </c>
      <c r="D150" s="5" t="s">
        <v>57</v>
      </c>
      <c r="E150" s="5" t="s">
        <v>39</v>
      </c>
      <c r="F150" s="6" t="n">
        <v>14317</v>
      </c>
      <c r="G150" s="6" t="n">
        <v>2425</v>
      </c>
      <c r="H150" s="7" t="n">
        <f aca="false">(F150-G150)/F150</f>
        <v>0.830620940141091</v>
      </c>
    </row>
    <row r="151" customFormat="false" ht="15" hidden="false" customHeight="false" outlineLevel="0" collapsed="false">
      <c r="A151" s="5" t="s">
        <v>78</v>
      </c>
      <c r="B151" s="5" t="n">
        <v>2022</v>
      </c>
      <c r="C151" s="5" t="s">
        <v>77</v>
      </c>
      <c r="D151" s="5" t="s">
        <v>57</v>
      </c>
      <c r="E151" s="5" t="s">
        <v>40</v>
      </c>
      <c r="F151" s="6" t="n">
        <v>12755</v>
      </c>
      <c r="G151" s="6" t="n">
        <v>4076</v>
      </c>
      <c r="H151" s="7" t="n">
        <f aca="false">(F151-G151)/F151</f>
        <v>0.680439043512348</v>
      </c>
    </row>
    <row r="152" customFormat="false" ht="15" hidden="false" customHeight="false" outlineLevel="0" collapsed="false">
      <c r="A152" s="5" t="s">
        <v>79</v>
      </c>
      <c r="B152" s="5" t="n">
        <v>2022</v>
      </c>
      <c r="C152" s="5" t="s">
        <v>77</v>
      </c>
      <c r="D152" s="5" t="s">
        <v>75</v>
      </c>
      <c r="E152" s="5" t="s">
        <v>39</v>
      </c>
      <c r="F152" s="6" t="n">
        <v>12892</v>
      </c>
      <c r="G152" s="6" t="n">
        <v>3050</v>
      </c>
      <c r="H152" s="7" t="n">
        <f aca="false">(F152-G152)/F152</f>
        <v>0.763419174681973</v>
      </c>
    </row>
    <row r="153" customFormat="false" ht="15" hidden="false" customHeight="false" outlineLevel="0" collapsed="false">
      <c r="A153" s="5" t="s">
        <v>79</v>
      </c>
      <c r="B153" s="5" t="n">
        <v>2022</v>
      </c>
      <c r="C153" s="5" t="s">
        <v>77</v>
      </c>
      <c r="D153" s="5" t="s">
        <v>75</v>
      </c>
      <c r="E153" s="5" t="s">
        <v>40</v>
      </c>
      <c r="F153" s="6" t="n">
        <v>17127</v>
      </c>
      <c r="G153" s="6" t="n">
        <v>6541</v>
      </c>
      <c r="H153" s="7" t="n">
        <f aca="false">(F153-G153)/F153</f>
        <v>0.618088398435219</v>
      </c>
    </row>
    <row r="154" customFormat="false" ht="15" hidden="false" customHeight="false" outlineLevel="0" collapsed="false">
      <c r="A154" s="5" t="s">
        <v>80</v>
      </c>
      <c r="B154" s="5" t="n">
        <v>2022</v>
      </c>
      <c r="C154" s="5" t="s">
        <v>77</v>
      </c>
      <c r="D154" s="5" t="s">
        <v>89</v>
      </c>
      <c r="E154" s="5" t="s">
        <v>39</v>
      </c>
      <c r="F154" s="6" t="n">
        <v>8792</v>
      </c>
      <c r="G154" s="6" t="n">
        <v>1966</v>
      </c>
      <c r="H154" s="7" t="n">
        <f aca="false">(F154-G154)/F154</f>
        <v>0.77638762511374</v>
      </c>
    </row>
    <row r="155" customFormat="false" ht="15" hidden="false" customHeight="false" outlineLevel="0" collapsed="false">
      <c r="A155" s="5" t="s">
        <v>80</v>
      </c>
      <c r="B155" s="5" t="n">
        <v>2022</v>
      </c>
      <c r="C155" s="5" t="s">
        <v>77</v>
      </c>
      <c r="D155" s="5" t="s">
        <v>89</v>
      </c>
      <c r="E155" s="5" t="s">
        <v>40</v>
      </c>
      <c r="F155" s="6" t="n">
        <v>15252</v>
      </c>
      <c r="G155" s="6" t="n">
        <v>5941</v>
      </c>
      <c r="H155" s="7" t="n">
        <f aca="false">(F155-G155)/F155</f>
        <v>0.610477314450564</v>
      </c>
    </row>
    <row r="156" customFormat="false" ht="15" hidden="false" customHeight="false" outlineLevel="0" collapsed="false">
      <c r="A156" s="5" t="s">
        <v>82</v>
      </c>
      <c r="B156" s="5" t="n">
        <v>2022</v>
      </c>
      <c r="C156" s="5" t="s">
        <v>83</v>
      </c>
      <c r="D156" s="5" t="s">
        <v>55</v>
      </c>
      <c r="E156" s="5" t="s">
        <v>39</v>
      </c>
      <c r="F156" s="6" t="n">
        <v>16293</v>
      </c>
      <c r="G156" s="6" t="n">
        <v>1748</v>
      </c>
      <c r="H156" s="7" t="n">
        <f aca="false">(F156-G156)/F156</f>
        <v>0.8927146627386</v>
      </c>
    </row>
    <row r="157" customFormat="false" ht="15" hidden="false" customHeight="false" outlineLevel="0" collapsed="false">
      <c r="A157" s="5" t="s">
        <v>82</v>
      </c>
      <c r="B157" s="5" t="n">
        <v>2022</v>
      </c>
      <c r="C157" s="5" t="s">
        <v>83</v>
      </c>
      <c r="D157" s="5" t="s">
        <v>55</v>
      </c>
      <c r="E157" s="5" t="s">
        <v>40</v>
      </c>
      <c r="F157" s="6" t="n">
        <v>10572</v>
      </c>
      <c r="G157" s="6" t="n">
        <v>2830</v>
      </c>
      <c r="H157" s="7" t="n">
        <f aca="false">(F157-G157)/F157</f>
        <v>0.732311766931517</v>
      </c>
    </row>
    <row r="158" customFormat="false" ht="15" hidden="false" customHeight="false" outlineLevel="0" collapsed="false">
      <c r="A158" s="5" t="s">
        <v>84</v>
      </c>
      <c r="B158" s="5" t="n">
        <v>2022</v>
      </c>
      <c r="C158" s="5" t="s">
        <v>83</v>
      </c>
      <c r="D158" s="5" t="s">
        <v>57</v>
      </c>
      <c r="E158" s="5" t="s">
        <v>39</v>
      </c>
      <c r="F158" s="6" t="n">
        <v>13720</v>
      </c>
      <c r="G158" s="6" t="n">
        <v>2540</v>
      </c>
      <c r="H158" s="7" t="n">
        <f aca="false">(F158-G158)/F158</f>
        <v>0.814868804664723</v>
      </c>
    </row>
    <row r="159" customFormat="false" ht="15" hidden="false" customHeight="false" outlineLevel="0" collapsed="false">
      <c r="A159" s="5" t="s">
        <v>84</v>
      </c>
      <c r="B159" s="5" t="n">
        <v>2022</v>
      </c>
      <c r="C159" s="5" t="s">
        <v>83</v>
      </c>
      <c r="D159" s="5" t="s">
        <v>57</v>
      </c>
      <c r="E159" s="5" t="s">
        <v>40</v>
      </c>
      <c r="F159" s="6" t="n">
        <v>13212</v>
      </c>
      <c r="G159" s="6" t="n">
        <v>4082</v>
      </c>
      <c r="H159" s="7" t="n">
        <f aca="false">(F159-G159)/F159</f>
        <v>0.691038449894036</v>
      </c>
    </row>
    <row r="160" customFormat="false" ht="15" hidden="false" customHeight="false" outlineLevel="0" collapsed="false">
      <c r="A160" s="5" t="s">
        <v>85</v>
      </c>
      <c r="B160" s="5" t="n">
        <v>2022</v>
      </c>
      <c r="C160" s="5" t="s">
        <v>83</v>
      </c>
      <c r="D160" s="5" t="s">
        <v>75</v>
      </c>
      <c r="E160" s="5" t="s">
        <v>39</v>
      </c>
      <c r="F160" s="6" t="n">
        <v>11361</v>
      </c>
      <c r="G160" s="6" t="n">
        <v>2121</v>
      </c>
      <c r="H160" s="7" t="n">
        <f aca="false">(F160-G160)/F160</f>
        <v>0.813308687615527</v>
      </c>
    </row>
    <row r="161" customFormat="false" ht="15" hidden="false" customHeight="false" outlineLevel="0" collapsed="false">
      <c r="A161" s="5" t="s">
        <v>85</v>
      </c>
      <c r="B161" s="5" t="n">
        <v>2022</v>
      </c>
      <c r="C161" s="5" t="s">
        <v>83</v>
      </c>
      <c r="D161" s="5" t="s">
        <v>75</v>
      </c>
      <c r="E161" s="5" t="s">
        <v>40</v>
      </c>
      <c r="F161" s="6" t="n">
        <v>13868</v>
      </c>
      <c r="G161" s="6" t="n">
        <v>3942</v>
      </c>
      <c r="H161" s="7" t="n">
        <f aca="false">(F161-G161)/F161</f>
        <v>0.715748485722527</v>
      </c>
    </row>
    <row r="162" customFormat="false" ht="15" hidden="false" customHeight="false" outlineLevel="0" collapsed="false">
      <c r="A162" s="5" t="s">
        <v>86</v>
      </c>
      <c r="B162" s="5" t="n">
        <v>2022</v>
      </c>
      <c r="C162" s="5" t="s">
        <v>83</v>
      </c>
      <c r="D162" s="5" t="s">
        <v>89</v>
      </c>
      <c r="E162" s="5" t="s">
        <v>39</v>
      </c>
      <c r="F162" s="6" t="n">
        <v>7596</v>
      </c>
      <c r="G162" s="6" t="n">
        <v>1869</v>
      </c>
      <c r="H162" s="7" t="n">
        <f aca="false">(F162-G162)/F162</f>
        <v>0.753949447077409</v>
      </c>
    </row>
    <row r="163" customFormat="false" ht="15" hidden="false" customHeight="false" outlineLevel="0" collapsed="false">
      <c r="A163" s="5" t="s">
        <v>86</v>
      </c>
      <c r="B163" s="5" t="n">
        <v>2022</v>
      </c>
      <c r="C163" s="5" t="s">
        <v>83</v>
      </c>
      <c r="D163" s="5" t="s">
        <v>89</v>
      </c>
      <c r="E163" s="5" t="s">
        <v>40</v>
      </c>
      <c r="F163" s="6" t="n">
        <v>12371</v>
      </c>
      <c r="G163" s="6" t="n">
        <v>5429</v>
      </c>
      <c r="H163" s="7" t="n">
        <f aca="false">(F163-G163)/F163</f>
        <v>0.561151079136691</v>
      </c>
    </row>
    <row r="164" customFormat="false" ht="15" hidden="false" customHeight="false" outlineLevel="0" collapsed="false">
      <c r="A164" s="5" t="s">
        <v>72</v>
      </c>
      <c r="B164" s="5" t="n">
        <v>2023</v>
      </c>
      <c r="C164" s="5" t="s">
        <v>44</v>
      </c>
      <c r="D164" s="5" t="s">
        <v>57</v>
      </c>
      <c r="E164" s="5" t="s">
        <v>39</v>
      </c>
      <c r="F164" s="6" t="n">
        <v>11515</v>
      </c>
      <c r="G164" s="6" t="n">
        <v>2752</v>
      </c>
      <c r="H164" s="7" t="n">
        <f aca="false">(F164-G164)/F164</f>
        <v>0.761007381676075</v>
      </c>
    </row>
    <row r="165" customFormat="false" ht="15" hidden="false" customHeight="false" outlineLevel="0" collapsed="false">
      <c r="A165" s="5" t="s">
        <v>72</v>
      </c>
      <c r="B165" s="5" t="n">
        <v>2023</v>
      </c>
      <c r="C165" s="5" t="s">
        <v>44</v>
      </c>
      <c r="D165" s="5" t="s">
        <v>57</v>
      </c>
      <c r="E165" s="5" t="s">
        <v>40</v>
      </c>
      <c r="F165" s="6" t="n">
        <v>13467</v>
      </c>
      <c r="G165" s="6" t="n">
        <v>4948</v>
      </c>
      <c r="H165" s="7" t="n">
        <f aca="false">(F165-G165)/F165</f>
        <v>0.63258335189723</v>
      </c>
    </row>
    <row r="166" customFormat="false" ht="15" hidden="false" customHeight="false" outlineLevel="0" collapsed="false">
      <c r="A166" s="5" t="s">
        <v>73</v>
      </c>
      <c r="B166" s="5" t="n">
        <v>2023</v>
      </c>
      <c r="C166" s="5" t="s">
        <v>44</v>
      </c>
      <c r="D166" s="5" t="s">
        <v>75</v>
      </c>
      <c r="E166" s="5" t="s">
        <v>39</v>
      </c>
      <c r="F166" s="6" t="n">
        <v>10944</v>
      </c>
      <c r="G166" s="6" t="n">
        <v>3053</v>
      </c>
      <c r="H166" s="7" t="n">
        <f aca="false">(F166-G166)/F166</f>
        <v>0.721034356725146</v>
      </c>
    </row>
    <row r="167" customFormat="false" ht="15" hidden="false" customHeight="false" outlineLevel="0" collapsed="false">
      <c r="A167" s="5" t="s">
        <v>73</v>
      </c>
      <c r="B167" s="5" t="n">
        <v>2023</v>
      </c>
      <c r="C167" s="5" t="s">
        <v>44</v>
      </c>
      <c r="D167" s="5" t="s">
        <v>75</v>
      </c>
      <c r="E167" s="5" t="s">
        <v>40</v>
      </c>
      <c r="F167" s="6" t="n">
        <v>15237</v>
      </c>
      <c r="G167" s="6" t="n">
        <v>5742</v>
      </c>
      <c r="H167" s="7" t="n">
        <f aca="false">(F167-G167)/F167</f>
        <v>0.623154164205552</v>
      </c>
    </row>
    <row r="168" customFormat="false" ht="15" hidden="false" customHeight="false" outlineLevel="0" collapsed="false">
      <c r="A168" s="5" t="s">
        <v>43</v>
      </c>
      <c r="B168" s="5" t="n">
        <v>2023</v>
      </c>
      <c r="C168" s="5" t="s">
        <v>44</v>
      </c>
      <c r="D168" s="5" t="s">
        <v>89</v>
      </c>
      <c r="E168" s="5" t="s">
        <v>39</v>
      </c>
      <c r="F168" s="6" t="n">
        <v>10493</v>
      </c>
      <c r="G168" s="6" t="n">
        <v>3673</v>
      </c>
      <c r="H168" s="7" t="n">
        <f aca="false">(F168-G168)/F168</f>
        <v>0.649957114266654</v>
      </c>
    </row>
    <row r="169" customFormat="false" ht="15" hidden="false" customHeight="false" outlineLevel="0" collapsed="false">
      <c r="A169" s="5" t="s">
        <v>43</v>
      </c>
      <c r="B169" s="5" t="n">
        <v>2023</v>
      </c>
      <c r="C169" s="5" t="s">
        <v>44</v>
      </c>
      <c r="D169" s="5" t="s">
        <v>89</v>
      </c>
      <c r="E169" s="5" t="s">
        <v>40</v>
      </c>
      <c r="F169" s="6" t="n">
        <v>14483</v>
      </c>
      <c r="G169" s="6" t="n">
        <v>6562</v>
      </c>
      <c r="H169" s="7" t="n">
        <f aca="false">(F169-G169)/F169</f>
        <v>0.546917075191604</v>
      </c>
    </row>
    <row r="170" customFormat="false" ht="15" hidden="false" customHeight="false" outlineLevel="0" collapsed="false">
      <c r="A170" s="5" t="s">
        <v>96</v>
      </c>
      <c r="B170" s="5" t="n">
        <v>2023</v>
      </c>
      <c r="C170" s="5" t="s">
        <v>64</v>
      </c>
      <c r="D170" s="5" t="s">
        <v>57</v>
      </c>
      <c r="E170" s="5" t="s">
        <v>39</v>
      </c>
      <c r="F170" s="6" t="n">
        <v>14840</v>
      </c>
      <c r="G170" s="6" t="n">
        <v>2134</v>
      </c>
      <c r="H170" s="7" t="n">
        <f aca="false">(F170-G170)/F170</f>
        <v>0.856199460916442</v>
      </c>
    </row>
    <row r="171" customFormat="false" ht="15" hidden="false" customHeight="false" outlineLevel="0" collapsed="false">
      <c r="A171" s="5" t="s">
        <v>96</v>
      </c>
      <c r="B171" s="5" t="n">
        <v>2023</v>
      </c>
      <c r="C171" s="5" t="s">
        <v>64</v>
      </c>
      <c r="D171" s="5" t="s">
        <v>57</v>
      </c>
      <c r="E171" s="5" t="s">
        <v>40</v>
      </c>
      <c r="F171" s="6" t="n">
        <v>15647</v>
      </c>
      <c r="G171" s="6" t="n">
        <v>4387</v>
      </c>
      <c r="H171" s="7" t="n">
        <f aca="false">(F171-G171)/F171</f>
        <v>0.719626765514156</v>
      </c>
    </row>
    <row r="172" customFormat="false" ht="15" hidden="false" customHeight="false" outlineLevel="0" collapsed="false">
      <c r="A172" s="5" t="s">
        <v>63</v>
      </c>
      <c r="B172" s="5" t="n">
        <v>2023</v>
      </c>
      <c r="C172" s="5" t="s">
        <v>64</v>
      </c>
      <c r="D172" s="5" t="s">
        <v>75</v>
      </c>
      <c r="E172" s="5" t="s">
        <v>39</v>
      </c>
      <c r="F172" s="6" t="n">
        <v>14347</v>
      </c>
      <c r="G172" s="6" t="n">
        <v>2873</v>
      </c>
      <c r="H172" s="7" t="n">
        <f aca="false">(F172-G172)/F172</f>
        <v>0.799749076461978</v>
      </c>
    </row>
    <row r="173" customFormat="false" ht="15" hidden="false" customHeight="false" outlineLevel="0" collapsed="false">
      <c r="A173" s="5" t="s">
        <v>63</v>
      </c>
      <c r="B173" s="5" t="n">
        <v>2023</v>
      </c>
      <c r="C173" s="5" t="s">
        <v>64</v>
      </c>
      <c r="D173" s="5" t="s">
        <v>75</v>
      </c>
      <c r="E173" s="5" t="s">
        <v>40</v>
      </c>
      <c r="F173" s="6" t="n">
        <v>16969</v>
      </c>
      <c r="G173" s="6" t="n">
        <v>5610</v>
      </c>
      <c r="H173" s="7" t="n">
        <f aca="false">(F173-G173)/F173</f>
        <v>0.669397135953798</v>
      </c>
    </row>
    <row r="174" customFormat="false" ht="15" hidden="false" customHeight="false" outlineLevel="0" collapsed="false">
      <c r="A174" s="5" t="s">
        <v>65</v>
      </c>
      <c r="B174" s="5" t="n">
        <v>2023</v>
      </c>
      <c r="C174" s="5" t="s">
        <v>64</v>
      </c>
      <c r="D174" s="5" t="s">
        <v>89</v>
      </c>
      <c r="E174" s="5" t="s">
        <v>39</v>
      </c>
      <c r="F174" s="6" t="n">
        <v>12575</v>
      </c>
      <c r="G174" s="6" t="n">
        <v>3890</v>
      </c>
      <c r="H174" s="7" t="n">
        <f aca="false">(F174-G174)/F174</f>
        <v>0.69065606361829</v>
      </c>
    </row>
    <row r="175" customFormat="false" ht="15" hidden="false" customHeight="false" outlineLevel="0" collapsed="false">
      <c r="A175" s="5" t="s">
        <v>65</v>
      </c>
      <c r="B175" s="5" t="n">
        <v>2023</v>
      </c>
      <c r="C175" s="5" t="s">
        <v>64</v>
      </c>
      <c r="D175" s="5" t="s">
        <v>89</v>
      </c>
      <c r="E175" s="5" t="s">
        <v>40</v>
      </c>
      <c r="F175" s="6" t="n">
        <v>14745</v>
      </c>
      <c r="G175" s="6" t="n">
        <v>6437</v>
      </c>
      <c r="H175" s="7" t="n">
        <f aca="false">(F175-G175)/F175</f>
        <v>0.56344523567311</v>
      </c>
    </row>
    <row r="176" customFormat="false" ht="15" hidden="false" customHeight="false" outlineLevel="0" collapsed="false">
      <c r="A176" s="5" t="s">
        <v>97</v>
      </c>
      <c r="B176" s="5" t="n">
        <v>2023</v>
      </c>
      <c r="C176" s="5" t="s">
        <v>68</v>
      </c>
      <c r="D176" s="5" t="s">
        <v>57</v>
      </c>
      <c r="E176" s="5" t="s">
        <v>39</v>
      </c>
      <c r="F176" s="6" t="n">
        <v>14938</v>
      </c>
      <c r="G176" s="6" t="n">
        <v>2717</v>
      </c>
      <c r="H176" s="7" t="n">
        <f aca="false">(F176-G176)/F176</f>
        <v>0.818114874815906</v>
      </c>
    </row>
    <row r="177" customFormat="false" ht="15" hidden="false" customHeight="false" outlineLevel="0" collapsed="false">
      <c r="A177" s="5" t="s">
        <v>97</v>
      </c>
      <c r="B177" s="5" t="n">
        <v>2023</v>
      </c>
      <c r="C177" s="5" t="s">
        <v>68</v>
      </c>
      <c r="D177" s="5" t="s">
        <v>57</v>
      </c>
      <c r="E177" s="5" t="s">
        <v>40</v>
      </c>
      <c r="F177" s="6" t="n">
        <v>14583</v>
      </c>
      <c r="G177" s="6" t="n">
        <v>4093</v>
      </c>
      <c r="H177" s="7" t="n">
        <f aca="false">(F177-G177)/F177</f>
        <v>0.719330727559487</v>
      </c>
    </row>
    <row r="178" customFormat="false" ht="15" hidden="false" customHeight="false" outlineLevel="0" collapsed="false">
      <c r="A178" s="5" t="s">
        <v>67</v>
      </c>
      <c r="B178" s="5" t="n">
        <v>2023</v>
      </c>
      <c r="C178" s="5" t="s">
        <v>68</v>
      </c>
      <c r="D178" s="5" t="s">
        <v>75</v>
      </c>
      <c r="E178" s="5" t="s">
        <v>39</v>
      </c>
      <c r="F178" s="6" t="n">
        <v>11708</v>
      </c>
      <c r="G178" s="6" t="n">
        <v>2321</v>
      </c>
      <c r="H178" s="7" t="n">
        <f aca="false">(F178-G178)/F178</f>
        <v>0.801759480696959</v>
      </c>
    </row>
    <row r="179" customFormat="false" ht="15" hidden="false" customHeight="false" outlineLevel="0" collapsed="false">
      <c r="A179" s="5" t="s">
        <v>67</v>
      </c>
      <c r="B179" s="5" t="n">
        <v>2023</v>
      </c>
      <c r="C179" s="5" t="s">
        <v>68</v>
      </c>
      <c r="D179" s="5" t="s">
        <v>75</v>
      </c>
      <c r="E179" s="5" t="s">
        <v>40</v>
      </c>
      <c r="F179" s="6" t="n">
        <v>15213</v>
      </c>
      <c r="G179" s="6" t="n">
        <v>5271</v>
      </c>
      <c r="H179" s="7" t="n">
        <f aca="false">(F179-G179)/F179</f>
        <v>0.653520015775981</v>
      </c>
    </row>
    <row r="180" customFormat="false" ht="15" hidden="false" customHeight="false" outlineLevel="0" collapsed="false">
      <c r="A180" s="5" t="s">
        <v>69</v>
      </c>
      <c r="B180" s="5" t="n">
        <v>2023</v>
      </c>
      <c r="C180" s="5" t="s">
        <v>68</v>
      </c>
      <c r="D180" s="5" t="s">
        <v>89</v>
      </c>
      <c r="E180" s="5" t="s">
        <v>39</v>
      </c>
      <c r="F180" s="6" t="n">
        <v>11235</v>
      </c>
      <c r="G180" s="6" t="n">
        <v>2648</v>
      </c>
      <c r="H180" s="7" t="n">
        <f aca="false">(F180-G180)/F180</f>
        <v>0.764307966177125</v>
      </c>
    </row>
    <row r="181" customFormat="false" ht="15" hidden="false" customHeight="false" outlineLevel="0" collapsed="false">
      <c r="A181" s="5" t="s">
        <v>69</v>
      </c>
      <c r="B181" s="5" t="n">
        <v>2023</v>
      </c>
      <c r="C181" s="5" t="s">
        <v>68</v>
      </c>
      <c r="D181" s="5" t="s">
        <v>89</v>
      </c>
      <c r="E181" s="5" t="s">
        <v>40</v>
      </c>
      <c r="F181" s="6" t="n">
        <v>14080</v>
      </c>
      <c r="G181" s="6" t="n">
        <v>5951</v>
      </c>
      <c r="H181" s="7" t="n">
        <f aca="false">(F181-G181)/F181</f>
        <v>0.57734375</v>
      </c>
    </row>
    <row r="182" customFormat="false" ht="15" hidden="false" customHeight="false" outlineLevel="0" collapsed="false">
      <c r="A182" s="5" t="s">
        <v>98</v>
      </c>
      <c r="B182" s="5" t="n">
        <v>2023</v>
      </c>
      <c r="C182" s="5" t="s">
        <v>99</v>
      </c>
      <c r="D182" s="5" t="s">
        <v>57</v>
      </c>
      <c r="E182" s="5" t="s">
        <v>39</v>
      </c>
      <c r="F182" s="6" t="n">
        <v>15780</v>
      </c>
      <c r="G182" s="6" t="n">
        <v>2507</v>
      </c>
      <c r="H182" s="7" t="n">
        <f aca="false">(F182-G182)/F182</f>
        <v>0.841128010139417</v>
      </c>
    </row>
    <row r="183" customFormat="false" ht="15" hidden="false" customHeight="false" outlineLevel="0" collapsed="false">
      <c r="A183" s="5" t="s">
        <v>98</v>
      </c>
      <c r="B183" s="5" t="n">
        <v>2023</v>
      </c>
      <c r="C183" s="5" t="s">
        <v>99</v>
      </c>
      <c r="D183" s="5" t="s">
        <v>57</v>
      </c>
      <c r="E183" s="5" t="s">
        <v>40</v>
      </c>
      <c r="F183" s="6" t="n">
        <v>16043</v>
      </c>
      <c r="G183" s="6" t="n">
        <v>4400</v>
      </c>
      <c r="H183" s="7" t="n">
        <f aca="false">(F183-G183)/F183</f>
        <v>0.725737081593218</v>
      </c>
    </row>
    <row r="184" customFormat="false" ht="15" hidden="false" customHeight="false" outlineLevel="0" collapsed="false">
      <c r="A184" s="5" t="s">
        <v>100</v>
      </c>
      <c r="B184" s="5" t="n">
        <v>2023</v>
      </c>
      <c r="C184" s="5" t="s">
        <v>99</v>
      </c>
      <c r="D184" s="5" t="s">
        <v>75</v>
      </c>
      <c r="E184" s="5" t="s">
        <v>39</v>
      </c>
      <c r="F184" s="6" t="n">
        <v>14155</v>
      </c>
      <c r="G184" s="6" t="n">
        <v>3174</v>
      </c>
      <c r="H184" s="7" t="n">
        <f aca="false">(F184-G184)/F184</f>
        <v>0.775768279759802</v>
      </c>
    </row>
    <row r="185" customFormat="false" ht="15" hidden="false" customHeight="false" outlineLevel="0" collapsed="false">
      <c r="A185" s="5" t="s">
        <v>100</v>
      </c>
      <c r="B185" s="5" t="n">
        <v>2023</v>
      </c>
      <c r="C185" s="5" t="s">
        <v>99</v>
      </c>
      <c r="D185" s="5" t="s">
        <v>75</v>
      </c>
      <c r="E185" s="5" t="s">
        <v>40</v>
      </c>
      <c r="F185" s="6" t="n">
        <v>16471</v>
      </c>
      <c r="G185" s="6" t="n">
        <v>5685</v>
      </c>
      <c r="H185" s="7" t="n">
        <f aca="false">(F185-G185)/F185</f>
        <v>0.654847914516423</v>
      </c>
    </row>
    <row r="186" customFormat="false" ht="15" hidden="false" customHeight="false" outlineLevel="0" collapsed="false">
      <c r="A186" s="5" t="s">
        <v>101</v>
      </c>
      <c r="B186" s="5" t="n">
        <v>2023</v>
      </c>
      <c r="C186" s="5" t="s">
        <v>99</v>
      </c>
      <c r="D186" s="5" t="s">
        <v>89</v>
      </c>
      <c r="E186" s="5" t="s">
        <v>39</v>
      </c>
      <c r="F186" s="6" t="n">
        <v>13166</v>
      </c>
      <c r="G186" s="6" t="n">
        <v>3713</v>
      </c>
      <c r="H186" s="7" t="n">
        <f aca="false">(F186-G186)/F186</f>
        <v>0.71798572079599</v>
      </c>
    </row>
    <row r="187" customFormat="false" ht="15" hidden="false" customHeight="false" outlineLevel="0" collapsed="false">
      <c r="A187" s="5" t="s">
        <v>101</v>
      </c>
      <c r="B187" s="5" t="n">
        <v>2023</v>
      </c>
      <c r="C187" s="5" t="s">
        <v>99</v>
      </c>
      <c r="D187" s="5" t="s">
        <v>89</v>
      </c>
      <c r="E187" s="5" t="s">
        <v>40</v>
      </c>
      <c r="F187" s="6" t="n">
        <v>17315</v>
      </c>
      <c r="G187" s="6" t="n">
        <v>7661</v>
      </c>
      <c r="H187" s="7" t="n">
        <f aca="false">(F187-G187)/F187</f>
        <v>0.557551256136298</v>
      </c>
    </row>
    <row r="188" customFormat="false" ht="15" hidden="false" customHeight="false" outlineLevel="0" collapsed="false">
      <c r="A188" s="5" t="s">
        <v>102</v>
      </c>
      <c r="B188" s="5" t="n">
        <v>2023</v>
      </c>
      <c r="C188" s="5" t="s">
        <v>42</v>
      </c>
      <c r="D188" s="5" t="s">
        <v>57</v>
      </c>
      <c r="E188" s="5" t="s">
        <v>39</v>
      </c>
      <c r="F188" s="6" t="n">
        <v>17922</v>
      </c>
      <c r="G188" s="6" t="n">
        <v>2587</v>
      </c>
      <c r="H188" s="7" t="n">
        <f aca="false">(F188-G188)/F188</f>
        <v>0.855652270951903</v>
      </c>
    </row>
    <row r="189" customFormat="false" ht="15" hidden="false" customHeight="false" outlineLevel="0" collapsed="false">
      <c r="A189" s="5" t="s">
        <v>102</v>
      </c>
      <c r="B189" s="5" t="n">
        <v>2023</v>
      </c>
      <c r="C189" s="5" t="s">
        <v>42</v>
      </c>
      <c r="D189" s="5" t="s">
        <v>57</v>
      </c>
      <c r="E189" s="5" t="s">
        <v>40</v>
      </c>
      <c r="F189" s="6" t="n">
        <v>18977</v>
      </c>
      <c r="G189" s="6" t="n">
        <v>4421</v>
      </c>
      <c r="H189" s="7" t="n">
        <f aca="false">(F189-G189)/F189</f>
        <v>0.767033777730938</v>
      </c>
    </row>
    <row r="190" customFormat="false" ht="15" hidden="false" customHeight="false" outlineLevel="0" collapsed="false">
      <c r="A190" s="5" t="s">
        <v>71</v>
      </c>
      <c r="B190" s="5" t="n">
        <v>2023</v>
      </c>
      <c r="C190" s="5" t="s">
        <v>42</v>
      </c>
      <c r="D190" s="5" t="s">
        <v>75</v>
      </c>
      <c r="E190" s="5" t="s">
        <v>39</v>
      </c>
      <c r="F190" s="6" t="n">
        <v>15468</v>
      </c>
      <c r="G190" s="6" t="n">
        <v>2869</v>
      </c>
      <c r="H190" s="7" t="n">
        <f aca="false">(F190-G190)/F190</f>
        <v>0.81452029997414</v>
      </c>
    </row>
    <row r="191" customFormat="false" ht="15" hidden="false" customHeight="false" outlineLevel="0" collapsed="false">
      <c r="A191" s="5" t="s">
        <v>71</v>
      </c>
      <c r="B191" s="5" t="n">
        <v>2023</v>
      </c>
      <c r="C191" s="5" t="s">
        <v>42</v>
      </c>
      <c r="D191" s="5" t="s">
        <v>75</v>
      </c>
      <c r="E191" s="5" t="s">
        <v>40</v>
      </c>
      <c r="F191" s="6" t="n">
        <v>19388</v>
      </c>
      <c r="G191" s="6" t="n">
        <v>5161</v>
      </c>
      <c r="H191" s="7" t="n">
        <f aca="false">(F191-G191)/F191</f>
        <v>0.733804415102125</v>
      </c>
    </row>
    <row r="192" customFormat="false" ht="15" hidden="false" customHeight="false" outlineLevel="0" collapsed="false">
      <c r="A192" s="5" t="s">
        <v>47</v>
      </c>
      <c r="B192" s="5" t="n">
        <v>2023</v>
      </c>
      <c r="C192" s="5" t="s">
        <v>42</v>
      </c>
      <c r="D192" s="5" t="s">
        <v>89</v>
      </c>
      <c r="E192" s="5" t="s">
        <v>39</v>
      </c>
      <c r="F192" s="6" t="n">
        <v>14156</v>
      </c>
      <c r="G192" s="6" t="n">
        <v>3044</v>
      </c>
      <c r="H192" s="7" t="n">
        <f aca="false">(F192-G192)/F192</f>
        <v>0.7849675049449</v>
      </c>
    </row>
    <row r="193" customFormat="false" ht="15" hidden="false" customHeight="false" outlineLevel="0" collapsed="false">
      <c r="A193" s="5" t="s">
        <v>47</v>
      </c>
      <c r="B193" s="5" t="n">
        <v>2023</v>
      </c>
      <c r="C193" s="5" t="s">
        <v>42</v>
      </c>
      <c r="D193" s="5" t="s">
        <v>89</v>
      </c>
      <c r="E193" s="5" t="s">
        <v>40</v>
      </c>
      <c r="F193" s="6" t="n">
        <v>16626</v>
      </c>
      <c r="G193" s="6" t="n">
        <v>5870</v>
      </c>
      <c r="H193" s="7" t="n">
        <f aca="false">(F193-G193)/F193</f>
        <v>0.646938530013232</v>
      </c>
    </row>
    <row r="194" customFormat="false" ht="15" hidden="false" customHeight="false" outlineLevel="0" collapsed="false">
      <c r="A194" s="5" t="s">
        <v>72</v>
      </c>
      <c r="B194" s="5" t="n">
        <v>2024</v>
      </c>
      <c r="C194" s="5" t="s">
        <v>44</v>
      </c>
      <c r="D194" s="5" t="s">
        <v>75</v>
      </c>
      <c r="E194" s="5" t="s">
        <v>39</v>
      </c>
      <c r="F194" s="6" t="n">
        <v>6297</v>
      </c>
      <c r="G194" s="6" t="n">
        <v>1583</v>
      </c>
      <c r="H194" s="7" t="n">
        <f aca="false">(F194-G194)/F194</f>
        <v>0.748610449420359</v>
      </c>
    </row>
    <row r="195" customFormat="false" ht="15" hidden="false" customHeight="false" outlineLevel="0" collapsed="false">
      <c r="A195" s="5" t="s">
        <v>72</v>
      </c>
      <c r="B195" s="5" t="n">
        <v>2024</v>
      </c>
      <c r="C195" s="5" t="s">
        <v>44</v>
      </c>
      <c r="D195" s="5" t="s">
        <v>75</v>
      </c>
      <c r="E195" s="5" t="s">
        <v>40</v>
      </c>
      <c r="F195" s="6" t="n">
        <v>9295</v>
      </c>
      <c r="G195" s="6" t="n">
        <v>3094</v>
      </c>
      <c r="H195" s="7" t="n">
        <f aca="false">(F195-G195)/F195</f>
        <v>0.667132867132867</v>
      </c>
    </row>
    <row r="196" customFormat="false" ht="15" hidden="false" customHeight="false" outlineLevel="0" collapsed="false">
      <c r="A196" s="5" t="s">
        <v>73</v>
      </c>
      <c r="B196" s="5" t="n">
        <v>2024</v>
      </c>
      <c r="C196" s="5" t="s">
        <v>44</v>
      </c>
      <c r="D196" s="5" t="s">
        <v>89</v>
      </c>
      <c r="E196" s="5" t="s">
        <v>39</v>
      </c>
      <c r="F196" s="6" t="n">
        <v>7735</v>
      </c>
      <c r="G196" s="6" t="n">
        <v>1741</v>
      </c>
      <c r="H196" s="7" t="n">
        <f aca="false">(F196-G196)/F196</f>
        <v>0.77491919844861</v>
      </c>
    </row>
    <row r="197" customFormat="false" ht="15" hidden="false" customHeight="false" outlineLevel="0" collapsed="false">
      <c r="A197" s="5" t="s">
        <v>73</v>
      </c>
      <c r="B197" s="5" t="n">
        <v>2024</v>
      </c>
      <c r="C197" s="5" t="s">
        <v>44</v>
      </c>
      <c r="D197" s="5" t="s">
        <v>89</v>
      </c>
      <c r="E197" s="5" t="s">
        <v>40</v>
      </c>
      <c r="F197" s="6" t="n">
        <v>10872</v>
      </c>
      <c r="G197" s="6" t="n">
        <v>3723</v>
      </c>
      <c r="H197" s="7" t="n">
        <f aca="false">(F197-G197)/F197</f>
        <v>0.657560706401766</v>
      </c>
    </row>
    <row r="198" customFormat="false" ht="15" hidden="false" customHeight="false" outlineLevel="0" collapsed="false">
      <c r="A198" s="5" t="s">
        <v>103</v>
      </c>
      <c r="B198" s="5" t="n">
        <v>2024</v>
      </c>
      <c r="C198" s="5" t="s">
        <v>104</v>
      </c>
      <c r="D198" s="5" t="s">
        <v>75</v>
      </c>
      <c r="E198" s="5" t="s">
        <v>39</v>
      </c>
      <c r="F198" s="6" t="n">
        <v>9841</v>
      </c>
      <c r="G198" s="6" t="n">
        <v>2103</v>
      </c>
      <c r="H198" s="7" t="n">
        <f aca="false">(F198-G198)/F198</f>
        <v>0.786302205060461</v>
      </c>
    </row>
    <row r="199" customFormat="false" ht="15" hidden="false" customHeight="false" outlineLevel="0" collapsed="false">
      <c r="A199" s="5" t="s">
        <v>103</v>
      </c>
      <c r="B199" s="5" t="n">
        <v>2024</v>
      </c>
      <c r="C199" s="5" t="s">
        <v>104</v>
      </c>
      <c r="D199" s="5" t="s">
        <v>75</v>
      </c>
      <c r="E199" s="5" t="s">
        <v>40</v>
      </c>
      <c r="F199" s="6" t="n">
        <v>12690</v>
      </c>
      <c r="G199" s="6" t="n">
        <v>3756</v>
      </c>
      <c r="H199" s="7" t="n">
        <f aca="false">(F199-G199)/F199</f>
        <v>0.704018912529551</v>
      </c>
    </row>
    <row r="200" customFormat="false" ht="15" hidden="false" customHeight="false" outlineLevel="0" collapsed="false">
      <c r="A200" s="5" t="s">
        <v>96</v>
      </c>
      <c r="B200" s="5" t="n">
        <v>2024</v>
      </c>
      <c r="C200" s="5" t="s">
        <v>64</v>
      </c>
      <c r="D200" s="5" t="s">
        <v>75</v>
      </c>
      <c r="E200" s="5" t="s">
        <v>39</v>
      </c>
      <c r="F200" s="6" t="n">
        <v>9388</v>
      </c>
      <c r="G200" s="6" t="n">
        <v>1362</v>
      </c>
      <c r="H200" s="7" t="n">
        <f aca="false">(F200-G200)/F200</f>
        <v>0.854921175969323</v>
      </c>
    </row>
    <row r="201" customFormat="false" ht="15" hidden="false" customHeight="false" outlineLevel="0" collapsed="false">
      <c r="A201" s="5" t="s">
        <v>96</v>
      </c>
      <c r="B201" s="5" t="n">
        <v>2024</v>
      </c>
      <c r="C201" s="5" t="s">
        <v>64</v>
      </c>
      <c r="D201" s="5" t="s">
        <v>75</v>
      </c>
      <c r="E201" s="5" t="s">
        <v>40</v>
      </c>
      <c r="F201" s="6" t="n">
        <v>12342</v>
      </c>
      <c r="G201" s="6" t="n">
        <v>3336</v>
      </c>
      <c r="H201" s="7" t="n">
        <f aca="false">(F201-G201)/F201</f>
        <v>0.729703451628585</v>
      </c>
    </row>
    <row r="202" customFormat="false" ht="15" hidden="false" customHeight="false" outlineLevel="0" collapsed="false">
      <c r="A202" s="5" t="s">
        <v>105</v>
      </c>
      <c r="B202" s="5" t="n">
        <v>2024</v>
      </c>
      <c r="C202" s="5" t="s">
        <v>106</v>
      </c>
      <c r="D202" s="5" t="s">
        <v>89</v>
      </c>
      <c r="E202" s="5" t="s">
        <v>39</v>
      </c>
      <c r="F202" s="6" t="n">
        <v>15332</v>
      </c>
      <c r="G202" s="6" t="n">
        <v>3121</v>
      </c>
      <c r="H202" s="7" t="n">
        <f aca="false">(F202-G202)/F202</f>
        <v>0.796438820767023</v>
      </c>
    </row>
    <row r="203" customFormat="false" ht="15" hidden="false" customHeight="false" outlineLevel="0" collapsed="false">
      <c r="A203" s="5" t="s">
        <v>105</v>
      </c>
      <c r="B203" s="5" t="n">
        <v>2024</v>
      </c>
      <c r="C203" s="5" t="s">
        <v>106</v>
      </c>
      <c r="D203" s="5" t="s">
        <v>89</v>
      </c>
      <c r="E203" s="5" t="s">
        <v>40</v>
      </c>
      <c r="F203" s="6" t="n">
        <v>18288</v>
      </c>
      <c r="G203" s="6" t="n">
        <v>5802</v>
      </c>
      <c r="H203" s="7" t="n">
        <f aca="false">(F203-G203)/F203</f>
        <v>0.682742782152231</v>
      </c>
    </row>
    <row r="204" customFormat="false" ht="15" hidden="false" customHeight="false" outlineLevel="0" collapsed="false">
      <c r="A204" s="5" t="s">
        <v>98</v>
      </c>
      <c r="B204" s="5" t="n">
        <v>2024</v>
      </c>
      <c r="C204" s="5" t="s">
        <v>99</v>
      </c>
      <c r="D204" s="5" t="s">
        <v>75</v>
      </c>
      <c r="E204" s="5" t="s">
        <v>39</v>
      </c>
      <c r="F204" s="6" t="n">
        <v>9727</v>
      </c>
      <c r="G204" s="6" t="n">
        <v>1457</v>
      </c>
      <c r="H204" s="7" t="n">
        <f aca="false">(F204-G204)/F204</f>
        <v>0.85021075357253</v>
      </c>
    </row>
    <row r="205" customFormat="false" ht="15" hidden="false" customHeight="false" outlineLevel="0" collapsed="false">
      <c r="A205" s="5" t="s">
        <v>98</v>
      </c>
      <c r="B205" s="5" t="n">
        <v>2024</v>
      </c>
      <c r="C205" s="5" t="s">
        <v>99</v>
      </c>
      <c r="D205" s="5" t="s">
        <v>75</v>
      </c>
      <c r="E205" s="5" t="s">
        <v>40</v>
      </c>
      <c r="F205" s="6" t="n">
        <v>13090</v>
      </c>
      <c r="G205" s="6" t="n">
        <v>3547</v>
      </c>
      <c r="H205" s="7" t="n">
        <f aca="false">(F205-G205)/F205</f>
        <v>0.729029793735676</v>
      </c>
    </row>
    <row r="206" customFormat="false" ht="15" hidden="false" customHeight="false" outlineLevel="0" collapsed="false">
      <c r="A206" s="5" t="s">
        <v>100</v>
      </c>
      <c r="B206" s="5" t="n">
        <v>2024</v>
      </c>
      <c r="C206" s="5" t="s">
        <v>99</v>
      </c>
      <c r="D206" s="5" t="s">
        <v>89</v>
      </c>
      <c r="E206" s="5" t="s">
        <v>39</v>
      </c>
      <c r="F206" s="6" t="n">
        <v>10276</v>
      </c>
      <c r="G206" s="6" t="n">
        <v>1655</v>
      </c>
      <c r="H206" s="7" t="n">
        <f aca="false">(F206-G206)/F206</f>
        <v>0.838945114830674</v>
      </c>
    </row>
    <row r="207" customFormat="false" ht="15" hidden="false" customHeight="false" outlineLevel="0" collapsed="false">
      <c r="A207" s="5" t="s">
        <v>100</v>
      </c>
      <c r="B207" s="5" t="n">
        <v>2024</v>
      </c>
      <c r="C207" s="5" t="s">
        <v>99</v>
      </c>
      <c r="D207" s="5" t="s">
        <v>89</v>
      </c>
      <c r="E207" s="5" t="s">
        <v>40</v>
      </c>
      <c r="F207" s="6" t="n">
        <v>11739</v>
      </c>
      <c r="G207" s="6" t="n">
        <v>4074</v>
      </c>
      <c r="H207" s="7" t="n">
        <f aca="false">(F207-G207)/F207</f>
        <v>0.652951699463327</v>
      </c>
    </row>
    <row r="208" customFormat="false" ht="15" hidden="false" customHeight="false" outlineLevel="0" collapsed="false">
      <c r="A208" s="5" t="s">
        <v>72</v>
      </c>
      <c r="B208" s="5" t="n">
        <v>2025</v>
      </c>
      <c r="C208" s="5" t="s">
        <v>44</v>
      </c>
      <c r="D208" s="5" t="s">
        <v>89</v>
      </c>
      <c r="E208" s="5" t="s">
        <v>39</v>
      </c>
      <c r="F208" s="6" t="n">
        <v>7557</v>
      </c>
      <c r="G208" s="6" t="n">
        <v>2145</v>
      </c>
      <c r="H208" s="7" t="n">
        <f aca="false">(F208-G208)/F208</f>
        <v>0.716157205240175</v>
      </c>
    </row>
    <row r="209" customFormat="false" ht="15" hidden="false" customHeight="false" outlineLevel="0" collapsed="false">
      <c r="A209" s="5" t="s">
        <v>72</v>
      </c>
      <c r="B209" s="5" t="n">
        <v>2025</v>
      </c>
      <c r="C209" s="5" t="s">
        <v>44</v>
      </c>
      <c r="D209" s="5" t="s">
        <v>89</v>
      </c>
      <c r="E209" s="5" t="s">
        <v>40</v>
      </c>
      <c r="F209" s="6" t="n">
        <v>10870</v>
      </c>
      <c r="G209" s="6" t="n">
        <v>5091</v>
      </c>
      <c r="H209" s="7" t="n">
        <f aca="false">(F209-G209)/F209</f>
        <v>0.531646734130635</v>
      </c>
    </row>
    <row r="210" customFormat="false" ht="15" hidden="false" customHeight="false" outlineLevel="0" collapsed="false">
      <c r="A210" s="5" t="s">
        <v>96</v>
      </c>
      <c r="B210" s="5" t="n">
        <v>2025</v>
      </c>
      <c r="C210" s="5" t="s">
        <v>64</v>
      </c>
      <c r="D210" s="5" t="s">
        <v>89</v>
      </c>
      <c r="E210" s="5" t="s">
        <v>39</v>
      </c>
      <c r="F210" s="6" t="n">
        <v>11992</v>
      </c>
      <c r="G210" s="6" t="n">
        <v>1543</v>
      </c>
      <c r="H210" s="7" t="n">
        <f aca="false">(F210-G210)/F210</f>
        <v>0.871330887258172</v>
      </c>
    </row>
    <row r="211" customFormat="false" ht="15" hidden="false" customHeight="false" outlineLevel="0" collapsed="false">
      <c r="A211" s="5" t="s">
        <v>96</v>
      </c>
      <c r="B211" s="5" t="n">
        <v>2025</v>
      </c>
      <c r="C211" s="5" t="s">
        <v>64</v>
      </c>
      <c r="D211" s="5" t="s">
        <v>89</v>
      </c>
      <c r="E211" s="5" t="s">
        <v>40</v>
      </c>
      <c r="F211" s="6" t="n">
        <v>16386</v>
      </c>
      <c r="G211" s="6" t="n">
        <v>3840</v>
      </c>
      <c r="H211" s="7" t="n">
        <f aca="false">(F211-G211)/F211</f>
        <v>0.765653606737459</v>
      </c>
    </row>
    <row r="212" customFormat="false" ht="15" hidden="false" customHeight="false" outlineLevel="0" collapsed="false">
      <c r="A212" s="5" t="s">
        <v>97</v>
      </c>
      <c r="B212" s="5" t="n">
        <v>2025</v>
      </c>
      <c r="C212" s="5" t="s">
        <v>68</v>
      </c>
      <c r="D212" s="5" t="s">
        <v>89</v>
      </c>
      <c r="E212" s="5" t="s">
        <v>39</v>
      </c>
      <c r="F212" s="6" t="n">
        <v>10675</v>
      </c>
      <c r="G212" s="6" t="n">
        <v>1533</v>
      </c>
      <c r="H212" s="7" t="n">
        <f aca="false">(F212-G212)/F212</f>
        <v>0.856393442622951</v>
      </c>
    </row>
    <row r="213" customFormat="false" ht="15" hidden="false" customHeight="false" outlineLevel="0" collapsed="false">
      <c r="A213" s="5" t="s">
        <v>97</v>
      </c>
      <c r="B213" s="5" t="n">
        <v>2025</v>
      </c>
      <c r="C213" s="5" t="s">
        <v>68</v>
      </c>
      <c r="D213" s="5" t="s">
        <v>89</v>
      </c>
      <c r="E213" s="5" t="s">
        <v>40</v>
      </c>
      <c r="F213" s="6" t="n">
        <v>13617</v>
      </c>
      <c r="G213" s="6" t="n">
        <v>3763</v>
      </c>
      <c r="H213" s="7" t="n">
        <f aca="false">(F213-G213)/F213</f>
        <v>0.723654255709775</v>
      </c>
    </row>
    <row r="214" customFormat="false" ht="15" hidden="false" customHeight="false" outlineLevel="0" collapsed="false">
      <c r="A214" s="5" t="s">
        <v>98</v>
      </c>
      <c r="B214" s="5" t="n">
        <v>2025</v>
      </c>
      <c r="C214" s="5" t="s">
        <v>99</v>
      </c>
      <c r="D214" s="5" t="s">
        <v>89</v>
      </c>
      <c r="E214" s="5" t="s">
        <v>39</v>
      </c>
      <c r="F214" s="6" t="n">
        <v>13881</v>
      </c>
      <c r="G214" s="6" t="n">
        <v>1363</v>
      </c>
      <c r="H214" s="7" t="n">
        <f aca="false">(F214-G214)/F214</f>
        <v>0.901808227072978</v>
      </c>
    </row>
    <row r="215" customFormat="false" ht="15" hidden="false" customHeight="false" outlineLevel="0" collapsed="false">
      <c r="A215" s="5" t="s">
        <v>98</v>
      </c>
      <c r="B215" s="5" t="n">
        <v>2025</v>
      </c>
      <c r="C215" s="5" t="s">
        <v>99</v>
      </c>
      <c r="D215" s="5" t="s">
        <v>89</v>
      </c>
      <c r="E215" s="5" t="s">
        <v>40</v>
      </c>
      <c r="F215" s="6" t="n">
        <v>18084</v>
      </c>
      <c r="G215" s="6" t="n">
        <v>4445</v>
      </c>
      <c r="H215" s="7" t="n">
        <f aca="false">(F215-G215)/F215</f>
        <v>0.754202610042026</v>
      </c>
    </row>
    <row r="216" customFormat="false" ht="15" hidden="false" customHeight="false" outlineLevel="0" collapsed="false">
      <c r="A216" s="5" t="s">
        <v>102</v>
      </c>
      <c r="B216" s="5" t="n">
        <v>2025</v>
      </c>
      <c r="C216" s="5" t="s">
        <v>42</v>
      </c>
      <c r="D216" s="5" t="s">
        <v>89</v>
      </c>
      <c r="E216" s="5" t="s">
        <v>39</v>
      </c>
      <c r="F216" s="6" t="n">
        <v>12614</v>
      </c>
      <c r="G216" s="6" t="n">
        <v>2022</v>
      </c>
      <c r="H216" s="7" t="n">
        <f aca="false">(F216-G216)/F216</f>
        <v>0.83970191850325</v>
      </c>
    </row>
    <row r="217" customFormat="false" ht="15" hidden="false" customHeight="false" outlineLevel="0" collapsed="false">
      <c r="A217" s="5" t="s">
        <v>102</v>
      </c>
      <c r="B217" s="5" t="n">
        <v>2025</v>
      </c>
      <c r="C217" s="5" t="s">
        <v>42</v>
      </c>
      <c r="D217" s="5" t="s">
        <v>89</v>
      </c>
      <c r="E217" s="5" t="s">
        <v>40</v>
      </c>
      <c r="F217" s="6" t="n">
        <v>17299</v>
      </c>
      <c r="G217" s="6" t="n">
        <v>5469</v>
      </c>
      <c r="H217" s="7" t="n">
        <f aca="false">(F217-G217)/F217</f>
        <v>0.68385455806694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1"/>
  </cols>
  <sheetData>
    <row r="1" customFormat="false" ht="25.35" hidden="false" customHeight="false" outlineLevel="0" collapsed="false">
      <c r="A1" s="8" t="s">
        <v>107</v>
      </c>
      <c r="B1" s="4" t="s">
        <v>108</v>
      </c>
      <c r="C1" s="4" t="s">
        <v>109</v>
      </c>
      <c r="D1" s="4" t="s">
        <v>110</v>
      </c>
      <c r="E1" s="4" t="s">
        <v>111</v>
      </c>
      <c r="F1" s="4" t="s">
        <v>112</v>
      </c>
      <c r="G1" s="4" t="s">
        <v>113</v>
      </c>
      <c r="H1" s="4" t="s">
        <v>114</v>
      </c>
      <c r="I1" s="4" t="s">
        <v>115</v>
      </c>
      <c r="J1" s="4" t="s">
        <v>116</v>
      </c>
      <c r="K1" s="4" t="s">
        <v>117</v>
      </c>
      <c r="L1" s="4" t="s">
        <v>118</v>
      </c>
      <c r="M1" s="4" t="s">
        <v>119</v>
      </c>
    </row>
    <row r="2" customFormat="false" ht="15" hidden="false" customHeight="false" outlineLevel="0" collapsed="false">
      <c r="A2" s="9" t="s">
        <v>36</v>
      </c>
      <c r="B2" s="10" t="n">
        <f aca="false">'Dane szczegółowe'!H2</f>
        <v>0.688110534189915</v>
      </c>
      <c r="C2" s="10" t="n">
        <f aca="false">'Dane szczegółowe'!H3</f>
        <v>0.723424935937086</v>
      </c>
      <c r="D2" s="10" t="n">
        <f aca="false">'Dane szczegółowe'!H10</f>
        <v>0.694968769304688</v>
      </c>
      <c r="E2" s="10" t="n">
        <f aca="false">'Dane szczegółowe'!H11</f>
        <v>0.579375523387965</v>
      </c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A3" s="9" t="s">
        <v>41</v>
      </c>
      <c r="B3" s="10" t="n">
        <f aca="false">'Dane szczegółowe'!H4</f>
        <v>0.721481013657535</v>
      </c>
      <c r="C3" s="10" t="n">
        <f aca="false">'Dane szczegółowe'!H5</f>
        <v>0.757289807022018</v>
      </c>
      <c r="D3" s="10" t="n">
        <f aca="false">'Dane szczegółowe'!H14</f>
        <v>0.774223655184117</v>
      </c>
      <c r="E3" s="10" t="n">
        <f aca="false">'Dane szczegółowe'!H15</f>
        <v>0.687662525281711</v>
      </c>
      <c r="F3" s="10" t="n">
        <f aca="false">'Dane szczegółowe'!H52</f>
        <v>0.737357142857143</v>
      </c>
      <c r="G3" s="10" t="n">
        <f aca="false">'Dane szczegółowe'!H53</f>
        <v>0.582517482517483</v>
      </c>
      <c r="H3" s="11"/>
      <c r="I3" s="11"/>
      <c r="J3" s="11"/>
      <c r="K3" s="11"/>
      <c r="L3" s="11"/>
      <c r="M3" s="11"/>
    </row>
    <row r="4" customFormat="false" ht="15" hidden="false" customHeight="false" outlineLevel="0" collapsed="false">
      <c r="A4" s="9" t="s">
        <v>43</v>
      </c>
      <c r="B4" s="10" t="n">
        <f aca="false">'Dane szczegółowe'!H6</f>
        <v>0.567368421052632</v>
      </c>
      <c r="C4" s="10" t="n">
        <f aca="false">'Dane szczegółowe'!H7</f>
        <v>0.489714285714286</v>
      </c>
      <c r="D4" s="11"/>
      <c r="E4" s="11"/>
      <c r="F4" s="10" t="n">
        <f aca="false">'Dane szczegółowe'!H58</f>
        <v>0.628483890096857</v>
      </c>
      <c r="G4" s="10" t="n">
        <f aca="false">'Dane szczegółowe'!H59</f>
        <v>0.63240725871206</v>
      </c>
      <c r="H4" s="10" t="n">
        <f aca="false">'Dane szczegółowe'!H94</f>
        <v>0.618179398456215</v>
      </c>
      <c r="I4" s="10" t="n">
        <f aca="false">'Dane szczegółowe'!H95</f>
        <v>0.587446153846154</v>
      </c>
      <c r="J4" s="11"/>
      <c r="K4" s="11"/>
      <c r="L4" s="10" t="n">
        <f aca="false">'Dane szczegółowe'!H168</f>
        <v>0.649957114266654</v>
      </c>
      <c r="M4" s="10" t="n">
        <f aca="false">'Dane szczegółowe'!H169</f>
        <v>0.546917075191604</v>
      </c>
    </row>
    <row r="5" customFormat="false" ht="15" hidden="false" customHeight="false" outlineLevel="0" collapsed="false">
      <c r="A5" s="9" t="s">
        <v>45</v>
      </c>
      <c r="B5" s="10" t="n">
        <f aca="false">'Dane szczegółowe'!H8</f>
        <v>0.819320472214224</v>
      </c>
      <c r="C5" s="10" t="n">
        <f aca="false">'Dane szczegółowe'!H9</f>
        <v>0.719096781317286</v>
      </c>
      <c r="D5" s="11"/>
      <c r="E5" s="11"/>
      <c r="F5" s="11"/>
      <c r="G5" s="11"/>
      <c r="H5" s="11"/>
      <c r="I5" s="11"/>
      <c r="J5" s="11"/>
      <c r="K5" s="11"/>
      <c r="L5" s="11"/>
      <c r="M5" s="11"/>
    </row>
    <row r="6" customFormat="false" ht="15" hidden="false" customHeight="false" outlineLevel="0" collapsed="false">
      <c r="A6" s="9" t="s">
        <v>36</v>
      </c>
      <c r="B6" s="10" t="n">
        <f aca="false">'Dane szczegółowe'!H2</f>
        <v>0.688110534189915</v>
      </c>
      <c r="C6" s="10" t="n">
        <f aca="false">'Dane szczegółowe'!H3</f>
        <v>0.723424935937086</v>
      </c>
      <c r="D6" s="10" t="n">
        <f aca="false">'Dane szczegółowe'!H10</f>
        <v>0.694968769304688</v>
      </c>
      <c r="E6" s="10" t="n">
        <f aca="false">'Dane szczegółowe'!H11</f>
        <v>0.579375523387965</v>
      </c>
      <c r="F6" s="11"/>
      <c r="G6" s="11"/>
      <c r="H6" s="11"/>
      <c r="I6" s="11"/>
      <c r="J6" s="11"/>
      <c r="K6" s="11"/>
      <c r="L6" s="11"/>
      <c r="M6" s="11"/>
    </row>
    <row r="7" customFormat="false" ht="15" hidden="false" customHeight="false" outlineLevel="0" collapsed="false">
      <c r="A7" s="9" t="s">
        <v>47</v>
      </c>
      <c r="B7" s="10" t="n">
        <f aca="false">'Dane szczegółowe'!H12</f>
        <v>0.840651103019919</v>
      </c>
      <c r="C7" s="10" t="n">
        <f aca="false">'Dane szczegółowe'!H13</f>
        <v>0.838765844825185</v>
      </c>
      <c r="D7" s="10" t="n">
        <f aca="false">'Dane szczegółowe'!H50</f>
        <v>0.732812739243608</v>
      </c>
      <c r="E7" s="10" t="n">
        <f aca="false">'Dane szczegółowe'!H51</f>
        <v>0.66075146227818</v>
      </c>
      <c r="F7" s="11"/>
      <c r="G7" s="11"/>
      <c r="H7" s="11"/>
      <c r="I7" s="11"/>
      <c r="J7" s="11"/>
      <c r="K7" s="11"/>
      <c r="L7" s="10" t="n">
        <f aca="false">'Dane szczegółowe'!H192</f>
        <v>0.7849675049449</v>
      </c>
      <c r="M7" s="10" t="n">
        <f aca="false">'Dane szczegółowe'!H193</f>
        <v>0.646938530013232</v>
      </c>
    </row>
    <row r="8" customFormat="false" ht="15" hidden="false" customHeight="false" outlineLevel="0" collapsed="false">
      <c r="A8" s="9" t="s">
        <v>41</v>
      </c>
      <c r="B8" s="10" t="n">
        <f aca="false">'Dane szczegółowe'!H4</f>
        <v>0.721481013657535</v>
      </c>
      <c r="C8" s="10" t="n">
        <f aca="false">'Dane szczegółowe'!H5</f>
        <v>0.757289807022018</v>
      </c>
      <c r="D8" s="10" t="n">
        <f aca="false">'Dane szczegółowe'!H14</f>
        <v>0.774223655184117</v>
      </c>
      <c r="E8" s="10" t="n">
        <f aca="false">'Dane szczegółowe'!H15</f>
        <v>0.687662525281711</v>
      </c>
      <c r="F8" s="10" t="n">
        <f aca="false">'Dane szczegółowe'!H52</f>
        <v>0.737357142857143</v>
      </c>
      <c r="G8" s="10" t="n">
        <f aca="false">'Dane szczegółowe'!H53</f>
        <v>0.582517482517483</v>
      </c>
      <c r="H8" s="11"/>
      <c r="I8" s="11"/>
      <c r="J8" s="11"/>
      <c r="K8" s="11"/>
      <c r="L8" s="11"/>
      <c r="M8" s="11"/>
    </row>
    <row r="9" customFormat="false" ht="15" hidden="false" customHeight="false" outlineLevel="0" collapsed="false">
      <c r="A9" s="9" t="s">
        <v>48</v>
      </c>
      <c r="B9" s="10" t="n">
        <f aca="false">'Dane szczegółowe'!H16</f>
        <v>0.704046242774567</v>
      </c>
      <c r="C9" s="10" t="n">
        <f aca="false">'Dane szczegółowe'!H17</f>
        <v>0.659087381654509</v>
      </c>
      <c r="D9" s="11"/>
      <c r="E9" s="11"/>
      <c r="F9" s="11"/>
      <c r="G9" s="11"/>
      <c r="H9" s="10" t="n">
        <f aca="false">'Dane szczegółowe'!H128</f>
        <v>0.725011622501162</v>
      </c>
      <c r="I9" s="10" t="n">
        <f aca="false">'Dane szczegółowe'!H129</f>
        <v>0.609328977668291</v>
      </c>
      <c r="J9" s="11"/>
      <c r="K9" s="11"/>
      <c r="L9" s="11"/>
      <c r="M9" s="11"/>
    </row>
    <row r="10" customFormat="false" ht="15" hidden="false" customHeight="false" outlineLevel="0" collapsed="false">
      <c r="A10" s="9" t="s">
        <v>50</v>
      </c>
      <c r="B10" s="11"/>
      <c r="C10" s="11"/>
      <c r="D10" s="10" t="n">
        <f aca="false">'Dane szczegółowe'!H18</f>
        <v>0.673772363913209</v>
      </c>
      <c r="E10" s="10" t="n">
        <f aca="false">'Dane szczegółowe'!H19</f>
        <v>0.566721751704193</v>
      </c>
      <c r="F10" s="11"/>
      <c r="G10" s="11"/>
      <c r="H10" s="11"/>
      <c r="I10" s="11"/>
      <c r="J10" s="10" t="n">
        <f aca="false">'Dane szczegółowe'!H130</f>
        <v>0.695127579613635</v>
      </c>
      <c r="K10" s="10" t="n">
        <f aca="false">'Dane szczegółowe'!H131</f>
        <v>0.568383154104884</v>
      </c>
      <c r="L10" s="11"/>
      <c r="M10" s="11"/>
    </row>
    <row r="11" customFormat="false" ht="15" hidden="false" customHeight="false" outlineLevel="0" collapsed="false">
      <c r="A11" s="9" t="s">
        <v>51</v>
      </c>
      <c r="B11" s="10" t="n">
        <f aca="false">'Dane szczegółowe'!H20</f>
        <v>0.818540433925049</v>
      </c>
      <c r="C11" s="10" t="n">
        <f aca="false">'Dane szczegółowe'!H21</f>
        <v>0.728740157480315</v>
      </c>
      <c r="D11" s="11"/>
      <c r="E11" s="11"/>
      <c r="F11" s="10" t="n">
        <f aca="false">'Dane szczegółowe'!H98</f>
        <v>0.853389024003384</v>
      </c>
      <c r="G11" s="10" t="n">
        <f aca="false">'Dane szczegółowe'!H99</f>
        <v>0.693421409827165</v>
      </c>
      <c r="H11" s="11"/>
      <c r="I11" s="11"/>
      <c r="J11" s="11"/>
      <c r="K11" s="11"/>
      <c r="L11" s="11"/>
      <c r="M11" s="11"/>
    </row>
    <row r="12" customFormat="false" ht="15" hidden="false" customHeight="false" outlineLevel="0" collapsed="false">
      <c r="A12" s="9" t="s">
        <v>53</v>
      </c>
      <c r="B12" s="11"/>
      <c r="C12" s="11"/>
      <c r="D12" s="10" t="n">
        <f aca="false">'Dane szczegółowe'!H22</f>
        <v>0.731717265893596</v>
      </c>
      <c r="E12" s="10" t="n">
        <f aca="false">'Dane szczegółowe'!H23</f>
        <v>0.656078860898138</v>
      </c>
      <c r="F12" s="11"/>
      <c r="G12" s="11"/>
      <c r="H12" s="10" t="n">
        <f aca="false">'Dane szczegółowe'!H100</f>
        <v>0.781027371578553</v>
      </c>
      <c r="I12" s="10" t="n">
        <f aca="false">'Dane szczegółowe'!H101</f>
        <v>0.660554063789377</v>
      </c>
      <c r="J12" s="11"/>
      <c r="K12" s="11"/>
      <c r="L12" s="11"/>
      <c r="M12" s="11"/>
    </row>
    <row r="13" customFormat="false" ht="15" hidden="false" customHeight="false" outlineLevel="0" collapsed="false">
      <c r="A13" s="9" t="s">
        <v>54</v>
      </c>
      <c r="B13" s="11"/>
      <c r="C13" s="11"/>
      <c r="D13" s="11"/>
      <c r="E13" s="11"/>
      <c r="F13" s="10" t="n">
        <f aca="false">'Dane szczegółowe'!H24</f>
        <v>0.72435739001483</v>
      </c>
      <c r="G13" s="10" t="n">
        <f aca="false">'Dane szczegółowe'!H25</f>
        <v>0.568928755238585</v>
      </c>
      <c r="H13" s="11"/>
      <c r="I13" s="11"/>
      <c r="J13" s="10" t="n">
        <f aca="false">'Dane szczegółowe'!H102</f>
        <v>0.748716368864243</v>
      </c>
      <c r="K13" s="10" t="n">
        <f aca="false">'Dane szczegółowe'!H103</f>
        <v>0.639774427436989</v>
      </c>
      <c r="L13" s="11"/>
      <c r="M13" s="11"/>
    </row>
    <row r="14" customFormat="false" ht="15" hidden="false" customHeight="false" outlineLevel="0" collapsed="false">
      <c r="A14" s="9" t="s">
        <v>56</v>
      </c>
      <c r="B14" s="11"/>
      <c r="C14" s="11"/>
      <c r="D14" s="11"/>
      <c r="E14" s="11"/>
      <c r="F14" s="11"/>
      <c r="G14" s="11"/>
      <c r="H14" s="10" t="n">
        <f aca="false">'Dane szczegółowe'!H26</f>
        <v>0.672268907563025</v>
      </c>
      <c r="I14" s="10" t="n">
        <f aca="false">'Dane szczegółowe'!H27</f>
        <v>0.549218995701856</v>
      </c>
      <c r="J14" s="11"/>
      <c r="K14" s="11"/>
      <c r="L14" s="10" t="n">
        <f aca="false">'Dane szczegółowe'!H104</f>
        <v>0.740849481307497</v>
      </c>
      <c r="M14" s="10" t="n">
        <f aca="false">'Dane szczegółowe'!H105</f>
        <v>0.590821256038647</v>
      </c>
    </row>
    <row r="15" customFormat="false" ht="15" hidden="false" customHeight="false" outlineLevel="0" collapsed="false">
      <c r="A15" s="9" t="s">
        <v>58</v>
      </c>
      <c r="B15" s="10" t="n">
        <f aca="false">'Dane szczegółowe'!H28</f>
        <v>0.888984181437012</v>
      </c>
      <c r="C15" s="10" t="n">
        <f aca="false">'Dane szczegółowe'!H29</f>
        <v>0.815074496056091</v>
      </c>
      <c r="D15" s="10" t="n">
        <f aca="false">'Dane szczegółowe'!H62</f>
        <v>0.779057859703021</v>
      </c>
      <c r="E15" s="10" t="n">
        <f aca="false">'Dane szczegółowe'!H63</f>
        <v>0.802067789383927</v>
      </c>
      <c r="F15" s="10" t="n">
        <f aca="false">'Dane szczegółowe'!H108</f>
        <v>0.801930953774137</v>
      </c>
      <c r="G15" s="10" t="n">
        <f aca="false">'Dane szczegółowe'!H109</f>
        <v>0.682458386683739</v>
      </c>
      <c r="H15" s="10" t="n">
        <f aca="false">'Dane szczegółowe'!H134</f>
        <v>0.775301246778575</v>
      </c>
      <c r="I15" s="10" t="n">
        <f aca="false">'Dane szczegółowe'!H135</f>
        <v>0.683241112711286</v>
      </c>
      <c r="J15" s="11"/>
      <c r="K15" s="11"/>
      <c r="L15" s="11"/>
      <c r="M15" s="11"/>
    </row>
    <row r="16" customFormat="false" ht="15" hidden="false" customHeight="false" outlineLevel="0" collapsed="false">
      <c r="A16" s="9" t="s">
        <v>60</v>
      </c>
      <c r="B16" s="11"/>
      <c r="C16" s="11"/>
      <c r="D16" s="10" t="n">
        <f aca="false">'Dane szczegółowe'!H30</f>
        <v>0.807766701383723</v>
      </c>
      <c r="E16" s="10" t="n">
        <f aca="false">'Dane szczegółowe'!H31</f>
        <v>0.712858153519632</v>
      </c>
      <c r="F16" s="10" t="n">
        <f aca="false">'Dane szczegółowe'!H64</f>
        <v>0.778156725888325</v>
      </c>
      <c r="G16" s="10" t="n">
        <f aca="false">'Dane szczegółowe'!H65</f>
        <v>0.604982206405694</v>
      </c>
      <c r="H16" s="10" t="n">
        <f aca="false">'Dane szczegółowe'!H110</f>
        <v>0.774277318389941</v>
      </c>
      <c r="I16" s="10" t="n">
        <f aca="false">'Dane szczegółowe'!H111</f>
        <v>0.589767917092395</v>
      </c>
      <c r="J16" s="10" t="n">
        <f aca="false">'Dane szczegółowe'!H136</f>
        <v>0.73987676056338</v>
      </c>
      <c r="K16" s="10" t="n">
        <f aca="false">'Dane szczegółowe'!H137</f>
        <v>0.570083682008368</v>
      </c>
      <c r="L16" s="11"/>
      <c r="M16" s="11"/>
    </row>
    <row r="17" customFormat="false" ht="15" hidden="false" customHeight="false" outlineLevel="0" collapsed="false">
      <c r="A17" s="9" t="s">
        <v>61</v>
      </c>
      <c r="B17" s="11"/>
      <c r="C17" s="11"/>
      <c r="D17" s="11"/>
      <c r="E17" s="11"/>
      <c r="F17" s="10" t="n">
        <f aca="false">'Dane szczegółowe'!H32</f>
        <v>0.829588993382097</v>
      </c>
      <c r="G17" s="10" t="n">
        <f aca="false">'Dane szczegółowe'!H33</f>
        <v>0.675787357605539</v>
      </c>
      <c r="H17" s="10" t="n">
        <f aca="false">'Dane szczegółowe'!H66</f>
        <v>0.749856404365307</v>
      </c>
      <c r="I17" s="10" t="n">
        <f aca="false">'Dane szczegółowe'!H67</f>
        <v>0.536740890688259</v>
      </c>
      <c r="J17" s="10" t="n">
        <f aca="false">'Dane szczegółowe'!H112</f>
        <v>0.789068908941756</v>
      </c>
      <c r="K17" s="10" t="n">
        <f aca="false">'Dane szczegółowe'!H113</f>
        <v>0.643173889907172</v>
      </c>
      <c r="L17" s="10" t="n">
        <f aca="false">'Dane szczegółowe'!H138</f>
        <v>0.747583643122677</v>
      </c>
      <c r="M17" s="10" t="n">
        <f aca="false">'Dane szczegółowe'!H139</f>
        <v>0.629892457385325</v>
      </c>
    </row>
    <row r="18" customFormat="false" ht="15" hidden="false" customHeight="false" outlineLevel="0" collapsed="false">
      <c r="A18" s="9" t="s">
        <v>62</v>
      </c>
      <c r="B18" s="11"/>
      <c r="C18" s="11"/>
      <c r="D18" s="11"/>
      <c r="E18" s="11"/>
      <c r="F18" s="11"/>
      <c r="G18" s="11"/>
      <c r="H18" s="10" t="n">
        <f aca="false">'Dane szczegółowe'!H34</f>
        <v>0.822218145124301</v>
      </c>
      <c r="I18" s="10" t="n">
        <f aca="false">'Dane szczegółowe'!H35</f>
        <v>0.613737975884027</v>
      </c>
      <c r="J18" s="10" t="n">
        <f aca="false">'Dane szczegółowe'!H68</f>
        <v>0.678876678876679</v>
      </c>
      <c r="K18" s="10" t="n">
        <f aca="false">'Dane szczegółowe'!H69</f>
        <v>0.450721153846154</v>
      </c>
      <c r="L18" s="10" t="n">
        <f aca="false">'Dane szczegółowe'!H114</f>
        <v>0.674074074074074</v>
      </c>
      <c r="M18" s="10" t="n">
        <f aca="false">'Dane szczegółowe'!H115</f>
        <v>0.483246933872803</v>
      </c>
    </row>
    <row r="19" customFormat="false" ht="15" hidden="false" customHeight="false" outlineLevel="0" collapsed="false">
      <c r="A19" s="9" t="s">
        <v>63</v>
      </c>
      <c r="B19" s="10" t="n">
        <f aca="false">'Dane szczegółowe'!H36</f>
        <v>0.792297329423885</v>
      </c>
      <c r="C19" s="10" t="n">
        <f aca="false">'Dane szczegółowe'!H37</f>
        <v>0.7796452581891</v>
      </c>
      <c r="D19" s="11"/>
      <c r="E19" s="11"/>
      <c r="F19" s="11"/>
      <c r="G19" s="11"/>
      <c r="H19" s="11"/>
      <c r="I19" s="11"/>
      <c r="J19" s="10" t="n">
        <f aca="false">'Dane szczegółowe'!H172</f>
        <v>0.799749076461978</v>
      </c>
      <c r="K19" s="10" t="n">
        <f aca="false">'Dane szczegółowe'!H173</f>
        <v>0.669397135953798</v>
      </c>
      <c r="L19" s="11"/>
      <c r="M19" s="11"/>
    </row>
    <row r="20" customFormat="false" ht="15" hidden="false" customHeight="false" outlineLevel="0" collapsed="false">
      <c r="A20" s="9" t="s">
        <v>65</v>
      </c>
      <c r="B20" s="11"/>
      <c r="C20" s="11"/>
      <c r="D20" s="10" t="n">
        <f aca="false">'Dane szczegółowe'!H38</f>
        <v>0.673011787020729</v>
      </c>
      <c r="E20" s="10" t="n">
        <f aca="false">'Dane szczegółowe'!H39</f>
        <v>0.64483580994313</v>
      </c>
      <c r="F20" s="11"/>
      <c r="G20" s="11"/>
      <c r="H20" s="11"/>
      <c r="I20" s="11"/>
      <c r="J20" s="11"/>
      <c r="K20" s="11"/>
      <c r="L20" s="10" t="n">
        <f aca="false">'Dane szczegółowe'!H174</f>
        <v>0.69065606361829</v>
      </c>
      <c r="M20" s="10" t="n">
        <f aca="false">'Dane szczegółowe'!H175</f>
        <v>0.56344523567311</v>
      </c>
    </row>
    <row r="21" customFormat="false" ht="15" hidden="false" customHeight="false" outlineLevel="0" collapsed="false">
      <c r="A21" s="9" t="s">
        <v>66</v>
      </c>
      <c r="B21" s="11"/>
      <c r="C21" s="11"/>
      <c r="D21" s="11"/>
      <c r="E21" s="11"/>
      <c r="F21" s="10" t="n">
        <f aca="false">'Dane szczegółowe'!H40</f>
        <v>0.634010505664199</v>
      </c>
      <c r="G21" s="10" t="n">
        <f aca="false">'Dane szczegółowe'!H41</f>
        <v>0.439868744872847</v>
      </c>
      <c r="H21" s="11"/>
      <c r="I21" s="11"/>
      <c r="J21" s="11"/>
      <c r="K21" s="11"/>
      <c r="L21" s="11"/>
      <c r="M21" s="11"/>
    </row>
    <row r="22" customFormat="false" ht="15" hidden="false" customHeight="false" outlineLevel="0" collapsed="false">
      <c r="A22" s="9" t="s">
        <v>67</v>
      </c>
      <c r="B22" s="10" t="n">
        <f aca="false">'Dane szczegółowe'!H42</f>
        <v>0.772784943962783</v>
      </c>
      <c r="C22" s="10" t="n">
        <f aca="false">'Dane szczegółowe'!H43</f>
        <v>0.737728310502283</v>
      </c>
      <c r="D22" s="11"/>
      <c r="E22" s="11"/>
      <c r="F22" s="11"/>
      <c r="G22" s="11"/>
      <c r="H22" s="11"/>
      <c r="I22" s="11"/>
      <c r="J22" s="10" t="n">
        <f aca="false">'Dane szczegółowe'!H178</f>
        <v>0.801759480696959</v>
      </c>
      <c r="K22" s="10" t="n">
        <f aca="false">'Dane szczegółowe'!H179</f>
        <v>0.653520015775981</v>
      </c>
      <c r="L22" s="11"/>
      <c r="M22" s="11"/>
    </row>
    <row r="23" customFormat="false" ht="15" hidden="false" customHeight="false" outlineLevel="0" collapsed="false">
      <c r="A23" s="9" t="s">
        <v>69</v>
      </c>
      <c r="B23" s="11"/>
      <c r="C23" s="11"/>
      <c r="D23" s="10" t="n">
        <f aca="false">'Dane szczegółowe'!H44</f>
        <v>0.744404859778935</v>
      </c>
      <c r="E23" s="10" t="n">
        <f aca="false">'Dane szczegółowe'!H45</f>
        <v>0.678956943602183</v>
      </c>
      <c r="F23" s="11"/>
      <c r="G23" s="11"/>
      <c r="H23" s="11"/>
      <c r="I23" s="11"/>
      <c r="J23" s="11"/>
      <c r="K23" s="11"/>
      <c r="L23" s="10" t="n">
        <f aca="false">'Dane szczegółowe'!H180</f>
        <v>0.764307966177125</v>
      </c>
      <c r="M23" s="10" t="n">
        <f aca="false">'Dane szczegółowe'!H181</f>
        <v>0.57734375</v>
      </c>
    </row>
    <row r="24" customFormat="false" ht="15" hidden="false" customHeight="false" outlineLevel="0" collapsed="false">
      <c r="A24" s="9" t="s">
        <v>70</v>
      </c>
      <c r="B24" s="11"/>
      <c r="C24" s="11"/>
      <c r="D24" s="11"/>
      <c r="E24" s="11"/>
      <c r="F24" s="10" t="n">
        <f aca="false">'Dane szczegółowe'!H46</f>
        <v>0.746627091203454</v>
      </c>
      <c r="G24" s="10" t="n">
        <f aca="false">'Dane szczegółowe'!H47</f>
        <v>0.572519083969466</v>
      </c>
      <c r="H24" s="11"/>
      <c r="I24" s="11"/>
      <c r="J24" s="11"/>
      <c r="K24" s="11"/>
      <c r="L24" s="11"/>
      <c r="M24" s="11"/>
    </row>
    <row r="25" customFormat="false" ht="15" hidden="false" customHeight="false" outlineLevel="0" collapsed="false">
      <c r="A25" s="9" t="s">
        <v>71</v>
      </c>
      <c r="B25" s="10" t="n">
        <f aca="false">'Dane szczegółowe'!H48</f>
        <v>0.844158860416505</v>
      </c>
      <c r="C25" s="10" t="n">
        <f aca="false">'Dane szczegółowe'!H49</f>
        <v>0.815655661390819</v>
      </c>
      <c r="D25" s="11"/>
      <c r="E25" s="11"/>
      <c r="F25" s="11"/>
      <c r="G25" s="11"/>
      <c r="H25" s="11"/>
      <c r="I25" s="11"/>
      <c r="J25" s="10" t="n">
        <f aca="false">'Dane szczegółowe'!H190</f>
        <v>0.81452029997414</v>
      </c>
      <c r="K25" s="10" t="n">
        <f aca="false">'Dane szczegółowe'!H191</f>
        <v>0.733804415102125</v>
      </c>
      <c r="L25" s="11"/>
      <c r="M25" s="11"/>
    </row>
    <row r="26" customFormat="false" ht="15" hidden="false" customHeight="false" outlineLevel="0" collapsed="false">
      <c r="A26" s="9" t="s">
        <v>47</v>
      </c>
      <c r="B26" s="10" t="n">
        <f aca="false">'Dane szczegółowe'!H12</f>
        <v>0.840651103019919</v>
      </c>
      <c r="C26" s="10" t="n">
        <f aca="false">'Dane szczegółowe'!H13</f>
        <v>0.838765844825185</v>
      </c>
      <c r="D26" s="10" t="n">
        <f aca="false">'Dane szczegółowe'!H50</f>
        <v>0.732812739243608</v>
      </c>
      <c r="E26" s="10" t="n">
        <f aca="false">'Dane szczegółowe'!H51</f>
        <v>0.66075146227818</v>
      </c>
      <c r="F26" s="11"/>
      <c r="G26" s="11"/>
      <c r="H26" s="11"/>
      <c r="I26" s="11"/>
      <c r="J26" s="11"/>
      <c r="K26" s="11"/>
      <c r="L26" s="10" t="n">
        <f aca="false">'Dane szczegółowe'!H192</f>
        <v>0.7849675049449</v>
      </c>
      <c r="M26" s="10" t="n">
        <f aca="false">'Dane szczegółowe'!H193</f>
        <v>0.646938530013232</v>
      </c>
    </row>
    <row r="27" customFormat="false" ht="15" hidden="false" customHeight="false" outlineLevel="0" collapsed="false">
      <c r="A27" s="9" t="s">
        <v>41</v>
      </c>
      <c r="B27" s="10" t="n">
        <f aca="false">'Dane szczegółowe'!H4</f>
        <v>0.721481013657535</v>
      </c>
      <c r="C27" s="10" t="n">
        <f aca="false">'Dane szczegółowe'!H5</f>
        <v>0.757289807022018</v>
      </c>
      <c r="D27" s="10" t="n">
        <f aca="false">'Dane szczegółowe'!H14</f>
        <v>0.774223655184117</v>
      </c>
      <c r="E27" s="10" t="n">
        <f aca="false">'Dane szczegółowe'!H15</f>
        <v>0.687662525281711</v>
      </c>
      <c r="F27" s="10" t="n">
        <f aca="false">'Dane szczegółowe'!H52</f>
        <v>0.737357142857143</v>
      </c>
      <c r="G27" s="10" t="n">
        <f aca="false">'Dane szczegółowe'!H53</f>
        <v>0.582517482517483</v>
      </c>
      <c r="H27" s="11"/>
      <c r="I27" s="11"/>
      <c r="J27" s="11"/>
      <c r="K27" s="11"/>
      <c r="L27" s="11"/>
      <c r="M27" s="11"/>
    </row>
    <row r="28" customFormat="false" ht="15" hidden="false" customHeight="false" outlineLevel="0" collapsed="false">
      <c r="A28" s="9" t="s">
        <v>72</v>
      </c>
      <c r="B28" s="10" t="n">
        <f aca="false">'Dane szczegółowe'!H54</f>
        <v>0.763828382838284</v>
      </c>
      <c r="C28" s="10" t="n">
        <f aca="false">'Dane szczegółowe'!H55</f>
        <v>0.72107161257084</v>
      </c>
      <c r="D28" s="10" t="n">
        <f aca="false">'Dane szczegółowe'!H90</f>
        <v>0.804527447651387</v>
      </c>
      <c r="E28" s="10" t="n">
        <f aca="false">'Dane szczegółowe'!H91</f>
        <v>0.764802055354432</v>
      </c>
      <c r="F28" s="11"/>
      <c r="G28" s="11"/>
      <c r="H28" s="10" t="n">
        <f aca="false">'Dane szczegółowe'!H164</f>
        <v>0.761007381676075</v>
      </c>
      <c r="I28" s="10" t="n">
        <f aca="false">'Dane szczegółowe'!H165</f>
        <v>0.63258335189723</v>
      </c>
      <c r="J28" s="10" t="n">
        <f aca="false">'Dane szczegółowe'!H194</f>
        <v>0.748610449420359</v>
      </c>
      <c r="K28" s="10" t="n">
        <f aca="false">'Dane szczegółowe'!H195</f>
        <v>0.667132867132867</v>
      </c>
      <c r="L28" s="10" t="n">
        <f aca="false">'Dane szczegółowe'!H208</f>
        <v>0.716157205240175</v>
      </c>
      <c r="M28" s="10" t="n">
        <f aca="false">'Dane szczegółowe'!H209</f>
        <v>0.531646734130635</v>
      </c>
    </row>
    <row r="29" customFormat="false" ht="15" hidden="false" customHeight="false" outlineLevel="0" collapsed="false">
      <c r="A29" s="9" t="s">
        <v>73</v>
      </c>
      <c r="B29" s="11"/>
      <c r="C29" s="11"/>
      <c r="D29" s="10" t="n">
        <f aca="false">'Dane szczegółowe'!H56</f>
        <v>0.69681853453054</v>
      </c>
      <c r="E29" s="10" t="n">
        <f aca="false">'Dane szczegółowe'!H57</f>
        <v>0.553302304964539</v>
      </c>
      <c r="F29" s="10" t="n">
        <f aca="false">'Dane szczegółowe'!H92</f>
        <v>0.758545680546924</v>
      </c>
      <c r="G29" s="10" t="n">
        <f aca="false">'Dane szczegółowe'!H93</f>
        <v>0.586583463338534</v>
      </c>
      <c r="H29" s="11"/>
      <c r="I29" s="11"/>
      <c r="J29" s="10" t="n">
        <f aca="false">'Dane szczegółowe'!H166</f>
        <v>0.721034356725146</v>
      </c>
      <c r="K29" s="10" t="n">
        <f aca="false">'Dane szczegółowe'!H167</f>
        <v>0.623154164205552</v>
      </c>
      <c r="L29" s="10" t="n">
        <f aca="false">'Dane szczegółowe'!H196</f>
        <v>0.77491919844861</v>
      </c>
      <c r="M29" s="10" t="n">
        <f aca="false">'Dane szczegółowe'!H197</f>
        <v>0.657560706401766</v>
      </c>
    </row>
    <row r="30" customFormat="false" ht="15" hidden="false" customHeight="false" outlineLevel="0" collapsed="false">
      <c r="A30" s="9" t="s">
        <v>43</v>
      </c>
      <c r="B30" s="10" t="n">
        <f aca="false">'Dane szczegółowe'!H6</f>
        <v>0.567368421052632</v>
      </c>
      <c r="C30" s="10" t="n">
        <f aca="false">'Dane szczegółowe'!H7</f>
        <v>0.489714285714286</v>
      </c>
      <c r="D30" s="11"/>
      <c r="E30" s="11"/>
      <c r="F30" s="10" t="n">
        <f aca="false">'Dane szczegółowe'!H58</f>
        <v>0.628483890096857</v>
      </c>
      <c r="G30" s="10" t="n">
        <f aca="false">'Dane szczegółowe'!H59</f>
        <v>0.63240725871206</v>
      </c>
      <c r="H30" s="10" t="n">
        <f aca="false">'Dane szczegółowe'!H94</f>
        <v>0.618179398456215</v>
      </c>
      <c r="I30" s="10" t="n">
        <f aca="false">'Dane szczegółowe'!H95</f>
        <v>0.587446153846154</v>
      </c>
      <c r="J30" s="11"/>
      <c r="K30" s="11"/>
      <c r="L30" s="10" t="n">
        <f aca="false">'Dane szczegółowe'!H168</f>
        <v>0.649957114266654</v>
      </c>
      <c r="M30" s="10" t="n">
        <f aca="false">'Dane szczegółowe'!H169</f>
        <v>0.546917075191604</v>
      </c>
    </row>
    <row r="31" customFormat="false" ht="15" hidden="false" customHeight="false" outlineLevel="0" collapsed="false">
      <c r="A31" s="9" t="s">
        <v>74</v>
      </c>
      <c r="B31" s="10" t="n">
        <f aca="false">'Dane szczegółowe'!H60</f>
        <v>0.860868616324749</v>
      </c>
      <c r="C31" s="10" t="n">
        <f aca="false">'Dane szczegółowe'!H61</f>
        <v>0.841071278649987</v>
      </c>
      <c r="D31" s="10" t="n">
        <f aca="false">'Dane szczegółowe'!H106</f>
        <v>0.84044357469015</v>
      </c>
      <c r="E31" s="10" t="n">
        <f aca="false">'Dane szczegółowe'!H107</f>
        <v>0.820039880358923</v>
      </c>
      <c r="F31" s="10" t="n">
        <f aca="false">'Dane szczegółowe'!H132</f>
        <v>0.870323905109489</v>
      </c>
      <c r="G31" s="10" t="n">
        <f aca="false">'Dane szczegółowe'!H133</f>
        <v>0.754713874022231</v>
      </c>
      <c r="H31" s="11"/>
      <c r="I31" s="11"/>
      <c r="J31" s="11"/>
      <c r="K31" s="11"/>
      <c r="L31" s="11"/>
      <c r="M31" s="11"/>
    </row>
    <row r="32" customFormat="false" ht="15" hidden="false" customHeight="false" outlineLevel="0" collapsed="false">
      <c r="A32" s="9" t="s">
        <v>58</v>
      </c>
      <c r="B32" s="10" t="n">
        <f aca="false">'Dane szczegółowe'!H28</f>
        <v>0.888984181437012</v>
      </c>
      <c r="C32" s="10" t="n">
        <f aca="false">'Dane szczegółowe'!H29</f>
        <v>0.815074496056091</v>
      </c>
      <c r="D32" s="10" t="n">
        <f aca="false">'Dane szczegółowe'!H62</f>
        <v>0.779057859703021</v>
      </c>
      <c r="E32" s="10" t="n">
        <f aca="false">'Dane szczegółowe'!H63</f>
        <v>0.802067789383927</v>
      </c>
      <c r="F32" s="10" t="n">
        <f aca="false">'Dane szczegółowe'!H108</f>
        <v>0.801930953774137</v>
      </c>
      <c r="G32" s="10" t="n">
        <f aca="false">'Dane szczegółowe'!H109</f>
        <v>0.682458386683739</v>
      </c>
      <c r="H32" s="10" t="n">
        <f aca="false">'Dane szczegółowe'!H134</f>
        <v>0.775301246778575</v>
      </c>
      <c r="I32" s="10" t="n">
        <f aca="false">'Dane szczegółowe'!H135</f>
        <v>0.683241112711286</v>
      </c>
      <c r="J32" s="11"/>
      <c r="K32" s="11"/>
      <c r="L32" s="11"/>
      <c r="M32" s="11"/>
    </row>
    <row r="33" customFormat="false" ht="15" hidden="false" customHeight="false" outlineLevel="0" collapsed="false">
      <c r="A33" s="9" t="s">
        <v>60</v>
      </c>
      <c r="B33" s="11"/>
      <c r="C33" s="11"/>
      <c r="D33" s="10" t="n">
        <f aca="false">'Dane szczegółowe'!H30</f>
        <v>0.807766701383723</v>
      </c>
      <c r="E33" s="10" t="n">
        <f aca="false">'Dane szczegółowe'!H31</f>
        <v>0.712858153519632</v>
      </c>
      <c r="F33" s="10" t="n">
        <f aca="false">'Dane szczegółowe'!H64</f>
        <v>0.778156725888325</v>
      </c>
      <c r="G33" s="10" t="n">
        <f aca="false">'Dane szczegółowe'!H65</f>
        <v>0.604982206405694</v>
      </c>
      <c r="H33" s="10" t="n">
        <f aca="false">'Dane szczegółowe'!H110</f>
        <v>0.774277318389941</v>
      </c>
      <c r="I33" s="10" t="n">
        <f aca="false">'Dane szczegółowe'!H111</f>
        <v>0.589767917092395</v>
      </c>
      <c r="J33" s="10" t="n">
        <f aca="false">'Dane szczegółowe'!H136</f>
        <v>0.73987676056338</v>
      </c>
      <c r="K33" s="10" t="n">
        <f aca="false">'Dane szczegółowe'!H137</f>
        <v>0.570083682008368</v>
      </c>
      <c r="L33" s="11"/>
      <c r="M33" s="11"/>
    </row>
    <row r="34" customFormat="false" ht="15" hidden="false" customHeight="false" outlineLevel="0" collapsed="false">
      <c r="A34" s="9" t="s">
        <v>61</v>
      </c>
      <c r="B34" s="11"/>
      <c r="C34" s="11"/>
      <c r="D34" s="11"/>
      <c r="E34" s="11"/>
      <c r="F34" s="10" t="n">
        <f aca="false">'Dane szczegółowe'!H32</f>
        <v>0.829588993382097</v>
      </c>
      <c r="G34" s="10" t="n">
        <f aca="false">'Dane szczegółowe'!H33</f>
        <v>0.675787357605539</v>
      </c>
      <c r="H34" s="10" t="n">
        <f aca="false">'Dane szczegółowe'!H66</f>
        <v>0.749856404365307</v>
      </c>
      <c r="I34" s="10" t="n">
        <f aca="false">'Dane szczegółowe'!H67</f>
        <v>0.536740890688259</v>
      </c>
      <c r="J34" s="10" t="n">
        <f aca="false">'Dane szczegółowe'!H112</f>
        <v>0.789068908941756</v>
      </c>
      <c r="K34" s="10" t="n">
        <f aca="false">'Dane szczegółowe'!H113</f>
        <v>0.643173889907172</v>
      </c>
      <c r="L34" s="10" t="n">
        <f aca="false">'Dane szczegółowe'!H138</f>
        <v>0.747583643122677</v>
      </c>
      <c r="M34" s="10" t="n">
        <f aca="false">'Dane szczegółowe'!H139</f>
        <v>0.629892457385325</v>
      </c>
    </row>
    <row r="35" customFormat="false" ht="15" hidden="false" customHeight="false" outlineLevel="0" collapsed="false">
      <c r="A35" s="9" t="s">
        <v>62</v>
      </c>
      <c r="B35" s="11"/>
      <c r="C35" s="11"/>
      <c r="D35" s="11"/>
      <c r="E35" s="11"/>
      <c r="F35" s="11"/>
      <c r="G35" s="11"/>
      <c r="H35" s="10" t="n">
        <f aca="false">'Dane szczegółowe'!H34</f>
        <v>0.822218145124301</v>
      </c>
      <c r="I35" s="10" t="n">
        <f aca="false">'Dane szczegółowe'!H35</f>
        <v>0.613737975884027</v>
      </c>
      <c r="J35" s="10" t="n">
        <f aca="false">'Dane szczegółowe'!H68</f>
        <v>0.678876678876679</v>
      </c>
      <c r="K35" s="10" t="n">
        <f aca="false">'Dane szczegółowe'!H69</f>
        <v>0.450721153846154</v>
      </c>
      <c r="L35" s="10" t="n">
        <f aca="false">'Dane szczegółowe'!H114</f>
        <v>0.674074074074074</v>
      </c>
      <c r="M35" s="10" t="n">
        <f aca="false">'Dane szczegółowe'!H115</f>
        <v>0.483246933872803</v>
      </c>
    </row>
    <row r="36" customFormat="false" ht="15" hidden="false" customHeight="false" outlineLevel="0" collapsed="false">
      <c r="A36" s="9" t="s">
        <v>76</v>
      </c>
      <c r="B36" s="10" t="n">
        <f aca="false">'Dane szczegółowe'!H70</f>
        <v>0.928053830227743</v>
      </c>
      <c r="C36" s="10" t="n">
        <f aca="false">'Dane szczegółowe'!H71</f>
        <v>0.894206008583691</v>
      </c>
      <c r="D36" s="10" t="n">
        <f aca="false">'Dane szczegółowe'!H116</f>
        <v>0.849726951493736</v>
      </c>
      <c r="E36" s="10" t="n">
        <f aca="false">'Dane szczegółowe'!H117</f>
        <v>0.766472178739149</v>
      </c>
      <c r="F36" s="10" t="n">
        <f aca="false">'Dane szczegółowe'!H148</f>
        <v>0.86696521216755</v>
      </c>
      <c r="G36" s="10" t="n">
        <f aca="false">'Dane szczegółowe'!H149</f>
        <v>0.725165002538501</v>
      </c>
      <c r="H36" s="11"/>
      <c r="I36" s="11"/>
      <c r="J36" s="11"/>
      <c r="K36" s="11"/>
      <c r="L36" s="11"/>
      <c r="M36" s="11"/>
    </row>
    <row r="37" customFormat="false" ht="15" hidden="false" customHeight="false" outlineLevel="0" collapsed="false">
      <c r="A37" s="9" t="s">
        <v>78</v>
      </c>
      <c r="B37" s="11"/>
      <c r="C37" s="11"/>
      <c r="D37" s="10" t="n">
        <f aca="false">'Dane szczegółowe'!H72</f>
        <v>0.796214937478878</v>
      </c>
      <c r="E37" s="10" t="n">
        <f aca="false">'Dane szczegółowe'!H73</f>
        <v>0.771103896103896</v>
      </c>
      <c r="F37" s="10" t="n">
        <f aca="false">'Dane szczegółowe'!H118</f>
        <v>0.856815447201054</v>
      </c>
      <c r="G37" s="10" t="n">
        <f aca="false">'Dane szczegółowe'!H119</f>
        <v>0.730268959435626</v>
      </c>
      <c r="H37" s="10" t="n">
        <f aca="false">'Dane szczegółowe'!H150</f>
        <v>0.830620940141091</v>
      </c>
      <c r="I37" s="10" t="n">
        <f aca="false">'Dane szczegółowe'!H151</f>
        <v>0.680439043512348</v>
      </c>
      <c r="J37" s="11"/>
      <c r="K37" s="11"/>
      <c r="L37" s="11"/>
      <c r="M37" s="11"/>
    </row>
    <row r="38" customFormat="false" ht="15" hidden="false" customHeight="false" outlineLevel="0" collapsed="false">
      <c r="A38" s="9" t="s">
        <v>79</v>
      </c>
      <c r="B38" s="11"/>
      <c r="C38" s="11"/>
      <c r="D38" s="11"/>
      <c r="E38" s="11"/>
      <c r="F38" s="10" t="n">
        <f aca="false">'Dane szczegółowe'!H74</f>
        <v>0.842700939957798</v>
      </c>
      <c r="G38" s="10" t="n">
        <f aca="false">'Dane szczegółowe'!H75</f>
        <v>0.665620094191523</v>
      </c>
      <c r="H38" s="10" t="n">
        <f aca="false">'Dane szczegółowe'!H120</f>
        <v>0.801302931596091</v>
      </c>
      <c r="I38" s="10" t="n">
        <f aca="false">'Dane szczegółowe'!H121</f>
        <v>0.703399920624421</v>
      </c>
      <c r="J38" s="10" t="n">
        <f aca="false">'Dane szczegółowe'!H152</f>
        <v>0.763419174681973</v>
      </c>
      <c r="K38" s="10" t="n">
        <f aca="false">'Dane szczegółowe'!H153</f>
        <v>0.618088398435219</v>
      </c>
      <c r="L38" s="11"/>
      <c r="M38" s="11"/>
    </row>
    <row r="39" customFormat="false" ht="15" hidden="false" customHeight="false" outlineLevel="0" collapsed="false">
      <c r="A39" s="9" t="s">
        <v>80</v>
      </c>
      <c r="B39" s="11"/>
      <c r="C39" s="11"/>
      <c r="D39" s="11"/>
      <c r="E39" s="11"/>
      <c r="F39" s="11"/>
      <c r="G39" s="11"/>
      <c r="H39" s="10" t="n">
        <f aca="false">'Dane szczegółowe'!H76</f>
        <v>0.812307692307692</v>
      </c>
      <c r="I39" s="10" t="n">
        <f aca="false">'Dane szczegółowe'!H77</f>
        <v>0.748674443266172</v>
      </c>
      <c r="J39" s="10" t="n">
        <f aca="false">'Dane szczegółowe'!H122</f>
        <v>0.820143080706461</v>
      </c>
      <c r="K39" s="10" t="n">
        <f aca="false">'Dane szczegółowe'!H123</f>
        <v>0.727159571819766</v>
      </c>
      <c r="L39" s="10" t="n">
        <f aca="false">'Dane szczegółowe'!H154</f>
        <v>0.77638762511374</v>
      </c>
      <c r="M39" s="10" t="n">
        <f aca="false">'Dane szczegółowe'!H155</f>
        <v>0.610477314450564</v>
      </c>
    </row>
    <row r="40" customFormat="false" ht="15" hidden="false" customHeight="false" outlineLevel="0" collapsed="false">
      <c r="A40" s="9" t="s">
        <v>81</v>
      </c>
      <c r="B40" s="11"/>
      <c r="C40" s="11"/>
      <c r="D40" s="11"/>
      <c r="E40" s="11"/>
      <c r="F40" s="11"/>
      <c r="G40" s="11"/>
      <c r="H40" s="11"/>
      <c r="I40" s="11"/>
      <c r="J40" s="10" t="n">
        <f aca="false">'Dane szczegółowe'!H78</f>
        <v>0.717835741980966</v>
      </c>
      <c r="K40" s="10" t="n">
        <f aca="false">'Dane szczegółowe'!H79</f>
        <v>0.631143878462913</v>
      </c>
      <c r="L40" s="10" t="n">
        <f aca="false">'Dane szczegółowe'!H124</f>
        <v>0.739432367149759</v>
      </c>
      <c r="M40" s="10" t="n">
        <f aca="false">'Dane szczegółowe'!H125</f>
        <v>0.603875863938203</v>
      </c>
    </row>
    <row r="41" customFormat="false" ht="15" hidden="false" customHeight="false" outlineLevel="0" collapsed="false">
      <c r="A41" s="9" t="s">
        <v>82</v>
      </c>
      <c r="B41" s="10" t="n">
        <f aca="false">'Dane szczegółowe'!H80</f>
        <v>0.853955135773318</v>
      </c>
      <c r="C41" s="10" t="n">
        <f aca="false">'Dane szczegółowe'!H81</f>
        <v>0.826111371080955</v>
      </c>
      <c r="D41" s="11"/>
      <c r="E41" s="11"/>
      <c r="F41" s="10" t="n">
        <f aca="false">'Dane szczegółowe'!H156</f>
        <v>0.8927146627386</v>
      </c>
      <c r="G41" s="10" t="n">
        <f aca="false">'Dane szczegółowe'!H157</f>
        <v>0.732311766931517</v>
      </c>
      <c r="H41" s="11"/>
      <c r="I41" s="11"/>
      <c r="J41" s="11"/>
      <c r="K41" s="11"/>
      <c r="L41" s="11"/>
      <c r="M41" s="11"/>
    </row>
    <row r="42" customFormat="false" ht="15" hidden="false" customHeight="false" outlineLevel="0" collapsed="false">
      <c r="A42" s="9" t="s">
        <v>84</v>
      </c>
      <c r="B42" s="11"/>
      <c r="C42" s="11"/>
      <c r="D42" s="10" t="n">
        <f aca="false">'Dane szczegółowe'!H82</f>
        <v>0.796260225944683</v>
      </c>
      <c r="E42" s="10" t="n">
        <f aca="false">'Dane szczegółowe'!H83</f>
        <v>0.714939207896954</v>
      </c>
      <c r="F42" s="11"/>
      <c r="G42" s="11"/>
      <c r="H42" s="10" t="n">
        <f aca="false">'Dane szczegółowe'!H158</f>
        <v>0.814868804664723</v>
      </c>
      <c r="I42" s="10" t="n">
        <f aca="false">'Dane szczegółowe'!H159</f>
        <v>0.691038449894036</v>
      </c>
      <c r="J42" s="11"/>
      <c r="K42" s="11"/>
      <c r="L42" s="11"/>
      <c r="M42" s="11"/>
    </row>
    <row r="43" customFormat="false" ht="15" hidden="false" customHeight="false" outlineLevel="0" collapsed="false">
      <c r="A43" s="9" t="s">
        <v>85</v>
      </c>
      <c r="B43" s="11"/>
      <c r="C43" s="11"/>
      <c r="D43" s="11"/>
      <c r="E43" s="11"/>
      <c r="F43" s="10" t="n">
        <f aca="false">'Dane szczegółowe'!H84</f>
        <v>0.750317848410758</v>
      </c>
      <c r="G43" s="10" t="n">
        <f aca="false">'Dane szczegółowe'!H85</f>
        <v>0.700053182059918</v>
      </c>
      <c r="H43" s="11"/>
      <c r="I43" s="11"/>
      <c r="J43" s="10" t="n">
        <f aca="false">'Dane szczegółowe'!H160</f>
        <v>0.813308687615527</v>
      </c>
      <c r="K43" s="10" t="n">
        <f aca="false">'Dane szczegółowe'!H161</f>
        <v>0.715748485722527</v>
      </c>
      <c r="L43" s="11"/>
      <c r="M43" s="11"/>
    </row>
    <row r="44" customFormat="false" ht="15" hidden="false" customHeight="false" outlineLevel="0" collapsed="false">
      <c r="A44" s="9" t="s">
        <v>86</v>
      </c>
      <c r="B44" s="11"/>
      <c r="C44" s="11"/>
      <c r="D44" s="11"/>
      <c r="E44" s="11"/>
      <c r="F44" s="11"/>
      <c r="G44" s="11"/>
      <c r="H44" s="10" t="n">
        <f aca="false">'Dane szczegółowe'!H86</f>
        <v>0.684675141242938</v>
      </c>
      <c r="I44" s="10" t="n">
        <f aca="false">'Dane szczegółowe'!H87</f>
        <v>0.624047946060682</v>
      </c>
      <c r="J44" s="11"/>
      <c r="K44" s="11"/>
      <c r="L44" s="10" t="n">
        <f aca="false">'Dane szczegółowe'!H162</f>
        <v>0.753949447077409</v>
      </c>
      <c r="M44" s="10" t="n">
        <f aca="false">'Dane szczegółowe'!H163</f>
        <v>0.561151079136691</v>
      </c>
    </row>
    <row r="45" customFormat="false" ht="15" hidden="false" customHeight="false" outlineLevel="0" collapsed="false">
      <c r="A45" s="9" t="s">
        <v>87</v>
      </c>
      <c r="B45" s="11"/>
      <c r="C45" s="11"/>
      <c r="D45" s="11"/>
      <c r="E45" s="11"/>
      <c r="F45" s="11"/>
      <c r="G45" s="11"/>
      <c r="H45" s="11"/>
      <c r="I45" s="11"/>
      <c r="J45" s="10" t="n">
        <f aca="false">'Dane szczegółowe'!H88</f>
        <v>0.768004501125281</v>
      </c>
      <c r="K45" s="10" t="n">
        <f aca="false">'Dane szczegółowe'!H89</f>
        <v>0.608527131782946</v>
      </c>
      <c r="L45" s="11"/>
      <c r="M45" s="11"/>
    </row>
    <row r="46" customFormat="false" ht="15" hidden="false" customHeight="false" outlineLevel="0" collapsed="false">
      <c r="A46" s="9" t="s">
        <v>72</v>
      </c>
      <c r="B46" s="10" t="n">
        <f aca="false">'Dane szczegółowe'!H54</f>
        <v>0.763828382838284</v>
      </c>
      <c r="C46" s="10" t="n">
        <f aca="false">'Dane szczegółowe'!H55</f>
        <v>0.72107161257084</v>
      </c>
      <c r="D46" s="10" t="n">
        <f aca="false">'Dane szczegółowe'!H90</f>
        <v>0.804527447651387</v>
      </c>
      <c r="E46" s="10" t="n">
        <f aca="false">'Dane szczegółowe'!H91</f>
        <v>0.764802055354432</v>
      </c>
      <c r="F46" s="11"/>
      <c r="G46" s="11"/>
      <c r="H46" s="10" t="n">
        <f aca="false">'Dane szczegółowe'!H164</f>
        <v>0.761007381676075</v>
      </c>
      <c r="I46" s="10" t="n">
        <f aca="false">'Dane szczegółowe'!H165</f>
        <v>0.63258335189723</v>
      </c>
      <c r="J46" s="10" t="n">
        <f aca="false">'Dane szczegółowe'!H194</f>
        <v>0.748610449420359</v>
      </c>
      <c r="K46" s="10" t="n">
        <f aca="false">'Dane szczegółowe'!H195</f>
        <v>0.667132867132867</v>
      </c>
      <c r="L46" s="10" t="n">
        <f aca="false">'Dane szczegółowe'!H208</f>
        <v>0.716157205240175</v>
      </c>
      <c r="M46" s="10" t="n">
        <f aca="false">'Dane szczegółowe'!H209</f>
        <v>0.531646734130635</v>
      </c>
    </row>
    <row r="47" customFormat="false" ht="15" hidden="false" customHeight="false" outlineLevel="0" collapsed="false">
      <c r="A47" s="9" t="s">
        <v>73</v>
      </c>
      <c r="B47" s="11"/>
      <c r="C47" s="11"/>
      <c r="D47" s="10" t="n">
        <f aca="false">'Dane szczegółowe'!H56</f>
        <v>0.69681853453054</v>
      </c>
      <c r="E47" s="10" t="n">
        <f aca="false">'Dane szczegółowe'!H57</f>
        <v>0.553302304964539</v>
      </c>
      <c r="F47" s="10" t="n">
        <f aca="false">'Dane szczegółowe'!H92</f>
        <v>0.758545680546924</v>
      </c>
      <c r="G47" s="10" t="n">
        <f aca="false">'Dane szczegółowe'!H93</f>
        <v>0.586583463338534</v>
      </c>
      <c r="H47" s="11"/>
      <c r="I47" s="11"/>
      <c r="J47" s="10" t="n">
        <f aca="false">'Dane szczegółowe'!H166</f>
        <v>0.721034356725146</v>
      </c>
      <c r="K47" s="10" t="n">
        <f aca="false">'Dane szczegółowe'!H167</f>
        <v>0.623154164205552</v>
      </c>
      <c r="L47" s="10" t="n">
        <f aca="false">'Dane szczegółowe'!H196</f>
        <v>0.77491919844861</v>
      </c>
      <c r="M47" s="10" t="n">
        <f aca="false">'Dane szczegółowe'!H197</f>
        <v>0.657560706401766</v>
      </c>
    </row>
    <row r="48" customFormat="false" ht="15" hidden="false" customHeight="false" outlineLevel="0" collapsed="false">
      <c r="A48" s="9" t="s">
        <v>43</v>
      </c>
      <c r="B48" s="10" t="n">
        <f aca="false">'Dane szczegółowe'!H6</f>
        <v>0.567368421052632</v>
      </c>
      <c r="C48" s="10" t="n">
        <f aca="false">'Dane szczegółowe'!H7</f>
        <v>0.489714285714286</v>
      </c>
      <c r="D48" s="11"/>
      <c r="E48" s="11"/>
      <c r="F48" s="10" t="n">
        <f aca="false">'Dane szczegółowe'!H58</f>
        <v>0.628483890096857</v>
      </c>
      <c r="G48" s="10" t="n">
        <f aca="false">'Dane szczegółowe'!H59</f>
        <v>0.63240725871206</v>
      </c>
      <c r="H48" s="10" t="n">
        <f aca="false">'Dane szczegółowe'!H94</f>
        <v>0.618179398456215</v>
      </c>
      <c r="I48" s="10" t="n">
        <f aca="false">'Dane szczegółowe'!H95</f>
        <v>0.587446153846154</v>
      </c>
      <c r="J48" s="11"/>
      <c r="K48" s="11"/>
      <c r="L48" s="10" t="n">
        <f aca="false">'Dane szczegółowe'!H168</f>
        <v>0.649957114266654</v>
      </c>
      <c r="M48" s="10" t="n">
        <f aca="false">'Dane szczegółowe'!H169</f>
        <v>0.546917075191604</v>
      </c>
    </row>
    <row r="49" customFormat="false" ht="15" hidden="false" customHeight="false" outlineLevel="0" collapsed="false">
      <c r="A49" s="9" t="s">
        <v>88</v>
      </c>
      <c r="B49" s="11"/>
      <c r="C49" s="11"/>
      <c r="D49" s="10" t="n">
        <f aca="false">'Dane szczegółowe'!H96</f>
        <v>0.858411108581835</v>
      </c>
      <c r="E49" s="10" t="n">
        <f aca="false">'Dane szczegółowe'!H97</f>
        <v>0.759875450271689</v>
      </c>
      <c r="F49" s="11"/>
      <c r="G49" s="11"/>
      <c r="H49" s="11"/>
      <c r="I49" s="11"/>
      <c r="J49" s="11"/>
      <c r="K49" s="11"/>
      <c r="L49" s="11"/>
      <c r="M49" s="11"/>
    </row>
    <row r="50" customFormat="false" ht="15" hidden="false" customHeight="false" outlineLevel="0" collapsed="false">
      <c r="A50" s="9" t="s">
        <v>51</v>
      </c>
      <c r="B50" s="10" t="n">
        <f aca="false">'Dane szczegółowe'!H20</f>
        <v>0.818540433925049</v>
      </c>
      <c r="C50" s="10" t="n">
        <f aca="false">'Dane szczegółowe'!H21</f>
        <v>0.728740157480315</v>
      </c>
      <c r="D50" s="11"/>
      <c r="E50" s="11"/>
      <c r="F50" s="10" t="n">
        <f aca="false">'Dane szczegółowe'!H98</f>
        <v>0.853389024003384</v>
      </c>
      <c r="G50" s="10" t="n">
        <f aca="false">'Dane szczegółowe'!H99</f>
        <v>0.693421409827165</v>
      </c>
      <c r="H50" s="11"/>
      <c r="I50" s="11"/>
      <c r="J50" s="11"/>
      <c r="K50" s="11"/>
      <c r="L50" s="11"/>
      <c r="M50" s="11"/>
    </row>
    <row r="51" customFormat="false" ht="15" hidden="false" customHeight="false" outlineLevel="0" collapsed="false">
      <c r="A51" s="9" t="s">
        <v>53</v>
      </c>
      <c r="B51" s="11"/>
      <c r="C51" s="11"/>
      <c r="D51" s="10" t="n">
        <f aca="false">'Dane szczegółowe'!H22</f>
        <v>0.731717265893596</v>
      </c>
      <c r="E51" s="10" t="n">
        <f aca="false">'Dane szczegółowe'!H23</f>
        <v>0.656078860898138</v>
      </c>
      <c r="F51" s="11"/>
      <c r="G51" s="11"/>
      <c r="H51" s="10" t="n">
        <f aca="false">'Dane szczegółowe'!H100</f>
        <v>0.781027371578553</v>
      </c>
      <c r="I51" s="10" t="n">
        <f aca="false">'Dane szczegółowe'!H101</f>
        <v>0.660554063789377</v>
      </c>
      <c r="J51" s="11"/>
      <c r="K51" s="11"/>
      <c r="L51" s="11"/>
      <c r="M51" s="11"/>
    </row>
    <row r="52" customFormat="false" ht="15" hidden="false" customHeight="false" outlineLevel="0" collapsed="false">
      <c r="A52" s="9" t="s">
        <v>54</v>
      </c>
      <c r="B52" s="11"/>
      <c r="C52" s="11"/>
      <c r="D52" s="11"/>
      <c r="E52" s="11"/>
      <c r="F52" s="10" t="n">
        <f aca="false">'Dane szczegółowe'!H24</f>
        <v>0.72435739001483</v>
      </c>
      <c r="G52" s="10" t="n">
        <f aca="false">'Dane szczegółowe'!H25</f>
        <v>0.568928755238585</v>
      </c>
      <c r="H52" s="11"/>
      <c r="I52" s="11"/>
      <c r="J52" s="10" t="n">
        <f aca="false">'Dane szczegółowe'!H102</f>
        <v>0.748716368864243</v>
      </c>
      <c r="K52" s="10" t="n">
        <f aca="false">'Dane szczegółowe'!H103</f>
        <v>0.639774427436989</v>
      </c>
      <c r="L52" s="11"/>
      <c r="M52" s="11"/>
    </row>
    <row r="53" customFormat="false" ht="15" hidden="false" customHeight="false" outlineLevel="0" collapsed="false">
      <c r="A53" s="9" t="s">
        <v>56</v>
      </c>
      <c r="B53" s="11"/>
      <c r="C53" s="11"/>
      <c r="D53" s="11"/>
      <c r="E53" s="11"/>
      <c r="F53" s="11"/>
      <c r="G53" s="11"/>
      <c r="H53" s="10" t="n">
        <f aca="false">'Dane szczegółowe'!H26</f>
        <v>0.672268907563025</v>
      </c>
      <c r="I53" s="10" t="n">
        <f aca="false">'Dane szczegółowe'!H27</f>
        <v>0.549218995701856</v>
      </c>
      <c r="J53" s="11"/>
      <c r="K53" s="11"/>
      <c r="L53" s="10" t="n">
        <f aca="false">'Dane szczegółowe'!H104</f>
        <v>0.740849481307497</v>
      </c>
      <c r="M53" s="10" t="n">
        <f aca="false">'Dane szczegółowe'!H105</f>
        <v>0.590821256038647</v>
      </c>
    </row>
    <row r="54" customFormat="false" ht="15" hidden="false" customHeight="false" outlineLevel="0" collapsed="false">
      <c r="A54" s="9" t="s">
        <v>74</v>
      </c>
      <c r="B54" s="10" t="n">
        <f aca="false">'Dane szczegółowe'!H60</f>
        <v>0.860868616324749</v>
      </c>
      <c r="C54" s="10" t="n">
        <f aca="false">'Dane szczegółowe'!H61</f>
        <v>0.841071278649987</v>
      </c>
      <c r="D54" s="10" t="n">
        <f aca="false">'Dane szczegółowe'!H106</f>
        <v>0.84044357469015</v>
      </c>
      <c r="E54" s="10" t="n">
        <f aca="false">'Dane szczegółowe'!H107</f>
        <v>0.820039880358923</v>
      </c>
      <c r="F54" s="10" t="n">
        <f aca="false">'Dane szczegółowe'!H132</f>
        <v>0.870323905109489</v>
      </c>
      <c r="G54" s="10" t="n">
        <f aca="false">'Dane szczegółowe'!H133</f>
        <v>0.754713874022231</v>
      </c>
      <c r="H54" s="11"/>
      <c r="I54" s="11"/>
      <c r="J54" s="11"/>
      <c r="K54" s="11"/>
      <c r="L54" s="11"/>
      <c r="M54" s="11"/>
    </row>
    <row r="55" customFormat="false" ht="15" hidden="false" customHeight="false" outlineLevel="0" collapsed="false">
      <c r="A55" s="9" t="s">
        <v>58</v>
      </c>
      <c r="B55" s="10" t="n">
        <f aca="false">'Dane szczegółowe'!H28</f>
        <v>0.888984181437012</v>
      </c>
      <c r="C55" s="10" t="n">
        <f aca="false">'Dane szczegółowe'!H29</f>
        <v>0.815074496056091</v>
      </c>
      <c r="D55" s="10" t="n">
        <f aca="false">'Dane szczegółowe'!H62</f>
        <v>0.779057859703021</v>
      </c>
      <c r="E55" s="10" t="n">
        <f aca="false">'Dane szczegółowe'!H63</f>
        <v>0.802067789383927</v>
      </c>
      <c r="F55" s="10" t="n">
        <f aca="false">'Dane szczegółowe'!H108</f>
        <v>0.801930953774137</v>
      </c>
      <c r="G55" s="10" t="n">
        <f aca="false">'Dane szczegółowe'!H109</f>
        <v>0.682458386683739</v>
      </c>
      <c r="H55" s="10" t="n">
        <f aca="false">'Dane szczegółowe'!H134</f>
        <v>0.775301246778575</v>
      </c>
      <c r="I55" s="10" t="n">
        <f aca="false">'Dane szczegółowe'!H135</f>
        <v>0.683241112711286</v>
      </c>
      <c r="J55" s="11"/>
      <c r="K55" s="11"/>
      <c r="L55" s="11"/>
      <c r="M55" s="11"/>
    </row>
    <row r="56" customFormat="false" ht="15" hidden="false" customHeight="false" outlineLevel="0" collapsed="false">
      <c r="A56" s="9" t="s">
        <v>60</v>
      </c>
      <c r="B56" s="11"/>
      <c r="C56" s="11"/>
      <c r="D56" s="10" t="n">
        <f aca="false">'Dane szczegółowe'!H30</f>
        <v>0.807766701383723</v>
      </c>
      <c r="E56" s="10" t="n">
        <f aca="false">'Dane szczegółowe'!H31</f>
        <v>0.712858153519632</v>
      </c>
      <c r="F56" s="10" t="n">
        <f aca="false">'Dane szczegółowe'!H64</f>
        <v>0.778156725888325</v>
      </c>
      <c r="G56" s="10" t="n">
        <f aca="false">'Dane szczegółowe'!H65</f>
        <v>0.604982206405694</v>
      </c>
      <c r="H56" s="10" t="n">
        <f aca="false">'Dane szczegółowe'!H110</f>
        <v>0.774277318389941</v>
      </c>
      <c r="I56" s="10" t="n">
        <f aca="false">'Dane szczegółowe'!H111</f>
        <v>0.589767917092395</v>
      </c>
      <c r="J56" s="10" t="n">
        <f aca="false">'Dane szczegółowe'!H136</f>
        <v>0.73987676056338</v>
      </c>
      <c r="K56" s="10" t="n">
        <f aca="false">'Dane szczegółowe'!H137</f>
        <v>0.570083682008368</v>
      </c>
      <c r="L56" s="11"/>
      <c r="M56" s="11"/>
    </row>
    <row r="57" customFormat="false" ht="15" hidden="false" customHeight="false" outlineLevel="0" collapsed="false">
      <c r="A57" s="9" t="s">
        <v>61</v>
      </c>
      <c r="B57" s="11"/>
      <c r="C57" s="11"/>
      <c r="D57" s="11"/>
      <c r="E57" s="11"/>
      <c r="F57" s="10" t="n">
        <f aca="false">'Dane szczegółowe'!H32</f>
        <v>0.829588993382097</v>
      </c>
      <c r="G57" s="10" t="n">
        <f aca="false">'Dane szczegółowe'!H33</f>
        <v>0.675787357605539</v>
      </c>
      <c r="H57" s="10" t="n">
        <f aca="false">'Dane szczegółowe'!H66</f>
        <v>0.749856404365307</v>
      </c>
      <c r="I57" s="10" t="n">
        <f aca="false">'Dane szczegółowe'!H67</f>
        <v>0.536740890688259</v>
      </c>
      <c r="J57" s="10" t="n">
        <f aca="false">'Dane szczegółowe'!H112</f>
        <v>0.789068908941756</v>
      </c>
      <c r="K57" s="10" t="n">
        <f aca="false">'Dane szczegółowe'!H113</f>
        <v>0.643173889907172</v>
      </c>
      <c r="L57" s="10" t="n">
        <f aca="false">'Dane szczegółowe'!H138</f>
        <v>0.747583643122677</v>
      </c>
      <c r="M57" s="10" t="n">
        <f aca="false">'Dane szczegółowe'!H139</f>
        <v>0.629892457385325</v>
      </c>
    </row>
    <row r="58" customFormat="false" ht="15" hidden="false" customHeight="false" outlineLevel="0" collapsed="false">
      <c r="A58" s="9" t="s">
        <v>62</v>
      </c>
      <c r="B58" s="11"/>
      <c r="C58" s="11"/>
      <c r="D58" s="11"/>
      <c r="E58" s="11"/>
      <c r="F58" s="11"/>
      <c r="G58" s="11"/>
      <c r="H58" s="10" t="n">
        <f aca="false">'Dane szczegółowe'!H34</f>
        <v>0.822218145124301</v>
      </c>
      <c r="I58" s="10" t="n">
        <f aca="false">'Dane szczegółowe'!H35</f>
        <v>0.613737975884027</v>
      </c>
      <c r="J58" s="10" t="n">
        <f aca="false">'Dane szczegółowe'!H68</f>
        <v>0.678876678876679</v>
      </c>
      <c r="K58" s="10" t="n">
        <f aca="false">'Dane szczegółowe'!H69</f>
        <v>0.450721153846154</v>
      </c>
      <c r="L58" s="10" t="n">
        <f aca="false">'Dane szczegółowe'!H114</f>
        <v>0.674074074074074</v>
      </c>
      <c r="M58" s="10" t="n">
        <f aca="false">'Dane szczegółowe'!H115</f>
        <v>0.483246933872803</v>
      </c>
    </row>
    <row r="59" customFormat="false" ht="15" hidden="false" customHeight="false" outlineLevel="0" collapsed="false">
      <c r="A59" s="9" t="s">
        <v>76</v>
      </c>
      <c r="B59" s="10" t="n">
        <f aca="false">'Dane szczegółowe'!H70</f>
        <v>0.928053830227743</v>
      </c>
      <c r="C59" s="10" t="n">
        <f aca="false">'Dane szczegółowe'!H71</f>
        <v>0.894206008583691</v>
      </c>
      <c r="D59" s="10" t="n">
        <f aca="false">'Dane szczegółowe'!H116</f>
        <v>0.849726951493736</v>
      </c>
      <c r="E59" s="10" t="n">
        <f aca="false">'Dane szczegółowe'!H117</f>
        <v>0.766472178739149</v>
      </c>
      <c r="F59" s="10" t="n">
        <f aca="false">'Dane szczegółowe'!H148</f>
        <v>0.86696521216755</v>
      </c>
      <c r="G59" s="10" t="n">
        <f aca="false">'Dane szczegółowe'!H149</f>
        <v>0.725165002538501</v>
      </c>
      <c r="H59" s="11"/>
      <c r="I59" s="11"/>
      <c r="J59" s="11"/>
      <c r="K59" s="11"/>
      <c r="L59" s="11"/>
      <c r="M59" s="11"/>
    </row>
    <row r="60" customFormat="false" ht="15" hidden="false" customHeight="false" outlineLevel="0" collapsed="false">
      <c r="A60" s="9" t="s">
        <v>78</v>
      </c>
      <c r="B60" s="11"/>
      <c r="C60" s="11"/>
      <c r="D60" s="10" t="n">
        <f aca="false">'Dane szczegółowe'!H72</f>
        <v>0.796214937478878</v>
      </c>
      <c r="E60" s="10" t="n">
        <f aca="false">'Dane szczegółowe'!H73</f>
        <v>0.771103896103896</v>
      </c>
      <c r="F60" s="10" t="n">
        <f aca="false">'Dane szczegółowe'!H118</f>
        <v>0.856815447201054</v>
      </c>
      <c r="G60" s="10" t="n">
        <f aca="false">'Dane szczegółowe'!H119</f>
        <v>0.730268959435626</v>
      </c>
      <c r="H60" s="10" t="n">
        <f aca="false">'Dane szczegółowe'!H150</f>
        <v>0.830620940141091</v>
      </c>
      <c r="I60" s="10" t="n">
        <f aca="false">'Dane szczegółowe'!H151</f>
        <v>0.680439043512348</v>
      </c>
      <c r="J60" s="11"/>
      <c r="K60" s="11"/>
      <c r="L60" s="11"/>
      <c r="M60" s="11"/>
    </row>
    <row r="61" customFormat="false" ht="15" hidden="false" customHeight="false" outlineLevel="0" collapsed="false">
      <c r="A61" s="9" t="s">
        <v>79</v>
      </c>
      <c r="B61" s="11"/>
      <c r="C61" s="11"/>
      <c r="D61" s="11"/>
      <c r="E61" s="11"/>
      <c r="F61" s="10" t="n">
        <f aca="false">'Dane szczegółowe'!H74</f>
        <v>0.842700939957798</v>
      </c>
      <c r="G61" s="10" t="n">
        <f aca="false">'Dane szczegółowe'!H75</f>
        <v>0.665620094191523</v>
      </c>
      <c r="H61" s="10" t="n">
        <f aca="false">'Dane szczegółowe'!H120</f>
        <v>0.801302931596091</v>
      </c>
      <c r="I61" s="10" t="n">
        <f aca="false">'Dane szczegółowe'!H121</f>
        <v>0.703399920624421</v>
      </c>
      <c r="J61" s="10" t="n">
        <f aca="false">'Dane szczegółowe'!H152</f>
        <v>0.763419174681973</v>
      </c>
      <c r="K61" s="10" t="n">
        <f aca="false">'Dane szczegółowe'!H153</f>
        <v>0.618088398435219</v>
      </c>
      <c r="L61" s="11"/>
      <c r="M61" s="11"/>
    </row>
    <row r="62" customFormat="false" ht="15" hidden="false" customHeight="false" outlineLevel="0" collapsed="false">
      <c r="A62" s="9" t="s">
        <v>80</v>
      </c>
      <c r="B62" s="11"/>
      <c r="C62" s="11"/>
      <c r="D62" s="11"/>
      <c r="E62" s="11"/>
      <c r="F62" s="11"/>
      <c r="G62" s="11"/>
      <c r="H62" s="10" t="n">
        <f aca="false">'Dane szczegółowe'!H76</f>
        <v>0.812307692307692</v>
      </c>
      <c r="I62" s="10" t="n">
        <f aca="false">'Dane szczegółowe'!H77</f>
        <v>0.748674443266172</v>
      </c>
      <c r="J62" s="10" t="n">
        <f aca="false">'Dane szczegółowe'!H122</f>
        <v>0.820143080706461</v>
      </c>
      <c r="K62" s="10" t="n">
        <f aca="false">'Dane szczegółowe'!H123</f>
        <v>0.727159571819766</v>
      </c>
      <c r="L62" s="10" t="n">
        <f aca="false">'Dane szczegółowe'!H154</f>
        <v>0.77638762511374</v>
      </c>
      <c r="M62" s="10" t="n">
        <f aca="false">'Dane szczegółowe'!H155</f>
        <v>0.610477314450564</v>
      </c>
    </row>
    <row r="63" customFormat="false" ht="15" hidden="false" customHeight="false" outlineLevel="0" collapsed="false">
      <c r="A63" s="9" t="s">
        <v>81</v>
      </c>
      <c r="B63" s="11"/>
      <c r="C63" s="11"/>
      <c r="D63" s="11"/>
      <c r="E63" s="11"/>
      <c r="F63" s="11"/>
      <c r="G63" s="11"/>
      <c r="H63" s="11"/>
      <c r="I63" s="11"/>
      <c r="J63" s="10" t="n">
        <f aca="false">'Dane szczegółowe'!H78</f>
        <v>0.717835741980966</v>
      </c>
      <c r="K63" s="10" t="n">
        <f aca="false">'Dane szczegółowe'!H79</f>
        <v>0.631143878462913</v>
      </c>
      <c r="L63" s="10" t="n">
        <f aca="false">'Dane szczegółowe'!H124</f>
        <v>0.739432367149759</v>
      </c>
      <c r="M63" s="10" t="n">
        <f aca="false">'Dane szczegółowe'!H125</f>
        <v>0.603875863938203</v>
      </c>
    </row>
    <row r="64" customFormat="false" ht="15" hidden="false" customHeight="false" outlineLevel="0" collapsed="false">
      <c r="A64" s="9" t="s">
        <v>90</v>
      </c>
      <c r="B64" s="11"/>
      <c r="C64" s="11"/>
      <c r="D64" s="11"/>
      <c r="E64" s="11"/>
      <c r="F64" s="10" t="n">
        <f aca="false">'Dane szczegółowe'!H126</f>
        <v>0.81068887732084</v>
      </c>
      <c r="G64" s="10" t="n">
        <f aca="false">'Dane szczegółowe'!H127</f>
        <v>0.731798715203426</v>
      </c>
      <c r="H64" s="11"/>
      <c r="I64" s="11"/>
      <c r="J64" s="11"/>
      <c r="K64" s="11"/>
      <c r="L64" s="11"/>
      <c r="M64" s="11"/>
    </row>
    <row r="65" customFormat="false" ht="15" hidden="false" customHeight="false" outlineLevel="0" collapsed="false">
      <c r="A65" s="9" t="s">
        <v>48</v>
      </c>
      <c r="B65" s="10" t="n">
        <f aca="false">'Dane szczegółowe'!H16</f>
        <v>0.704046242774567</v>
      </c>
      <c r="C65" s="10" t="n">
        <f aca="false">'Dane szczegółowe'!H17</f>
        <v>0.659087381654509</v>
      </c>
      <c r="D65" s="11"/>
      <c r="E65" s="11"/>
      <c r="F65" s="11"/>
      <c r="G65" s="11"/>
      <c r="H65" s="10" t="n">
        <f aca="false">'Dane szczegółowe'!H128</f>
        <v>0.725011622501162</v>
      </c>
      <c r="I65" s="10" t="n">
        <f aca="false">'Dane szczegółowe'!H129</f>
        <v>0.609328977668291</v>
      </c>
      <c r="J65" s="11"/>
      <c r="K65" s="11"/>
      <c r="L65" s="11"/>
      <c r="M65" s="11"/>
    </row>
    <row r="66" customFormat="false" ht="15" hidden="false" customHeight="false" outlineLevel="0" collapsed="false">
      <c r="A66" s="9" t="s">
        <v>50</v>
      </c>
      <c r="B66" s="11"/>
      <c r="C66" s="11"/>
      <c r="D66" s="10" t="n">
        <f aca="false">'Dane szczegółowe'!H18</f>
        <v>0.673772363913209</v>
      </c>
      <c r="E66" s="10" t="n">
        <f aca="false">'Dane szczegółowe'!H19</f>
        <v>0.566721751704193</v>
      </c>
      <c r="F66" s="11"/>
      <c r="G66" s="11"/>
      <c r="H66" s="11"/>
      <c r="I66" s="11"/>
      <c r="J66" s="10" t="n">
        <f aca="false">'Dane szczegółowe'!H130</f>
        <v>0.695127579613635</v>
      </c>
      <c r="K66" s="10" t="n">
        <f aca="false">'Dane szczegółowe'!H131</f>
        <v>0.568383154104884</v>
      </c>
      <c r="L66" s="11"/>
      <c r="M66" s="11"/>
    </row>
    <row r="67" customFormat="false" ht="15" hidden="false" customHeight="false" outlineLevel="0" collapsed="false">
      <c r="A67" s="9" t="s">
        <v>74</v>
      </c>
      <c r="B67" s="10" t="n">
        <f aca="false">'Dane szczegółowe'!H60</f>
        <v>0.860868616324749</v>
      </c>
      <c r="C67" s="10" t="n">
        <f aca="false">'Dane szczegółowe'!H61</f>
        <v>0.841071278649987</v>
      </c>
      <c r="D67" s="10" t="n">
        <f aca="false">'Dane szczegółowe'!H106</f>
        <v>0.84044357469015</v>
      </c>
      <c r="E67" s="10" t="n">
        <f aca="false">'Dane szczegółowe'!H107</f>
        <v>0.820039880358923</v>
      </c>
      <c r="F67" s="10" t="n">
        <f aca="false">'Dane szczegółowe'!H132</f>
        <v>0.870323905109489</v>
      </c>
      <c r="G67" s="10" t="n">
        <f aca="false">'Dane szczegółowe'!H133</f>
        <v>0.754713874022231</v>
      </c>
      <c r="H67" s="11"/>
      <c r="I67" s="11"/>
      <c r="J67" s="11"/>
      <c r="K67" s="11"/>
      <c r="L67" s="11"/>
      <c r="M67" s="11"/>
    </row>
    <row r="68" customFormat="false" ht="15" hidden="false" customHeight="false" outlineLevel="0" collapsed="false">
      <c r="A68" s="9" t="s">
        <v>58</v>
      </c>
      <c r="B68" s="10" t="n">
        <f aca="false">'Dane szczegółowe'!H28</f>
        <v>0.888984181437012</v>
      </c>
      <c r="C68" s="10" t="n">
        <f aca="false">'Dane szczegółowe'!H29</f>
        <v>0.815074496056091</v>
      </c>
      <c r="D68" s="10" t="n">
        <f aca="false">'Dane szczegółowe'!H62</f>
        <v>0.779057859703021</v>
      </c>
      <c r="E68" s="10" t="n">
        <f aca="false">'Dane szczegółowe'!H63</f>
        <v>0.802067789383927</v>
      </c>
      <c r="F68" s="10" t="n">
        <f aca="false">'Dane szczegółowe'!H108</f>
        <v>0.801930953774137</v>
      </c>
      <c r="G68" s="10" t="n">
        <f aca="false">'Dane szczegółowe'!H109</f>
        <v>0.682458386683739</v>
      </c>
      <c r="H68" s="10" t="n">
        <f aca="false">'Dane szczegółowe'!H134</f>
        <v>0.775301246778575</v>
      </c>
      <c r="I68" s="10" t="n">
        <f aca="false">'Dane szczegółowe'!H135</f>
        <v>0.683241112711286</v>
      </c>
      <c r="J68" s="11"/>
      <c r="K68" s="11"/>
      <c r="L68" s="11"/>
      <c r="M68" s="11"/>
    </row>
    <row r="69" customFormat="false" ht="15" hidden="false" customHeight="false" outlineLevel="0" collapsed="false">
      <c r="A69" s="9" t="s">
        <v>60</v>
      </c>
      <c r="B69" s="11"/>
      <c r="C69" s="11"/>
      <c r="D69" s="10" t="n">
        <f aca="false">'Dane szczegółowe'!H30</f>
        <v>0.807766701383723</v>
      </c>
      <c r="E69" s="10" t="n">
        <f aca="false">'Dane szczegółowe'!H31</f>
        <v>0.712858153519632</v>
      </c>
      <c r="F69" s="10" t="n">
        <f aca="false">'Dane szczegółowe'!H64</f>
        <v>0.778156725888325</v>
      </c>
      <c r="G69" s="10" t="n">
        <f aca="false">'Dane szczegółowe'!H65</f>
        <v>0.604982206405694</v>
      </c>
      <c r="H69" s="10" t="n">
        <f aca="false">'Dane szczegółowe'!H110</f>
        <v>0.774277318389941</v>
      </c>
      <c r="I69" s="10" t="n">
        <f aca="false">'Dane szczegółowe'!H111</f>
        <v>0.589767917092395</v>
      </c>
      <c r="J69" s="10" t="n">
        <f aca="false">'Dane szczegółowe'!H136</f>
        <v>0.73987676056338</v>
      </c>
      <c r="K69" s="10" t="n">
        <f aca="false">'Dane szczegółowe'!H137</f>
        <v>0.570083682008368</v>
      </c>
      <c r="L69" s="11"/>
      <c r="M69" s="11"/>
    </row>
    <row r="70" customFormat="false" ht="15" hidden="false" customHeight="false" outlineLevel="0" collapsed="false">
      <c r="A70" s="9" t="s">
        <v>61</v>
      </c>
      <c r="B70" s="11"/>
      <c r="C70" s="11"/>
      <c r="D70" s="11"/>
      <c r="E70" s="11"/>
      <c r="F70" s="10" t="n">
        <f aca="false">'Dane szczegółowe'!H32</f>
        <v>0.829588993382097</v>
      </c>
      <c r="G70" s="10" t="n">
        <f aca="false">'Dane szczegółowe'!H33</f>
        <v>0.675787357605539</v>
      </c>
      <c r="H70" s="10" t="n">
        <f aca="false">'Dane szczegółowe'!H66</f>
        <v>0.749856404365307</v>
      </c>
      <c r="I70" s="10" t="n">
        <f aca="false">'Dane szczegółowe'!H67</f>
        <v>0.536740890688259</v>
      </c>
      <c r="J70" s="10" t="n">
        <f aca="false">'Dane szczegółowe'!H112</f>
        <v>0.789068908941756</v>
      </c>
      <c r="K70" s="10" t="n">
        <f aca="false">'Dane szczegółowe'!H113</f>
        <v>0.643173889907172</v>
      </c>
      <c r="L70" s="10" t="n">
        <f aca="false">'Dane szczegółowe'!H138</f>
        <v>0.747583643122677</v>
      </c>
      <c r="M70" s="10" t="n">
        <f aca="false">'Dane szczegółowe'!H139</f>
        <v>0.629892457385325</v>
      </c>
    </row>
    <row r="71" customFormat="false" ht="15" hidden="false" customHeight="false" outlineLevel="0" collapsed="false">
      <c r="A71" s="9" t="s">
        <v>91</v>
      </c>
      <c r="B71" s="11"/>
      <c r="C71" s="11"/>
      <c r="D71" s="11"/>
      <c r="E71" s="11"/>
      <c r="F71" s="10" t="n">
        <f aca="false">'Dane szczegółowe'!H140</f>
        <v>0.834597375189606</v>
      </c>
      <c r="G71" s="10" t="n">
        <f aca="false">'Dane szczegółowe'!H141</f>
        <v>0.685173299101412</v>
      </c>
      <c r="H71" s="11"/>
      <c r="I71" s="11"/>
      <c r="J71" s="11"/>
      <c r="K71" s="11"/>
      <c r="L71" s="11"/>
      <c r="M71" s="11"/>
    </row>
    <row r="72" customFormat="false" ht="15" hidden="false" customHeight="false" outlineLevel="0" collapsed="false">
      <c r="A72" s="9" t="s">
        <v>93</v>
      </c>
      <c r="B72" s="11"/>
      <c r="C72" s="11"/>
      <c r="D72" s="11"/>
      <c r="E72" s="11"/>
      <c r="F72" s="11"/>
      <c r="G72" s="11"/>
      <c r="H72" s="10" t="n">
        <f aca="false">'Dane szczegółowe'!H142</f>
        <v>0.805634662327095</v>
      </c>
      <c r="I72" s="10" t="n">
        <f aca="false">'Dane szczegółowe'!H143</f>
        <v>0.674620850567398</v>
      </c>
      <c r="J72" s="11"/>
      <c r="K72" s="11"/>
      <c r="L72" s="11"/>
      <c r="M72" s="11"/>
    </row>
    <row r="73" customFormat="false" ht="15" hidden="false" customHeight="false" outlineLevel="0" collapsed="false">
      <c r="A73" s="9" t="s">
        <v>94</v>
      </c>
      <c r="B73" s="11"/>
      <c r="C73" s="11"/>
      <c r="D73" s="11"/>
      <c r="E73" s="11"/>
      <c r="F73" s="11"/>
      <c r="G73" s="11"/>
      <c r="H73" s="11"/>
      <c r="I73" s="11"/>
      <c r="J73" s="10" t="n">
        <f aca="false">'Dane szczegółowe'!H144</f>
        <v>0.729220705988497</v>
      </c>
      <c r="K73" s="10" t="n">
        <f aca="false">'Dane szczegółowe'!H145</f>
        <v>0.638476065358404</v>
      </c>
      <c r="L73" s="11"/>
      <c r="M73" s="11"/>
    </row>
    <row r="74" customFormat="false" ht="15" hidden="false" customHeight="false" outlineLevel="0" collapsed="false">
      <c r="A74" s="9" t="s">
        <v>95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0" t="n">
        <f aca="false">'Dane szczegółowe'!H146</f>
        <v>0.735678391959799</v>
      </c>
      <c r="M74" s="10" t="n">
        <f aca="false">'Dane szczegółowe'!H147</f>
        <v>0.609411535463757</v>
      </c>
    </row>
    <row r="75" customFormat="false" ht="15" hidden="false" customHeight="false" outlineLevel="0" collapsed="false">
      <c r="A75" s="9" t="s">
        <v>76</v>
      </c>
      <c r="B75" s="10" t="n">
        <f aca="false">'Dane szczegółowe'!H70</f>
        <v>0.928053830227743</v>
      </c>
      <c r="C75" s="10" t="n">
        <f aca="false">'Dane szczegółowe'!H71</f>
        <v>0.894206008583691</v>
      </c>
      <c r="D75" s="10" t="n">
        <f aca="false">'Dane szczegółowe'!H116</f>
        <v>0.849726951493736</v>
      </c>
      <c r="E75" s="10" t="n">
        <f aca="false">'Dane szczegółowe'!H117</f>
        <v>0.766472178739149</v>
      </c>
      <c r="F75" s="10" t="n">
        <f aca="false">'Dane szczegółowe'!H148</f>
        <v>0.86696521216755</v>
      </c>
      <c r="G75" s="10" t="n">
        <f aca="false">'Dane szczegółowe'!H149</f>
        <v>0.725165002538501</v>
      </c>
      <c r="H75" s="11"/>
      <c r="I75" s="11"/>
      <c r="J75" s="11"/>
      <c r="K75" s="11"/>
      <c r="L75" s="11"/>
      <c r="M75" s="11"/>
    </row>
    <row r="76" customFormat="false" ht="15" hidden="false" customHeight="false" outlineLevel="0" collapsed="false">
      <c r="A76" s="9" t="s">
        <v>78</v>
      </c>
      <c r="B76" s="11"/>
      <c r="C76" s="11"/>
      <c r="D76" s="10" t="n">
        <f aca="false">'Dane szczegółowe'!H72</f>
        <v>0.796214937478878</v>
      </c>
      <c r="E76" s="10" t="n">
        <f aca="false">'Dane szczegółowe'!H73</f>
        <v>0.771103896103896</v>
      </c>
      <c r="F76" s="10" t="n">
        <f aca="false">'Dane szczegółowe'!H118</f>
        <v>0.856815447201054</v>
      </c>
      <c r="G76" s="10" t="n">
        <f aca="false">'Dane szczegółowe'!H119</f>
        <v>0.730268959435626</v>
      </c>
      <c r="H76" s="10" t="n">
        <f aca="false">'Dane szczegółowe'!H150</f>
        <v>0.830620940141091</v>
      </c>
      <c r="I76" s="10" t="n">
        <f aca="false">'Dane szczegółowe'!H151</f>
        <v>0.680439043512348</v>
      </c>
      <c r="J76" s="11"/>
      <c r="K76" s="11"/>
      <c r="L76" s="11"/>
      <c r="M76" s="11"/>
    </row>
    <row r="77" customFormat="false" ht="15" hidden="false" customHeight="false" outlineLevel="0" collapsed="false">
      <c r="A77" s="9" t="s">
        <v>79</v>
      </c>
      <c r="B77" s="11"/>
      <c r="C77" s="11"/>
      <c r="D77" s="11"/>
      <c r="E77" s="11"/>
      <c r="F77" s="10" t="n">
        <f aca="false">'Dane szczegółowe'!H74</f>
        <v>0.842700939957798</v>
      </c>
      <c r="G77" s="10" t="n">
        <f aca="false">'Dane szczegółowe'!H75</f>
        <v>0.665620094191523</v>
      </c>
      <c r="H77" s="10" t="n">
        <f aca="false">'Dane szczegółowe'!H120</f>
        <v>0.801302931596091</v>
      </c>
      <c r="I77" s="10" t="n">
        <f aca="false">'Dane szczegółowe'!H121</f>
        <v>0.703399920624421</v>
      </c>
      <c r="J77" s="10" t="n">
        <f aca="false">'Dane szczegółowe'!H152</f>
        <v>0.763419174681973</v>
      </c>
      <c r="K77" s="10" t="n">
        <f aca="false">'Dane szczegółowe'!H153</f>
        <v>0.618088398435219</v>
      </c>
      <c r="L77" s="11"/>
      <c r="M77" s="11"/>
    </row>
    <row r="78" customFormat="false" ht="15" hidden="false" customHeight="false" outlineLevel="0" collapsed="false">
      <c r="A78" s="9" t="s">
        <v>80</v>
      </c>
      <c r="B78" s="11"/>
      <c r="C78" s="11"/>
      <c r="D78" s="11"/>
      <c r="E78" s="11"/>
      <c r="F78" s="11"/>
      <c r="G78" s="11"/>
      <c r="H78" s="10" t="n">
        <f aca="false">'Dane szczegółowe'!H76</f>
        <v>0.812307692307692</v>
      </c>
      <c r="I78" s="10" t="n">
        <f aca="false">'Dane szczegółowe'!H77</f>
        <v>0.748674443266172</v>
      </c>
      <c r="J78" s="10" t="n">
        <f aca="false">'Dane szczegółowe'!H122</f>
        <v>0.820143080706461</v>
      </c>
      <c r="K78" s="10" t="n">
        <f aca="false">'Dane szczegółowe'!H123</f>
        <v>0.727159571819766</v>
      </c>
      <c r="L78" s="10" t="n">
        <f aca="false">'Dane szczegółowe'!H154</f>
        <v>0.77638762511374</v>
      </c>
      <c r="M78" s="10" t="n">
        <f aca="false">'Dane szczegółowe'!H155</f>
        <v>0.610477314450564</v>
      </c>
    </row>
    <row r="79" customFormat="false" ht="15" hidden="false" customHeight="false" outlineLevel="0" collapsed="false">
      <c r="A79" s="9" t="s">
        <v>82</v>
      </c>
      <c r="B79" s="10" t="n">
        <f aca="false">'Dane szczegółowe'!H80</f>
        <v>0.853955135773318</v>
      </c>
      <c r="C79" s="10" t="n">
        <f aca="false">'Dane szczegółowe'!H81</f>
        <v>0.826111371080955</v>
      </c>
      <c r="D79" s="11"/>
      <c r="E79" s="11"/>
      <c r="F79" s="10" t="n">
        <f aca="false">'Dane szczegółowe'!H156</f>
        <v>0.8927146627386</v>
      </c>
      <c r="G79" s="10" t="n">
        <f aca="false">'Dane szczegółowe'!H157</f>
        <v>0.732311766931517</v>
      </c>
      <c r="H79" s="11"/>
      <c r="I79" s="11"/>
      <c r="J79" s="11"/>
      <c r="K79" s="11"/>
      <c r="L79" s="11"/>
      <c r="M79" s="11"/>
    </row>
    <row r="80" customFormat="false" ht="15" hidden="false" customHeight="false" outlineLevel="0" collapsed="false">
      <c r="A80" s="9" t="s">
        <v>84</v>
      </c>
      <c r="B80" s="11"/>
      <c r="C80" s="11"/>
      <c r="D80" s="10" t="n">
        <f aca="false">'Dane szczegółowe'!H82</f>
        <v>0.796260225944683</v>
      </c>
      <c r="E80" s="10" t="n">
        <f aca="false">'Dane szczegółowe'!H83</f>
        <v>0.714939207896954</v>
      </c>
      <c r="F80" s="11"/>
      <c r="G80" s="11"/>
      <c r="H80" s="10" t="n">
        <f aca="false">'Dane szczegółowe'!H158</f>
        <v>0.814868804664723</v>
      </c>
      <c r="I80" s="10" t="n">
        <f aca="false">'Dane szczegółowe'!H159</f>
        <v>0.691038449894036</v>
      </c>
      <c r="J80" s="11"/>
      <c r="K80" s="11"/>
      <c r="L80" s="11"/>
      <c r="M80" s="11"/>
    </row>
    <row r="81" customFormat="false" ht="15" hidden="false" customHeight="false" outlineLevel="0" collapsed="false">
      <c r="A81" s="9" t="s">
        <v>85</v>
      </c>
      <c r="B81" s="11"/>
      <c r="C81" s="11"/>
      <c r="D81" s="11"/>
      <c r="E81" s="11"/>
      <c r="F81" s="10" t="n">
        <f aca="false">'Dane szczegółowe'!H84</f>
        <v>0.750317848410758</v>
      </c>
      <c r="G81" s="10" t="n">
        <f aca="false">'Dane szczegółowe'!H85</f>
        <v>0.700053182059918</v>
      </c>
      <c r="H81" s="11"/>
      <c r="I81" s="11"/>
      <c r="J81" s="10" t="n">
        <f aca="false">'Dane szczegółowe'!H160</f>
        <v>0.813308687615527</v>
      </c>
      <c r="K81" s="10" t="n">
        <f aca="false">'Dane szczegółowe'!H161</f>
        <v>0.715748485722527</v>
      </c>
      <c r="L81" s="11"/>
      <c r="M81" s="11"/>
    </row>
    <row r="82" customFormat="false" ht="15" hidden="false" customHeight="false" outlineLevel="0" collapsed="false">
      <c r="A82" s="9" t="s">
        <v>86</v>
      </c>
      <c r="B82" s="11"/>
      <c r="C82" s="11"/>
      <c r="D82" s="11"/>
      <c r="E82" s="11"/>
      <c r="F82" s="11"/>
      <c r="G82" s="11"/>
      <c r="H82" s="10" t="n">
        <f aca="false">'Dane szczegółowe'!H86</f>
        <v>0.684675141242938</v>
      </c>
      <c r="I82" s="10" t="n">
        <f aca="false">'Dane szczegółowe'!H87</f>
        <v>0.624047946060682</v>
      </c>
      <c r="J82" s="11"/>
      <c r="K82" s="11"/>
      <c r="L82" s="10" t="n">
        <f aca="false">'Dane szczegółowe'!H162</f>
        <v>0.753949447077409</v>
      </c>
      <c r="M82" s="10" t="n">
        <f aca="false">'Dane szczegółowe'!H163</f>
        <v>0.561151079136691</v>
      </c>
    </row>
    <row r="83" customFormat="false" ht="15" hidden="false" customHeight="false" outlineLevel="0" collapsed="false">
      <c r="A83" s="9" t="s">
        <v>72</v>
      </c>
      <c r="B83" s="10" t="n">
        <f aca="false">'Dane szczegółowe'!H54</f>
        <v>0.763828382838284</v>
      </c>
      <c r="C83" s="10" t="n">
        <f aca="false">'Dane szczegółowe'!H55</f>
        <v>0.72107161257084</v>
      </c>
      <c r="D83" s="10" t="n">
        <f aca="false">'Dane szczegółowe'!H90</f>
        <v>0.804527447651387</v>
      </c>
      <c r="E83" s="10" t="n">
        <f aca="false">'Dane szczegółowe'!H91</f>
        <v>0.764802055354432</v>
      </c>
      <c r="F83" s="11"/>
      <c r="G83" s="11"/>
      <c r="H83" s="10" t="n">
        <f aca="false">'Dane szczegółowe'!H164</f>
        <v>0.761007381676075</v>
      </c>
      <c r="I83" s="10" t="n">
        <f aca="false">'Dane szczegółowe'!H165</f>
        <v>0.63258335189723</v>
      </c>
      <c r="J83" s="10" t="n">
        <f aca="false">'Dane szczegółowe'!H194</f>
        <v>0.748610449420359</v>
      </c>
      <c r="K83" s="10" t="n">
        <f aca="false">'Dane szczegółowe'!H195</f>
        <v>0.667132867132867</v>
      </c>
      <c r="L83" s="10" t="n">
        <f aca="false">'Dane szczegółowe'!H208</f>
        <v>0.716157205240175</v>
      </c>
      <c r="M83" s="10" t="n">
        <f aca="false">'Dane szczegółowe'!H209</f>
        <v>0.531646734130635</v>
      </c>
    </row>
    <row r="84" customFormat="false" ht="15" hidden="false" customHeight="false" outlineLevel="0" collapsed="false">
      <c r="A84" s="9" t="s">
        <v>73</v>
      </c>
      <c r="B84" s="11"/>
      <c r="C84" s="11"/>
      <c r="D84" s="10" t="n">
        <f aca="false">'Dane szczegółowe'!H56</f>
        <v>0.69681853453054</v>
      </c>
      <c r="E84" s="10" t="n">
        <f aca="false">'Dane szczegółowe'!H57</f>
        <v>0.553302304964539</v>
      </c>
      <c r="F84" s="10" t="n">
        <f aca="false">'Dane szczegółowe'!H92</f>
        <v>0.758545680546924</v>
      </c>
      <c r="G84" s="10" t="n">
        <f aca="false">'Dane szczegółowe'!H93</f>
        <v>0.586583463338534</v>
      </c>
      <c r="H84" s="11"/>
      <c r="I84" s="11"/>
      <c r="J84" s="10" t="n">
        <f aca="false">'Dane szczegółowe'!H166</f>
        <v>0.721034356725146</v>
      </c>
      <c r="K84" s="10" t="n">
        <f aca="false">'Dane szczegółowe'!H167</f>
        <v>0.623154164205552</v>
      </c>
      <c r="L84" s="10" t="n">
        <f aca="false">'Dane szczegółowe'!H196</f>
        <v>0.77491919844861</v>
      </c>
      <c r="M84" s="10" t="n">
        <f aca="false">'Dane szczegółowe'!H197</f>
        <v>0.657560706401766</v>
      </c>
    </row>
    <row r="85" customFormat="false" ht="15" hidden="false" customHeight="false" outlineLevel="0" collapsed="false">
      <c r="A85" s="9" t="s">
        <v>43</v>
      </c>
      <c r="B85" s="10" t="n">
        <f aca="false">'Dane szczegółowe'!H6</f>
        <v>0.567368421052632</v>
      </c>
      <c r="C85" s="10" t="n">
        <f aca="false">'Dane szczegółowe'!H7</f>
        <v>0.489714285714286</v>
      </c>
      <c r="D85" s="11"/>
      <c r="E85" s="11"/>
      <c r="F85" s="10" t="n">
        <f aca="false">'Dane szczegółowe'!H58</f>
        <v>0.628483890096857</v>
      </c>
      <c r="G85" s="10" t="n">
        <f aca="false">'Dane szczegółowe'!H59</f>
        <v>0.63240725871206</v>
      </c>
      <c r="H85" s="10" t="n">
        <f aca="false">'Dane szczegółowe'!H94</f>
        <v>0.618179398456215</v>
      </c>
      <c r="I85" s="10" t="n">
        <f aca="false">'Dane szczegółowe'!H95</f>
        <v>0.587446153846154</v>
      </c>
      <c r="J85" s="11"/>
      <c r="K85" s="11"/>
      <c r="L85" s="10" t="n">
        <f aca="false">'Dane szczegółowe'!H168</f>
        <v>0.649957114266654</v>
      </c>
      <c r="M85" s="10" t="n">
        <f aca="false">'Dane szczegółowe'!H169</f>
        <v>0.546917075191604</v>
      </c>
    </row>
    <row r="86" customFormat="false" ht="15" hidden="false" customHeight="false" outlineLevel="0" collapsed="false">
      <c r="A86" s="9" t="s">
        <v>96</v>
      </c>
      <c r="B86" s="11"/>
      <c r="C86" s="11"/>
      <c r="D86" s="11"/>
      <c r="E86" s="11"/>
      <c r="F86" s="11"/>
      <c r="G86" s="11"/>
      <c r="H86" s="10" t="n">
        <f aca="false">'Dane szczegółowe'!H170</f>
        <v>0.856199460916442</v>
      </c>
      <c r="I86" s="10" t="n">
        <f aca="false">'Dane szczegółowe'!H171</f>
        <v>0.719626765514156</v>
      </c>
      <c r="J86" s="10" t="n">
        <f aca="false">'Dane szczegółowe'!H200</f>
        <v>0.854921175969323</v>
      </c>
      <c r="K86" s="10" t="n">
        <f aca="false">'Dane szczegółowe'!H201</f>
        <v>0.729703451628585</v>
      </c>
      <c r="L86" s="10" t="n">
        <f aca="false">'Dane szczegółowe'!H210</f>
        <v>0.871330887258172</v>
      </c>
      <c r="M86" s="10" t="n">
        <f aca="false">'Dane szczegółowe'!H211</f>
        <v>0.765653606737459</v>
      </c>
    </row>
    <row r="87" customFormat="false" ht="15" hidden="false" customHeight="false" outlineLevel="0" collapsed="false">
      <c r="A87" s="9" t="s">
        <v>63</v>
      </c>
      <c r="B87" s="10" t="n">
        <f aca="false">'Dane szczegółowe'!H36</f>
        <v>0.792297329423885</v>
      </c>
      <c r="C87" s="10" t="n">
        <f aca="false">'Dane szczegółowe'!H37</f>
        <v>0.7796452581891</v>
      </c>
      <c r="D87" s="11"/>
      <c r="E87" s="11"/>
      <c r="F87" s="11"/>
      <c r="G87" s="11"/>
      <c r="H87" s="11"/>
      <c r="I87" s="11"/>
      <c r="J87" s="10" t="n">
        <f aca="false">'Dane szczegółowe'!H172</f>
        <v>0.799749076461978</v>
      </c>
      <c r="K87" s="10" t="n">
        <f aca="false">'Dane szczegółowe'!H173</f>
        <v>0.669397135953798</v>
      </c>
      <c r="L87" s="11"/>
      <c r="M87" s="11"/>
    </row>
    <row r="88" customFormat="false" ht="15" hidden="false" customHeight="false" outlineLevel="0" collapsed="false">
      <c r="A88" s="9" t="s">
        <v>65</v>
      </c>
      <c r="B88" s="11"/>
      <c r="C88" s="11"/>
      <c r="D88" s="10" t="n">
        <f aca="false">'Dane szczegółowe'!H38</f>
        <v>0.673011787020729</v>
      </c>
      <c r="E88" s="10" t="n">
        <f aca="false">'Dane szczegółowe'!H39</f>
        <v>0.64483580994313</v>
      </c>
      <c r="F88" s="11"/>
      <c r="G88" s="11"/>
      <c r="H88" s="11"/>
      <c r="I88" s="11"/>
      <c r="J88" s="11"/>
      <c r="K88" s="11"/>
      <c r="L88" s="10" t="n">
        <f aca="false">'Dane szczegółowe'!H174</f>
        <v>0.69065606361829</v>
      </c>
      <c r="M88" s="10" t="n">
        <f aca="false">'Dane szczegółowe'!H175</f>
        <v>0.56344523567311</v>
      </c>
    </row>
    <row r="89" customFormat="false" ht="15" hidden="false" customHeight="false" outlineLevel="0" collapsed="false">
      <c r="A89" s="9" t="s">
        <v>97</v>
      </c>
      <c r="B89" s="11"/>
      <c r="C89" s="11"/>
      <c r="D89" s="11"/>
      <c r="E89" s="11"/>
      <c r="F89" s="11"/>
      <c r="G89" s="11"/>
      <c r="H89" s="10" t="n">
        <f aca="false">'Dane szczegółowe'!H176</f>
        <v>0.818114874815906</v>
      </c>
      <c r="I89" s="10" t="n">
        <f aca="false">'Dane szczegółowe'!H177</f>
        <v>0.719330727559487</v>
      </c>
      <c r="J89" s="11"/>
      <c r="K89" s="11"/>
      <c r="L89" s="10" t="n">
        <f aca="false">'Dane szczegółowe'!H212</f>
        <v>0.856393442622951</v>
      </c>
      <c r="M89" s="10" t="n">
        <f aca="false">'Dane szczegółowe'!H213</f>
        <v>0.723654255709775</v>
      </c>
    </row>
    <row r="90" customFormat="false" ht="15" hidden="false" customHeight="false" outlineLevel="0" collapsed="false">
      <c r="A90" s="9" t="s">
        <v>67</v>
      </c>
      <c r="B90" s="10" t="n">
        <f aca="false">'Dane szczegółowe'!H42</f>
        <v>0.772784943962783</v>
      </c>
      <c r="C90" s="10" t="n">
        <f aca="false">'Dane szczegółowe'!H43</f>
        <v>0.737728310502283</v>
      </c>
      <c r="D90" s="11"/>
      <c r="E90" s="11"/>
      <c r="F90" s="11"/>
      <c r="G90" s="11"/>
      <c r="H90" s="11"/>
      <c r="I90" s="11"/>
      <c r="J90" s="10" t="n">
        <f aca="false">'Dane szczegółowe'!H178</f>
        <v>0.801759480696959</v>
      </c>
      <c r="K90" s="10" t="n">
        <f aca="false">'Dane szczegółowe'!H179</f>
        <v>0.653520015775981</v>
      </c>
      <c r="L90" s="11"/>
      <c r="M90" s="11"/>
    </row>
    <row r="91" customFormat="false" ht="15" hidden="false" customHeight="false" outlineLevel="0" collapsed="false">
      <c r="A91" s="9" t="s">
        <v>69</v>
      </c>
      <c r="B91" s="11"/>
      <c r="C91" s="11"/>
      <c r="D91" s="10" t="n">
        <f aca="false">'Dane szczegółowe'!H44</f>
        <v>0.744404859778935</v>
      </c>
      <c r="E91" s="10" t="n">
        <f aca="false">'Dane szczegółowe'!H45</f>
        <v>0.678956943602183</v>
      </c>
      <c r="F91" s="11"/>
      <c r="G91" s="11"/>
      <c r="H91" s="11"/>
      <c r="I91" s="11"/>
      <c r="J91" s="11"/>
      <c r="K91" s="11"/>
      <c r="L91" s="10" t="n">
        <f aca="false">'Dane szczegółowe'!H180</f>
        <v>0.764307966177125</v>
      </c>
      <c r="M91" s="10" t="n">
        <f aca="false">'Dane szczegółowe'!H181</f>
        <v>0.57734375</v>
      </c>
    </row>
    <row r="92" customFormat="false" ht="15" hidden="false" customHeight="false" outlineLevel="0" collapsed="false">
      <c r="A92" s="9" t="s">
        <v>98</v>
      </c>
      <c r="B92" s="11"/>
      <c r="C92" s="11"/>
      <c r="D92" s="11"/>
      <c r="E92" s="11"/>
      <c r="F92" s="11"/>
      <c r="G92" s="11"/>
      <c r="H92" s="10" t="n">
        <f aca="false">'Dane szczegółowe'!H182</f>
        <v>0.841128010139417</v>
      </c>
      <c r="I92" s="10" t="n">
        <f aca="false">'Dane szczegółowe'!H183</f>
        <v>0.725737081593218</v>
      </c>
      <c r="J92" s="10" t="n">
        <f aca="false">'Dane szczegółowe'!H204</f>
        <v>0.85021075357253</v>
      </c>
      <c r="K92" s="10" t="n">
        <f aca="false">'Dane szczegółowe'!H205</f>
        <v>0.729029793735676</v>
      </c>
      <c r="L92" s="10" t="n">
        <f aca="false">'Dane szczegółowe'!H214</f>
        <v>0.901808227072978</v>
      </c>
      <c r="M92" s="10" t="n">
        <f aca="false">'Dane szczegółowe'!H215</f>
        <v>0.754202610042026</v>
      </c>
    </row>
    <row r="93" customFormat="false" ht="15" hidden="false" customHeight="false" outlineLevel="0" collapsed="false">
      <c r="A93" s="9" t="s">
        <v>100</v>
      </c>
      <c r="B93" s="11"/>
      <c r="C93" s="11"/>
      <c r="D93" s="11"/>
      <c r="E93" s="11"/>
      <c r="F93" s="11"/>
      <c r="G93" s="11"/>
      <c r="H93" s="11"/>
      <c r="I93" s="11"/>
      <c r="J93" s="10" t="n">
        <f aca="false">'Dane szczegółowe'!H184</f>
        <v>0.775768279759802</v>
      </c>
      <c r="K93" s="10" t="n">
        <f aca="false">'Dane szczegółowe'!H185</f>
        <v>0.654847914516423</v>
      </c>
      <c r="L93" s="10" t="n">
        <f aca="false">'Dane szczegółowe'!H206</f>
        <v>0.838945114830674</v>
      </c>
      <c r="M93" s="10" t="n">
        <f aca="false">'Dane szczegółowe'!H207</f>
        <v>0.652951699463327</v>
      </c>
    </row>
    <row r="94" customFormat="false" ht="15" hidden="false" customHeight="false" outlineLevel="0" collapsed="false">
      <c r="A94" s="9" t="s">
        <v>101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0" t="n">
        <f aca="false">'Dane szczegółowe'!H186</f>
        <v>0.71798572079599</v>
      </c>
      <c r="M94" s="10" t="n">
        <f aca="false">'Dane szczegółowe'!H187</f>
        <v>0.557551256136298</v>
      </c>
    </row>
    <row r="95" customFormat="false" ht="15" hidden="false" customHeight="false" outlineLevel="0" collapsed="false">
      <c r="A95" s="9" t="s">
        <v>102</v>
      </c>
      <c r="B95" s="11"/>
      <c r="C95" s="11"/>
      <c r="D95" s="11"/>
      <c r="E95" s="11"/>
      <c r="F95" s="11"/>
      <c r="G95" s="11"/>
      <c r="H95" s="10" t="n">
        <f aca="false">'Dane szczegółowe'!H188</f>
        <v>0.855652270951903</v>
      </c>
      <c r="I95" s="10" t="n">
        <f aca="false">'Dane szczegółowe'!H189</f>
        <v>0.767033777730938</v>
      </c>
      <c r="J95" s="11"/>
      <c r="K95" s="11"/>
      <c r="L95" s="10" t="n">
        <f aca="false">'Dane szczegółowe'!H216</f>
        <v>0.83970191850325</v>
      </c>
      <c r="M95" s="10" t="n">
        <f aca="false">'Dane szczegółowe'!H217</f>
        <v>0.68385455806694</v>
      </c>
    </row>
    <row r="96" customFormat="false" ht="15" hidden="false" customHeight="false" outlineLevel="0" collapsed="false">
      <c r="A96" s="9" t="s">
        <v>71</v>
      </c>
      <c r="B96" s="10" t="n">
        <f aca="false">'Dane szczegółowe'!H48</f>
        <v>0.844158860416505</v>
      </c>
      <c r="C96" s="10" t="n">
        <f aca="false">'Dane szczegółowe'!H49</f>
        <v>0.815655661390819</v>
      </c>
      <c r="D96" s="11"/>
      <c r="E96" s="11"/>
      <c r="F96" s="11"/>
      <c r="G96" s="11"/>
      <c r="H96" s="11"/>
      <c r="I96" s="11"/>
      <c r="J96" s="10" t="n">
        <f aca="false">'Dane szczegółowe'!H190</f>
        <v>0.81452029997414</v>
      </c>
      <c r="K96" s="10" t="n">
        <f aca="false">'Dane szczegółowe'!H191</f>
        <v>0.733804415102125</v>
      </c>
      <c r="L96" s="11"/>
      <c r="M96" s="11"/>
    </row>
    <row r="97" customFormat="false" ht="15" hidden="false" customHeight="false" outlineLevel="0" collapsed="false">
      <c r="A97" s="9" t="s">
        <v>47</v>
      </c>
      <c r="B97" s="10" t="n">
        <f aca="false">'Dane szczegółowe'!H12</f>
        <v>0.840651103019919</v>
      </c>
      <c r="C97" s="10" t="n">
        <f aca="false">'Dane szczegółowe'!H13</f>
        <v>0.838765844825185</v>
      </c>
      <c r="D97" s="10" t="n">
        <f aca="false">'Dane szczegółowe'!H50</f>
        <v>0.732812739243608</v>
      </c>
      <c r="E97" s="10" t="n">
        <f aca="false">'Dane szczegółowe'!H51</f>
        <v>0.66075146227818</v>
      </c>
      <c r="F97" s="11"/>
      <c r="G97" s="11"/>
      <c r="H97" s="11"/>
      <c r="I97" s="11"/>
      <c r="J97" s="11"/>
      <c r="K97" s="11"/>
      <c r="L97" s="10" t="n">
        <f aca="false">'Dane szczegółowe'!H192</f>
        <v>0.7849675049449</v>
      </c>
      <c r="M97" s="10" t="n">
        <f aca="false">'Dane szczegółowe'!H193</f>
        <v>0.646938530013232</v>
      </c>
    </row>
    <row r="98" customFormat="false" ht="15" hidden="false" customHeight="false" outlineLevel="0" collapsed="false">
      <c r="A98" s="9" t="s">
        <v>72</v>
      </c>
      <c r="B98" s="10" t="n">
        <f aca="false">'Dane szczegółowe'!H54</f>
        <v>0.763828382838284</v>
      </c>
      <c r="C98" s="10" t="n">
        <f aca="false">'Dane szczegółowe'!H55</f>
        <v>0.72107161257084</v>
      </c>
      <c r="D98" s="10" t="n">
        <f aca="false">'Dane szczegółowe'!H90</f>
        <v>0.804527447651387</v>
      </c>
      <c r="E98" s="10" t="n">
        <f aca="false">'Dane szczegółowe'!H91</f>
        <v>0.764802055354432</v>
      </c>
      <c r="F98" s="11"/>
      <c r="G98" s="11"/>
      <c r="H98" s="10" t="n">
        <f aca="false">'Dane szczegółowe'!H164</f>
        <v>0.761007381676075</v>
      </c>
      <c r="I98" s="10" t="n">
        <f aca="false">'Dane szczegółowe'!H165</f>
        <v>0.63258335189723</v>
      </c>
      <c r="J98" s="10" t="n">
        <f aca="false">'Dane szczegółowe'!H194</f>
        <v>0.748610449420359</v>
      </c>
      <c r="K98" s="10" t="n">
        <f aca="false">'Dane szczegółowe'!H195</f>
        <v>0.667132867132867</v>
      </c>
      <c r="L98" s="10" t="n">
        <f aca="false">'Dane szczegółowe'!H208</f>
        <v>0.716157205240175</v>
      </c>
      <c r="M98" s="10" t="n">
        <f aca="false">'Dane szczegółowe'!H209</f>
        <v>0.531646734130635</v>
      </c>
    </row>
    <row r="99" customFormat="false" ht="15" hidden="false" customHeight="false" outlineLevel="0" collapsed="false">
      <c r="A99" s="9" t="s">
        <v>73</v>
      </c>
      <c r="B99" s="11"/>
      <c r="C99" s="11"/>
      <c r="D99" s="10" t="n">
        <f aca="false">'Dane szczegółowe'!H56</f>
        <v>0.69681853453054</v>
      </c>
      <c r="E99" s="10" t="n">
        <f aca="false">'Dane szczegółowe'!H57</f>
        <v>0.553302304964539</v>
      </c>
      <c r="F99" s="10" t="n">
        <f aca="false">'Dane szczegółowe'!H92</f>
        <v>0.758545680546924</v>
      </c>
      <c r="G99" s="10" t="n">
        <f aca="false">'Dane szczegółowe'!H93</f>
        <v>0.586583463338534</v>
      </c>
      <c r="H99" s="11"/>
      <c r="I99" s="11"/>
      <c r="J99" s="10" t="n">
        <f aca="false">'Dane szczegółowe'!H166</f>
        <v>0.721034356725146</v>
      </c>
      <c r="K99" s="10" t="n">
        <f aca="false">'Dane szczegółowe'!H167</f>
        <v>0.623154164205552</v>
      </c>
      <c r="L99" s="10" t="n">
        <f aca="false">'Dane szczegółowe'!H196</f>
        <v>0.77491919844861</v>
      </c>
      <c r="M99" s="10" t="n">
        <f aca="false">'Dane szczegółowe'!H197</f>
        <v>0.657560706401766</v>
      </c>
    </row>
    <row r="100" customFormat="false" ht="15" hidden="false" customHeight="false" outlineLevel="0" collapsed="false">
      <c r="A100" s="9" t="s">
        <v>103</v>
      </c>
      <c r="B100" s="11"/>
      <c r="C100" s="11"/>
      <c r="D100" s="11"/>
      <c r="E100" s="11"/>
      <c r="F100" s="11"/>
      <c r="G100" s="11"/>
      <c r="H100" s="11"/>
      <c r="I100" s="11"/>
      <c r="J100" s="10" t="n">
        <f aca="false">'Dane szczegółowe'!H198</f>
        <v>0.786302205060461</v>
      </c>
      <c r="K100" s="10" t="n">
        <f aca="false">'Dane szczegółowe'!H199</f>
        <v>0.704018912529551</v>
      </c>
      <c r="L100" s="11"/>
      <c r="M100" s="11"/>
    </row>
    <row r="101" customFormat="false" ht="15" hidden="false" customHeight="false" outlineLevel="0" collapsed="false">
      <c r="A101" s="9" t="s">
        <v>96</v>
      </c>
      <c r="B101" s="11"/>
      <c r="C101" s="11"/>
      <c r="D101" s="11"/>
      <c r="E101" s="11"/>
      <c r="F101" s="11"/>
      <c r="G101" s="11"/>
      <c r="H101" s="10" t="n">
        <f aca="false">'Dane szczegółowe'!H170</f>
        <v>0.856199460916442</v>
      </c>
      <c r="I101" s="10" t="n">
        <f aca="false">'Dane szczegółowe'!H171</f>
        <v>0.719626765514156</v>
      </c>
      <c r="J101" s="10" t="n">
        <f aca="false">'Dane szczegółowe'!H200</f>
        <v>0.854921175969323</v>
      </c>
      <c r="K101" s="10" t="n">
        <f aca="false">'Dane szczegółowe'!H201</f>
        <v>0.729703451628585</v>
      </c>
      <c r="L101" s="10" t="n">
        <f aca="false">'Dane szczegółowe'!H210</f>
        <v>0.871330887258172</v>
      </c>
      <c r="M101" s="10" t="n">
        <f aca="false">'Dane szczegółowe'!H211</f>
        <v>0.765653606737459</v>
      </c>
    </row>
    <row r="102" customFormat="false" ht="15" hidden="false" customHeight="false" outlineLevel="0" collapsed="false">
      <c r="A102" s="9" t="s">
        <v>105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0" t="n">
        <f aca="false">'Dane szczegółowe'!H202</f>
        <v>0.796438820767023</v>
      </c>
      <c r="M102" s="10" t="n">
        <f aca="false">'Dane szczegółowe'!H203</f>
        <v>0.682742782152231</v>
      </c>
    </row>
    <row r="103" customFormat="false" ht="15" hidden="false" customHeight="false" outlineLevel="0" collapsed="false">
      <c r="A103" s="9" t="s">
        <v>98</v>
      </c>
      <c r="B103" s="11"/>
      <c r="C103" s="11"/>
      <c r="D103" s="11"/>
      <c r="E103" s="11"/>
      <c r="F103" s="11"/>
      <c r="G103" s="11"/>
      <c r="H103" s="10" t="n">
        <f aca="false">'Dane szczegółowe'!H182</f>
        <v>0.841128010139417</v>
      </c>
      <c r="I103" s="10" t="n">
        <f aca="false">'Dane szczegółowe'!H183</f>
        <v>0.725737081593218</v>
      </c>
      <c r="J103" s="10" t="n">
        <f aca="false">'Dane szczegółowe'!H204</f>
        <v>0.85021075357253</v>
      </c>
      <c r="K103" s="10" t="n">
        <f aca="false">'Dane szczegółowe'!H205</f>
        <v>0.729029793735676</v>
      </c>
      <c r="L103" s="10" t="n">
        <f aca="false">'Dane szczegółowe'!H214</f>
        <v>0.901808227072978</v>
      </c>
      <c r="M103" s="10" t="n">
        <f aca="false">'Dane szczegółowe'!H215</f>
        <v>0.754202610042026</v>
      </c>
    </row>
    <row r="104" customFormat="false" ht="15" hidden="false" customHeight="false" outlineLevel="0" collapsed="false">
      <c r="A104" s="9" t="s">
        <v>100</v>
      </c>
      <c r="B104" s="11"/>
      <c r="C104" s="11"/>
      <c r="D104" s="11"/>
      <c r="E104" s="11"/>
      <c r="F104" s="11"/>
      <c r="G104" s="11"/>
      <c r="H104" s="11"/>
      <c r="I104" s="11"/>
      <c r="J104" s="10" t="n">
        <f aca="false">'Dane szczegółowe'!H184</f>
        <v>0.775768279759802</v>
      </c>
      <c r="K104" s="10" t="n">
        <f aca="false">'Dane szczegółowe'!H185</f>
        <v>0.654847914516423</v>
      </c>
      <c r="L104" s="10" t="n">
        <f aca="false">'Dane szczegółowe'!H206</f>
        <v>0.838945114830674</v>
      </c>
      <c r="M104" s="10" t="n">
        <f aca="false">'Dane szczegółowe'!H207</f>
        <v>0.652951699463327</v>
      </c>
    </row>
    <row r="105" customFormat="false" ht="15" hidden="false" customHeight="false" outlineLevel="0" collapsed="false">
      <c r="A105" s="9" t="s">
        <v>72</v>
      </c>
      <c r="B105" s="10" t="n">
        <f aca="false">'Dane szczegółowe'!H54</f>
        <v>0.763828382838284</v>
      </c>
      <c r="C105" s="10" t="n">
        <f aca="false">'Dane szczegółowe'!H55</f>
        <v>0.72107161257084</v>
      </c>
      <c r="D105" s="10" t="n">
        <f aca="false">'Dane szczegółowe'!H90</f>
        <v>0.804527447651387</v>
      </c>
      <c r="E105" s="10" t="n">
        <f aca="false">'Dane szczegółowe'!H91</f>
        <v>0.764802055354432</v>
      </c>
      <c r="F105" s="11"/>
      <c r="G105" s="11"/>
      <c r="H105" s="10" t="n">
        <f aca="false">'Dane szczegółowe'!H164</f>
        <v>0.761007381676075</v>
      </c>
      <c r="I105" s="10" t="n">
        <f aca="false">'Dane szczegółowe'!H165</f>
        <v>0.63258335189723</v>
      </c>
      <c r="J105" s="10" t="n">
        <f aca="false">'Dane szczegółowe'!H194</f>
        <v>0.748610449420359</v>
      </c>
      <c r="K105" s="10" t="n">
        <f aca="false">'Dane szczegółowe'!H195</f>
        <v>0.667132867132867</v>
      </c>
      <c r="L105" s="10" t="n">
        <f aca="false">'Dane szczegółowe'!H208</f>
        <v>0.716157205240175</v>
      </c>
      <c r="M105" s="10" t="n">
        <f aca="false">'Dane szczegółowe'!H209</f>
        <v>0.531646734130635</v>
      </c>
    </row>
    <row r="106" customFormat="false" ht="15" hidden="false" customHeight="false" outlineLevel="0" collapsed="false">
      <c r="A106" s="9" t="s">
        <v>96</v>
      </c>
      <c r="B106" s="11"/>
      <c r="C106" s="11"/>
      <c r="D106" s="11"/>
      <c r="E106" s="11"/>
      <c r="F106" s="11"/>
      <c r="G106" s="11"/>
      <c r="H106" s="10" t="n">
        <f aca="false">'Dane szczegółowe'!H170</f>
        <v>0.856199460916442</v>
      </c>
      <c r="I106" s="10" t="n">
        <f aca="false">'Dane szczegółowe'!H171</f>
        <v>0.719626765514156</v>
      </c>
      <c r="J106" s="10" t="n">
        <f aca="false">'Dane szczegółowe'!H200</f>
        <v>0.854921175969323</v>
      </c>
      <c r="K106" s="10" t="n">
        <f aca="false">'Dane szczegółowe'!H201</f>
        <v>0.729703451628585</v>
      </c>
      <c r="L106" s="10" t="n">
        <f aca="false">'Dane szczegółowe'!H210</f>
        <v>0.871330887258172</v>
      </c>
      <c r="M106" s="10" t="n">
        <f aca="false">'Dane szczegółowe'!H211</f>
        <v>0.765653606737459</v>
      </c>
    </row>
    <row r="107" customFormat="false" ht="15" hidden="false" customHeight="false" outlineLevel="0" collapsed="false">
      <c r="A107" s="9" t="s">
        <v>97</v>
      </c>
      <c r="B107" s="11"/>
      <c r="C107" s="11"/>
      <c r="D107" s="11"/>
      <c r="E107" s="11"/>
      <c r="F107" s="11"/>
      <c r="G107" s="11"/>
      <c r="H107" s="10" t="n">
        <f aca="false">'Dane szczegółowe'!H176</f>
        <v>0.818114874815906</v>
      </c>
      <c r="I107" s="10" t="n">
        <f aca="false">'Dane szczegółowe'!H177</f>
        <v>0.719330727559487</v>
      </c>
      <c r="J107" s="11"/>
      <c r="K107" s="11"/>
      <c r="L107" s="10" t="n">
        <f aca="false">'Dane szczegółowe'!H212</f>
        <v>0.856393442622951</v>
      </c>
      <c r="M107" s="10" t="n">
        <f aca="false">'Dane szczegółowe'!H213</f>
        <v>0.723654255709775</v>
      </c>
    </row>
    <row r="108" customFormat="false" ht="15" hidden="false" customHeight="false" outlineLevel="0" collapsed="false">
      <c r="A108" s="9" t="s">
        <v>98</v>
      </c>
      <c r="B108" s="11"/>
      <c r="C108" s="11"/>
      <c r="D108" s="11"/>
      <c r="E108" s="11"/>
      <c r="F108" s="11"/>
      <c r="G108" s="11"/>
      <c r="H108" s="10" t="n">
        <f aca="false">'Dane szczegółowe'!H182</f>
        <v>0.841128010139417</v>
      </c>
      <c r="I108" s="10" t="n">
        <f aca="false">'Dane szczegółowe'!H183</f>
        <v>0.725737081593218</v>
      </c>
      <c r="J108" s="10" t="n">
        <f aca="false">'Dane szczegółowe'!H204</f>
        <v>0.85021075357253</v>
      </c>
      <c r="K108" s="10" t="n">
        <f aca="false">'Dane szczegółowe'!H205</f>
        <v>0.729029793735676</v>
      </c>
      <c r="L108" s="10" t="n">
        <f aca="false">'Dane szczegółowe'!H214</f>
        <v>0.901808227072978</v>
      </c>
      <c r="M108" s="10" t="n">
        <f aca="false">'Dane szczegółowe'!H215</f>
        <v>0.754202610042026</v>
      </c>
    </row>
    <row r="109" customFormat="false" ht="15" hidden="false" customHeight="false" outlineLevel="0" collapsed="false">
      <c r="A109" s="9" t="s">
        <v>102</v>
      </c>
      <c r="B109" s="11"/>
      <c r="C109" s="11"/>
      <c r="D109" s="11"/>
      <c r="E109" s="11"/>
      <c r="F109" s="11"/>
      <c r="G109" s="11"/>
      <c r="H109" s="10" t="n">
        <f aca="false">'Dane szczegółowe'!H188</f>
        <v>0.855652270951903</v>
      </c>
      <c r="I109" s="10" t="n">
        <f aca="false">'Dane szczegółowe'!H189</f>
        <v>0.767033777730938</v>
      </c>
      <c r="J109" s="11"/>
      <c r="K109" s="11"/>
      <c r="L109" s="10" t="n">
        <f aca="false">'Dane szczegółowe'!H216</f>
        <v>0.83970191850325</v>
      </c>
      <c r="M109" s="10" t="n">
        <f aca="false">'Dane szczegółowe'!H217</f>
        <v>0.68385455806694</v>
      </c>
    </row>
    <row r="111" customFormat="false" ht="15" hidden="false" customHeight="false" outlineLevel="0" collapsed="false">
      <c r="A111" s="12" t="s">
        <v>120</v>
      </c>
      <c r="B111" s="13" t="n">
        <f aca="false">IFERROR(AVERAGE(B2:B109),"")</f>
        <v>0.786620586174652</v>
      </c>
      <c r="C111" s="13" t="n">
        <f aca="false">IFERROR(AVERAGE(C2:C109),"")</f>
        <v>0.751959873524144</v>
      </c>
      <c r="D111" s="13" t="n">
        <f aca="false">IFERROR(AVERAGE(D2:D109),"")</f>
        <v>0.769425707717579</v>
      </c>
      <c r="E111" s="13" t="n">
        <f aca="false">IFERROR(AVERAGE(E2:E109),"")</f>
        <v>0.703482327592599</v>
      </c>
      <c r="F111" s="13" t="n">
        <f aca="false">IFERROR(AVERAGE(F2:F109),"")</f>
        <v>0.790995630135015</v>
      </c>
      <c r="G111" s="13" t="n">
        <f aca="false">IFERROR(AVERAGE(G2:G109),"")</f>
        <v>0.657925978731061</v>
      </c>
      <c r="H111" s="13" t="n">
        <f aca="false">IFERROR(AVERAGE(H2:H109),"")</f>
        <v>0.775475899444058</v>
      </c>
      <c r="I111" s="13" t="n">
        <f aca="false">IFERROR(AVERAGE(I2:I109),"")</f>
        <v>0.652634693988857</v>
      </c>
      <c r="J111" s="13" t="n">
        <f aca="false">IFERROR(AVERAGE(J2:J109),"")</f>
        <v>0.769858497755933</v>
      </c>
      <c r="K111" s="13" t="n">
        <f aca="false">IFERROR(AVERAGE(K2:K109),"")</f>
        <v>0.645679987301316</v>
      </c>
      <c r="L111" s="13" t="n">
        <f aca="false">IFERROR(AVERAGE(L2:L109),"")</f>
        <v>0.764605987079234</v>
      </c>
      <c r="M111" s="13" t="n">
        <f aca="false">IFERROR(AVERAGE(M2:M109),"")</f>
        <v>0.618454364347488</v>
      </c>
    </row>
  </sheetData>
  <conditionalFormatting sqref="B2:M109">
    <cfRule type="colorScale" priority="2">
      <colorScale>
        <cfvo type="min" val="0"/>
        <cfvo type="percentile" val="50"/>
        <cfvo type="max" val="0"/>
        <color rgb="FFA8433A"/>
        <color rgb="FFF0EADA"/>
        <color rgb="FF4C7A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6"/>
  </cols>
  <sheetData>
    <row r="1" customFormat="false" ht="37.3" hidden="false" customHeight="false" outlineLevel="0" collapsed="false">
      <c r="A1" s="4" t="s">
        <v>31</v>
      </c>
      <c r="B1" s="4" t="s">
        <v>32</v>
      </c>
      <c r="C1" s="4" t="s">
        <v>121</v>
      </c>
      <c r="D1" s="4" t="s">
        <v>122</v>
      </c>
      <c r="E1" s="4" t="s">
        <v>123</v>
      </c>
      <c r="F1" s="4" t="s">
        <v>124</v>
      </c>
    </row>
    <row r="2" customFormat="false" ht="15" hidden="false" customHeight="false" outlineLevel="0" collapsed="false">
      <c r="A2" s="5" t="s">
        <v>38</v>
      </c>
      <c r="B2" s="5" t="s">
        <v>39</v>
      </c>
      <c r="C2" s="7" t="n">
        <f aca="false">IFERROR(AVERAGEIFS('Dane szczegółowe'!$H$2:$H$217,'Dane szczegółowe'!$D$2:$D$217,A2,'Dane szczegółowe'!$E$2:$E$217,B2),"")</f>
        <v>0.790963300082541</v>
      </c>
      <c r="D2" s="5" t="n">
        <f aca="false">COUNTIFS('Dane szczegółowe'!$D$2:$D$217,A2,'Dane szczegółowe'!$E$2:$E$217,B2)</f>
        <v>15</v>
      </c>
      <c r="E2" s="7" t="n">
        <f aca="false">IFERROR(_xlfn.MINIFS('Dane szczegółowe'!$H$2:$H$217,'Dane szczegółowe'!$D$2:$D$217,A2,'Dane szczegółowe'!$E$2:$E$217,B2),"")</f>
        <v>0.567368421052632</v>
      </c>
      <c r="F2" s="7" t="n">
        <f aca="false">IFERROR(_xlfn.MAXIFS('Dane szczegółowe'!$H$2:$H$217,'Dane szczegółowe'!$D$2:$D$217,A2,'Dane szczegółowe'!$E$2:$E$217,B2),"")</f>
        <v>0.928053830227743</v>
      </c>
    </row>
    <row r="3" customFormat="false" ht="15" hidden="false" customHeight="false" outlineLevel="0" collapsed="false">
      <c r="A3" s="5" t="s">
        <v>38</v>
      </c>
      <c r="B3" s="5" t="s">
        <v>40</v>
      </c>
      <c r="C3" s="7" t="n">
        <f aca="false">IFERROR(AVERAGEIFS('Dane szczegółowe'!$H$2:$H$217,'Dane szczegółowe'!$D$2:$D$217,A3,'Dane szczegółowe'!$E$2:$E$217,B3),"")</f>
        <v>0.756445546064963</v>
      </c>
      <c r="D3" s="5" t="n">
        <f aca="false">COUNTIFS('Dane szczegółowe'!$D$2:$D$217,A3,'Dane szczegółowe'!$E$2:$E$217,B3)</f>
        <v>15</v>
      </c>
      <c r="E3" s="7" t="n">
        <f aca="false">IFERROR(_xlfn.MINIFS('Dane szczegółowe'!$H$2:$H$217,'Dane szczegółowe'!$D$2:$D$217,A3,'Dane szczegółowe'!$E$2:$E$217,B3),"")</f>
        <v>0.489714285714286</v>
      </c>
      <c r="F3" s="7" t="n">
        <f aca="false">IFERROR(_xlfn.MAXIFS('Dane szczegółowe'!$H$2:$H$217,'Dane szczegółowe'!$D$2:$D$217,A3,'Dane szczegółowe'!$E$2:$E$217,B3),"")</f>
        <v>0.894206008583691</v>
      </c>
    </row>
    <row r="4" customFormat="false" ht="15" hidden="false" customHeight="false" outlineLevel="0" collapsed="false">
      <c r="A4" s="5" t="s">
        <v>46</v>
      </c>
      <c r="B4" s="5" t="s">
        <v>39</v>
      </c>
      <c r="C4" s="7" t="n">
        <f aca="false">IFERROR(AVERAGEIFS('Dane szczegółowe'!$H$2:$H$217,'Dane szczegółowe'!$D$2:$D$217,A4,'Dane szczegółowe'!$E$2:$E$217,B4),"")</f>
        <v>0.765883673862302</v>
      </c>
      <c r="D4" s="5" t="n">
        <f aca="false">COUNTIFS('Dane szczegółowe'!$D$2:$D$217,A4,'Dane szczegółowe'!$E$2:$E$217,B4)</f>
        <v>16</v>
      </c>
      <c r="E4" s="7" t="n">
        <f aca="false">IFERROR(_xlfn.MINIFS('Dane szczegółowe'!$H$2:$H$217,'Dane szczegółowe'!$D$2:$D$217,A4,'Dane szczegółowe'!$E$2:$E$217,B4),"")</f>
        <v>0.673011787020729</v>
      </c>
      <c r="F4" s="7" t="n">
        <f aca="false">IFERROR(_xlfn.MAXIFS('Dane szczegółowe'!$H$2:$H$217,'Dane szczegółowe'!$D$2:$D$217,A4,'Dane szczegółowe'!$E$2:$E$217,B4),"")</f>
        <v>0.858411108581835</v>
      </c>
    </row>
    <row r="5" customFormat="false" ht="15" hidden="false" customHeight="false" outlineLevel="0" collapsed="false">
      <c r="A5" s="5" t="s">
        <v>46</v>
      </c>
      <c r="B5" s="5" t="s">
        <v>40</v>
      </c>
      <c r="C5" s="7" t="n">
        <f aca="false">IFERROR(AVERAGEIFS('Dane szczegółowe'!$H$2:$H$217,'Dane szczegółowe'!$D$2:$D$217,A5,'Dane szczegółowe'!$E$2:$E$217,B5),"")</f>
        <v>0.69624023710554</v>
      </c>
      <c r="D5" s="5" t="n">
        <f aca="false">COUNTIFS('Dane szczegółowe'!$D$2:$D$217,A5,'Dane szczegółowe'!$E$2:$E$217,B5)</f>
        <v>16</v>
      </c>
      <c r="E5" s="7" t="n">
        <f aca="false">IFERROR(_xlfn.MINIFS('Dane szczegółowe'!$H$2:$H$217,'Dane szczegółowe'!$D$2:$D$217,A5,'Dane szczegółowe'!$E$2:$E$217,B5),"")</f>
        <v>0.553302304964539</v>
      </c>
      <c r="F5" s="7" t="n">
        <f aca="false">IFERROR(_xlfn.MAXIFS('Dane szczegółowe'!$H$2:$H$217,'Dane szczegółowe'!$D$2:$D$217,A5,'Dane szczegółowe'!$E$2:$E$217,B5),"")</f>
        <v>0.820039880358923</v>
      </c>
    </row>
    <row r="6" customFormat="false" ht="15" hidden="false" customHeight="false" outlineLevel="0" collapsed="false">
      <c r="A6" s="5" t="s">
        <v>55</v>
      </c>
      <c r="B6" s="5" t="s">
        <v>39</v>
      </c>
      <c r="C6" s="7" t="n">
        <f aca="false">IFERROR(AVERAGEIFS('Dane szczegółowe'!$H$2:$H$217,'Dane szczegółowe'!$D$2:$D$217,A6,'Dane szczegółowe'!$E$2:$E$217,B6),"")</f>
        <v>0.78986509252928</v>
      </c>
      <c r="D6" s="5" t="n">
        <f aca="false">COUNTIFS('Dane szczegółowe'!$D$2:$D$217,A6,'Dane szczegółowe'!$E$2:$E$217,B6)</f>
        <v>18</v>
      </c>
      <c r="E6" s="7" t="n">
        <f aca="false">IFERROR(_xlfn.MINIFS('Dane szczegółowe'!$H$2:$H$217,'Dane szczegółowe'!$D$2:$D$217,A6,'Dane szczegółowe'!$E$2:$E$217,B6),"")</f>
        <v>0.628483890096857</v>
      </c>
      <c r="F6" s="7" t="n">
        <f aca="false">IFERROR(_xlfn.MAXIFS('Dane szczegółowe'!$H$2:$H$217,'Dane szczegółowe'!$D$2:$D$217,A6,'Dane szczegółowe'!$E$2:$E$217,B6),"")</f>
        <v>0.8927146627386</v>
      </c>
    </row>
    <row r="7" customFormat="false" ht="15" hidden="false" customHeight="false" outlineLevel="0" collapsed="false">
      <c r="A7" s="5" t="s">
        <v>55</v>
      </c>
      <c r="B7" s="5" t="s">
        <v>40</v>
      </c>
      <c r="C7" s="7" t="n">
        <f aca="false">IFERROR(AVERAGEIFS('Dane szczegółowe'!$H$2:$H$217,'Dane szczegółowe'!$D$2:$D$217,A7,'Dane szczegółowe'!$E$2:$E$217,B7),"")</f>
        <v>0.653587724591959</v>
      </c>
      <c r="D7" s="5" t="n">
        <f aca="false">COUNTIFS('Dane szczegółowe'!$D$2:$D$217,A7,'Dane szczegółowe'!$E$2:$E$217,B7)</f>
        <v>18</v>
      </c>
      <c r="E7" s="7" t="n">
        <f aca="false">IFERROR(_xlfn.MINIFS('Dane szczegółowe'!$H$2:$H$217,'Dane szczegółowe'!$D$2:$D$217,A7,'Dane szczegółowe'!$E$2:$E$217,B7),"")</f>
        <v>0.439868744872847</v>
      </c>
      <c r="F7" s="7" t="n">
        <f aca="false">IFERROR(_xlfn.MAXIFS('Dane szczegółowe'!$H$2:$H$217,'Dane szczegółowe'!$D$2:$D$217,A7,'Dane szczegółowe'!$E$2:$E$217,B7),"")</f>
        <v>0.754713874022231</v>
      </c>
    </row>
    <row r="8" customFormat="false" ht="15" hidden="false" customHeight="false" outlineLevel="0" collapsed="false">
      <c r="A8" s="5" t="s">
        <v>57</v>
      </c>
      <c r="B8" s="5" t="s">
        <v>39</v>
      </c>
      <c r="C8" s="7" t="n">
        <f aca="false">IFERROR(AVERAGEIFS('Dane szczegółowe'!$H$2:$H$217,'Dane szczegółowe'!$D$2:$D$217,A8,'Dane szczegółowe'!$E$2:$E$217,B8),"")</f>
        <v>0.778929083449287</v>
      </c>
      <c r="D8" s="5" t="n">
        <f aca="false">COUNTIFS('Dane szczegółowe'!$D$2:$D$217,A8,'Dane szczegółowe'!$E$2:$E$217,B8)</f>
        <v>19</v>
      </c>
      <c r="E8" s="7" t="n">
        <f aca="false">IFERROR(_xlfn.MINIFS('Dane szczegółowe'!$H$2:$H$217,'Dane szczegółowe'!$D$2:$D$217,A8,'Dane szczegółowe'!$E$2:$E$217,B8),"")</f>
        <v>0.618179398456215</v>
      </c>
      <c r="F8" s="7" t="n">
        <f aca="false">IFERROR(_xlfn.MAXIFS('Dane szczegółowe'!$H$2:$H$217,'Dane szczegółowe'!$D$2:$D$217,A8,'Dane szczegółowe'!$E$2:$E$217,B8),"")</f>
        <v>0.856199460916442</v>
      </c>
    </row>
    <row r="9" customFormat="false" ht="15" hidden="false" customHeight="false" outlineLevel="0" collapsed="false">
      <c r="A9" s="5" t="s">
        <v>57</v>
      </c>
      <c r="B9" s="5" t="s">
        <v>40</v>
      </c>
      <c r="C9" s="7" t="n">
        <f aca="false">IFERROR(AVERAGEIFS('Dane szczegółowe'!$H$2:$H$217,'Dane szczegółowe'!$D$2:$D$217,A9,'Dane szczegółowe'!$E$2:$E$217,B9),"")</f>
        <v>0.658766760294828</v>
      </c>
      <c r="D9" s="5" t="n">
        <f aca="false">COUNTIFS('Dane szczegółowe'!$D$2:$D$217,A9,'Dane szczegółowe'!$E$2:$E$217,B9)</f>
        <v>19</v>
      </c>
      <c r="E9" s="7" t="n">
        <f aca="false">IFERROR(_xlfn.MINIFS('Dane szczegółowe'!$H$2:$H$217,'Dane szczegółowe'!$D$2:$D$217,A9,'Dane szczegółowe'!$E$2:$E$217,B9),"")</f>
        <v>0.536740890688259</v>
      </c>
      <c r="F9" s="7" t="n">
        <f aca="false">IFERROR(_xlfn.MAXIFS('Dane szczegółowe'!$H$2:$H$217,'Dane szczegółowe'!$D$2:$D$217,A9,'Dane szczegółowe'!$E$2:$E$217,B9),"")</f>
        <v>0.767033777730938</v>
      </c>
    </row>
    <row r="10" customFormat="false" ht="15" hidden="false" customHeight="false" outlineLevel="0" collapsed="false">
      <c r="A10" s="5" t="s">
        <v>75</v>
      </c>
      <c r="B10" s="5" t="s">
        <v>39</v>
      </c>
      <c r="C10" s="7" t="n">
        <f aca="false">IFERROR(AVERAGEIFS('Dane szczegółowe'!$H$2:$H$217,'Dane szczegółowe'!$D$2:$D$217,A10,'Dane szczegółowe'!$E$2:$E$217,B10),"")</f>
        <v>0.770823713329955</v>
      </c>
      <c r="D10" s="5" t="n">
        <f aca="false">COUNTIFS('Dane szczegółowe'!$D$2:$D$217,A10,'Dane szczegółowe'!$E$2:$E$217,B10)</f>
        <v>20</v>
      </c>
      <c r="E10" s="7" t="n">
        <f aca="false">IFERROR(_xlfn.MINIFS('Dane szczegółowe'!$H$2:$H$217,'Dane szczegółowe'!$D$2:$D$217,A10,'Dane szczegółowe'!$E$2:$E$217,B10),"")</f>
        <v>0.678876678876679</v>
      </c>
      <c r="F10" s="7" t="n">
        <f aca="false">IFERROR(_xlfn.MAXIFS('Dane szczegółowe'!$H$2:$H$217,'Dane szczegółowe'!$D$2:$D$217,A10,'Dane szczegółowe'!$E$2:$E$217,B10),"")</f>
        <v>0.854921175969323</v>
      </c>
    </row>
    <row r="11" customFormat="false" ht="15" hidden="false" customHeight="false" outlineLevel="0" collapsed="false">
      <c r="A11" s="5" t="s">
        <v>75</v>
      </c>
      <c r="B11" s="5" t="s">
        <v>40</v>
      </c>
      <c r="C11" s="7" t="n">
        <f aca="false">IFERROR(AVERAGEIFS('Dane szczegółowe'!$H$2:$H$217,'Dane szczegółowe'!$D$2:$D$217,A11,'Dane szczegółowe'!$E$2:$E$217,B11),"")</f>
        <v>0.648794425473295</v>
      </c>
      <c r="D11" s="5" t="n">
        <f aca="false">COUNTIFS('Dane szczegółowe'!$D$2:$D$217,A11,'Dane szczegółowe'!$E$2:$E$217,B11)</f>
        <v>20</v>
      </c>
      <c r="E11" s="7" t="n">
        <f aca="false">IFERROR(_xlfn.MINIFS('Dane szczegółowe'!$H$2:$H$217,'Dane szczegółowe'!$D$2:$D$217,A11,'Dane szczegółowe'!$E$2:$E$217,B11),"")</f>
        <v>0.450721153846154</v>
      </c>
      <c r="F11" s="7" t="n">
        <f aca="false">IFERROR(_xlfn.MAXIFS('Dane szczegółowe'!$H$2:$H$217,'Dane szczegółowe'!$D$2:$D$217,A11,'Dane szczegółowe'!$E$2:$E$217,B11),"")</f>
        <v>0.733804415102125</v>
      </c>
    </row>
    <row r="12" customFormat="false" ht="15" hidden="false" customHeight="false" outlineLevel="0" collapsed="false">
      <c r="A12" s="5" t="s">
        <v>89</v>
      </c>
      <c r="B12" s="5" t="s">
        <v>39</v>
      </c>
      <c r="C12" s="7" t="n">
        <f aca="false">IFERROR(AVERAGEIFS('Dane szczegółowe'!$H$2:$H$217,'Dane szczegółowe'!$D$2:$D$217,A12,'Dane szczegółowe'!$E$2:$E$217,B12),"")</f>
        <v>0.768576210717587</v>
      </c>
      <c r="D12" s="5" t="n">
        <f aca="false">COUNTIFS('Dane szczegółowe'!$D$2:$D$217,A12,'Dane szczegółowe'!$E$2:$E$217,B12)</f>
        <v>20</v>
      </c>
      <c r="E12" s="7" t="n">
        <f aca="false">IFERROR(_xlfn.MINIFS('Dane szczegółowe'!$H$2:$H$217,'Dane szczegółowe'!$D$2:$D$217,A12,'Dane szczegółowe'!$E$2:$E$217,B12),"")</f>
        <v>0.649957114266654</v>
      </c>
      <c r="F12" s="7" t="n">
        <f aca="false">IFERROR(_xlfn.MAXIFS('Dane szczegółowe'!$H$2:$H$217,'Dane szczegółowe'!$D$2:$D$217,A12,'Dane szczegółowe'!$E$2:$E$217,B12),"")</f>
        <v>0.901808227072978</v>
      </c>
    </row>
    <row r="13" customFormat="false" ht="15" hidden="false" customHeight="false" outlineLevel="0" collapsed="false">
      <c r="A13" s="5" t="s">
        <v>89</v>
      </c>
      <c r="B13" s="5" t="s">
        <v>40</v>
      </c>
      <c r="C13" s="7" t="n">
        <f aca="false">IFERROR(AVERAGEIFS('Dane szczegółowe'!$H$2:$H$217,'Dane szczegółowe'!$D$2:$D$217,A13,'Dane szczegółowe'!$E$2:$E$217,B13),"")</f>
        <v>0.62166696200022</v>
      </c>
      <c r="D13" s="5" t="n">
        <f aca="false">COUNTIFS('Dane szczegółowe'!$D$2:$D$217,A13,'Dane szczegółowe'!$E$2:$E$217,B13)</f>
        <v>20</v>
      </c>
      <c r="E13" s="7" t="n">
        <f aca="false">IFERROR(_xlfn.MINIFS('Dane szczegółowe'!$H$2:$H$217,'Dane szczegółowe'!$D$2:$D$217,A13,'Dane szczegółowe'!$E$2:$E$217,B13),"")</f>
        <v>0.483246933872803</v>
      </c>
      <c r="F13" s="7" t="n">
        <f aca="false">IFERROR(_xlfn.MAXIFS('Dane szczegółowe'!$H$2:$H$217,'Dane szczegółowe'!$D$2:$D$217,A13,'Dane szczegółowe'!$E$2:$E$217,B13),"")</f>
        <v>0.765653606737459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1"/>
  </cols>
  <sheetData>
    <row r="1" customFormat="false" ht="25.35" hidden="false" customHeight="false" outlineLevel="0" collapsed="false">
      <c r="A1" s="4" t="s">
        <v>125</v>
      </c>
      <c r="B1" s="4" t="s">
        <v>126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127</v>
      </c>
      <c r="K1" s="4" t="s">
        <v>128</v>
      </c>
      <c r="M1" s="14" t="s">
        <v>129</v>
      </c>
    </row>
    <row r="2" customFormat="false" ht="15" hidden="false" customHeight="false" outlineLevel="0" collapsed="false">
      <c r="A2" s="5" t="s">
        <v>130</v>
      </c>
      <c r="B2" s="5" t="s">
        <v>36</v>
      </c>
      <c r="C2" s="5" t="n">
        <v>2017</v>
      </c>
      <c r="D2" s="5" t="s">
        <v>37</v>
      </c>
      <c r="E2" s="5" t="s">
        <v>38</v>
      </c>
      <c r="F2" s="5" t="s">
        <v>39</v>
      </c>
      <c r="G2" s="6" t="n">
        <v>451</v>
      </c>
      <c r="H2" s="6" t="n">
        <v>182</v>
      </c>
      <c r="I2" s="7" t="n">
        <f aca="false">(G2-H2)/G2</f>
        <v>0.596452328159645</v>
      </c>
      <c r="J2" s="15" t="n">
        <v>0.432</v>
      </c>
      <c r="K2" s="11" t="str">
        <f aca="false">IF(I2&lt;J2,"TAK","NIE")</f>
        <v>NIE</v>
      </c>
      <c r="M2" s="14" t="s">
        <v>131</v>
      </c>
    </row>
    <row r="3" customFormat="false" ht="15" hidden="false" customHeight="false" outlineLevel="0" collapsed="false">
      <c r="A3" s="5" t="s">
        <v>132</v>
      </c>
      <c r="B3" s="5" t="s">
        <v>36</v>
      </c>
      <c r="C3" s="5" t="n">
        <v>2017</v>
      </c>
      <c r="D3" s="5" t="s">
        <v>37</v>
      </c>
      <c r="E3" s="5" t="s">
        <v>38</v>
      </c>
      <c r="F3" s="5" t="s">
        <v>39</v>
      </c>
      <c r="G3" s="6" t="n">
        <v>451</v>
      </c>
      <c r="H3" s="6" t="n">
        <v>320</v>
      </c>
      <c r="I3" s="7" t="n">
        <f aca="false">(G3-H3)/G3</f>
        <v>0.290465631929047</v>
      </c>
      <c r="J3" s="15" t="n">
        <v>0.432</v>
      </c>
      <c r="K3" s="11" t="str">
        <f aca="false">IF(I3&lt;J3,"TAK","NIE")</f>
        <v>TAK</v>
      </c>
    </row>
    <row r="4" customFormat="false" ht="15" hidden="false" customHeight="false" outlineLevel="0" collapsed="false">
      <c r="A4" s="5" t="s">
        <v>133</v>
      </c>
      <c r="B4" s="5" t="s">
        <v>36</v>
      </c>
      <c r="C4" s="5" t="n">
        <v>2017</v>
      </c>
      <c r="D4" s="5" t="s">
        <v>37</v>
      </c>
      <c r="E4" s="5" t="s">
        <v>38</v>
      </c>
      <c r="F4" s="5" t="s">
        <v>39</v>
      </c>
      <c r="G4" s="6" t="n">
        <v>509</v>
      </c>
      <c r="H4" s="6" t="n">
        <v>127</v>
      </c>
      <c r="I4" s="7" t="n">
        <f aca="false">(G4-H4)/G4</f>
        <v>0.75049115913556</v>
      </c>
      <c r="J4" s="15" t="n">
        <v>0.432</v>
      </c>
      <c r="K4" s="11" t="str">
        <f aca="false">IF(I4&lt;J4,"TAK","NIE")</f>
        <v>NIE</v>
      </c>
    </row>
    <row r="5" customFormat="false" ht="15" hidden="false" customHeight="false" outlineLevel="0" collapsed="false">
      <c r="A5" s="5" t="s">
        <v>134</v>
      </c>
      <c r="B5" s="5" t="s">
        <v>36</v>
      </c>
      <c r="C5" s="5" t="n">
        <v>2017</v>
      </c>
      <c r="D5" s="5" t="s">
        <v>37</v>
      </c>
      <c r="E5" s="5" t="s">
        <v>38</v>
      </c>
      <c r="F5" s="5" t="s">
        <v>39</v>
      </c>
      <c r="G5" s="6" t="n">
        <v>437</v>
      </c>
      <c r="H5" s="6" t="n">
        <v>186</v>
      </c>
      <c r="I5" s="7" t="n">
        <f aca="false">(G5-H5)/G5</f>
        <v>0.574370709382151</v>
      </c>
      <c r="J5" s="15" t="n">
        <v>0.432</v>
      </c>
      <c r="K5" s="11" t="str">
        <f aca="false">IF(I5&lt;J5,"TAK","NIE")</f>
        <v>NIE</v>
      </c>
    </row>
    <row r="6" customFormat="false" ht="15" hidden="false" customHeight="false" outlineLevel="0" collapsed="false">
      <c r="A6" s="5" t="s">
        <v>135</v>
      </c>
      <c r="B6" s="5" t="s">
        <v>36</v>
      </c>
      <c r="C6" s="5" t="n">
        <v>2017</v>
      </c>
      <c r="D6" s="5" t="s">
        <v>37</v>
      </c>
      <c r="E6" s="5" t="s">
        <v>38</v>
      </c>
      <c r="F6" s="5" t="s">
        <v>39</v>
      </c>
      <c r="G6" s="6" t="n">
        <v>949</v>
      </c>
      <c r="H6" s="6" t="n">
        <v>251</v>
      </c>
      <c r="I6" s="7" t="n">
        <f aca="false">(G6-H6)/G6</f>
        <v>0.735511064278188</v>
      </c>
      <c r="J6" s="15" t="n">
        <v>0.432</v>
      </c>
      <c r="K6" s="11" t="str">
        <f aca="false">IF(I6&lt;J6,"TAK","NIE")</f>
        <v>NIE</v>
      </c>
    </row>
    <row r="7" customFormat="false" ht="15" hidden="false" customHeight="false" outlineLevel="0" collapsed="false">
      <c r="A7" s="5" t="s">
        <v>136</v>
      </c>
      <c r="B7" s="5" t="s">
        <v>36</v>
      </c>
      <c r="C7" s="5" t="n">
        <v>2017</v>
      </c>
      <c r="D7" s="5" t="s">
        <v>37</v>
      </c>
      <c r="E7" s="5" t="s">
        <v>38</v>
      </c>
      <c r="F7" s="5" t="s">
        <v>39</v>
      </c>
      <c r="G7" s="6" t="n">
        <v>437</v>
      </c>
      <c r="H7" s="6" t="n">
        <v>104</v>
      </c>
      <c r="I7" s="7" t="n">
        <f aca="false">(G7-H7)/G7</f>
        <v>0.762013729977117</v>
      </c>
      <c r="J7" s="15" t="n">
        <v>0.432</v>
      </c>
      <c r="K7" s="11" t="str">
        <f aca="false">IF(I7&lt;J7,"TAK","NIE")</f>
        <v>NIE</v>
      </c>
    </row>
    <row r="8" customFormat="false" ht="15" hidden="false" customHeight="false" outlineLevel="0" collapsed="false">
      <c r="A8" s="5" t="s">
        <v>137</v>
      </c>
      <c r="B8" s="5" t="s">
        <v>36</v>
      </c>
      <c r="C8" s="5" t="n">
        <v>2017</v>
      </c>
      <c r="D8" s="5" t="s">
        <v>37</v>
      </c>
      <c r="E8" s="5" t="s">
        <v>38</v>
      </c>
      <c r="F8" s="5" t="s">
        <v>39</v>
      </c>
      <c r="G8" s="6" t="n">
        <v>437</v>
      </c>
      <c r="H8" s="6" t="n">
        <v>108</v>
      </c>
      <c r="I8" s="7" t="n">
        <f aca="false">(G8-H8)/G8</f>
        <v>0.752860411899314</v>
      </c>
      <c r="J8" s="15" t="n">
        <v>0.432</v>
      </c>
      <c r="K8" s="11" t="str">
        <f aca="false">IF(I8&lt;J8,"TAK","NIE")</f>
        <v>NIE</v>
      </c>
    </row>
    <row r="9" customFormat="false" ht="15" hidden="false" customHeight="false" outlineLevel="0" collapsed="false">
      <c r="A9" s="5" t="s">
        <v>138</v>
      </c>
      <c r="B9" s="5" t="s">
        <v>36</v>
      </c>
      <c r="C9" s="5" t="n">
        <v>2017</v>
      </c>
      <c r="D9" s="5" t="s">
        <v>37</v>
      </c>
      <c r="E9" s="5" t="s">
        <v>38</v>
      </c>
      <c r="F9" s="5" t="s">
        <v>39</v>
      </c>
      <c r="G9" s="6" t="n">
        <v>509</v>
      </c>
      <c r="H9" s="6" t="n">
        <v>191</v>
      </c>
      <c r="I9" s="7" t="n">
        <f aca="false">(G9-H9)/G9</f>
        <v>0.62475442043222</v>
      </c>
      <c r="J9" s="15" t="n">
        <v>0.432</v>
      </c>
      <c r="K9" s="11" t="str">
        <f aca="false">IF(I9&lt;J9,"TAK","NIE")</f>
        <v>NIE</v>
      </c>
    </row>
    <row r="10" customFormat="false" ht="15" hidden="false" customHeight="false" outlineLevel="0" collapsed="false">
      <c r="A10" s="5" t="s">
        <v>139</v>
      </c>
      <c r="B10" s="5" t="s">
        <v>36</v>
      </c>
      <c r="C10" s="5" t="n">
        <v>2017</v>
      </c>
      <c r="D10" s="5" t="s">
        <v>37</v>
      </c>
      <c r="E10" s="5" t="s">
        <v>38</v>
      </c>
      <c r="F10" s="5" t="s">
        <v>39</v>
      </c>
      <c r="G10" s="6" t="n">
        <v>451</v>
      </c>
      <c r="H10" s="6" t="n">
        <v>101</v>
      </c>
      <c r="I10" s="7" t="n">
        <f aca="false">(G10-H10)/G10</f>
        <v>0.776053215077605</v>
      </c>
      <c r="J10" s="15" t="n">
        <v>0.432</v>
      </c>
      <c r="K10" s="11" t="str">
        <f aca="false">IF(I10&lt;J10,"TAK","NIE")</f>
        <v>NIE</v>
      </c>
    </row>
    <row r="11" customFormat="false" ht="15" hidden="false" customHeight="false" outlineLevel="0" collapsed="false">
      <c r="A11" s="5" t="s">
        <v>140</v>
      </c>
      <c r="B11" s="5" t="s">
        <v>36</v>
      </c>
      <c r="C11" s="5" t="n">
        <v>2017</v>
      </c>
      <c r="D11" s="5" t="s">
        <v>37</v>
      </c>
      <c r="E11" s="5" t="s">
        <v>38</v>
      </c>
      <c r="F11" s="5" t="s">
        <v>39</v>
      </c>
      <c r="G11" s="6" t="n">
        <v>437</v>
      </c>
      <c r="H11" s="6" t="n">
        <v>156</v>
      </c>
      <c r="I11" s="7" t="n">
        <f aca="false">(G11-H11)/G11</f>
        <v>0.643020594965675</v>
      </c>
      <c r="J11" s="15" t="n">
        <v>0.432</v>
      </c>
      <c r="K11" s="11" t="str">
        <f aca="false">IF(I11&lt;J11,"TAK","NIE")</f>
        <v>NIE</v>
      </c>
    </row>
    <row r="12" customFormat="false" ht="15" hidden="false" customHeight="false" outlineLevel="0" collapsed="false">
      <c r="A12" s="5" t="s">
        <v>141</v>
      </c>
      <c r="B12" s="5" t="s">
        <v>36</v>
      </c>
      <c r="C12" s="5" t="n">
        <v>2017</v>
      </c>
      <c r="D12" s="5" t="s">
        <v>37</v>
      </c>
      <c r="E12" s="5" t="s">
        <v>38</v>
      </c>
      <c r="F12" s="5" t="s">
        <v>39</v>
      </c>
      <c r="G12" s="6" t="n">
        <v>509</v>
      </c>
      <c r="H12" s="6" t="n">
        <v>92</v>
      </c>
      <c r="I12" s="7" t="n">
        <f aca="false">(G12-H12)/G12</f>
        <v>0.819253438113949</v>
      </c>
      <c r="J12" s="15" t="n">
        <v>0.432</v>
      </c>
      <c r="K12" s="11" t="str">
        <f aca="false">IF(I12&lt;J12,"TAK","NIE")</f>
        <v>NIE</v>
      </c>
    </row>
    <row r="13" customFormat="false" ht="15" hidden="false" customHeight="false" outlineLevel="0" collapsed="false">
      <c r="A13" s="5" t="s">
        <v>142</v>
      </c>
      <c r="B13" s="5" t="s">
        <v>36</v>
      </c>
      <c r="C13" s="5" t="n">
        <v>2017</v>
      </c>
      <c r="D13" s="5" t="s">
        <v>37</v>
      </c>
      <c r="E13" s="5" t="s">
        <v>38</v>
      </c>
      <c r="F13" s="5" t="s">
        <v>39</v>
      </c>
      <c r="G13" s="6" t="n">
        <v>509</v>
      </c>
      <c r="H13" s="6" t="n">
        <v>77</v>
      </c>
      <c r="I13" s="7" t="n">
        <f aca="false">(G13-H13)/G13</f>
        <v>0.848722986247544</v>
      </c>
      <c r="J13" s="15" t="n">
        <v>0.432</v>
      </c>
      <c r="K13" s="11" t="str">
        <f aca="false">IF(I13&lt;J13,"TAK","NIE")</f>
        <v>NIE</v>
      </c>
    </row>
    <row r="14" customFormat="false" ht="15" hidden="false" customHeight="false" outlineLevel="0" collapsed="false">
      <c r="A14" s="5" t="s">
        <v>143</v>
      </c>
      <c r="B14" s="5" t="s">
        <v>36</v>
      </c>
      <c r="C14" s="5" t="n">
        <v>2017</v>
      </c>
      <c r="D14" s="5" t="s">
        <v>37</v>
      </c>
      <c r="E14" s="5" t="s">
        <v>38</v>
      </c>
      <c r="F14" s="5" t="s">
        <v>39</v>
      </c>
      <c r="G14" s="6" t="n">
        <v>488</v>
      </c>
      <c r="H14" s="6" t="n">
        <v>138</v>
      </c>
      <c r="I14" s="7" t="n">
        <f aca="false">(G14-H14)/G14</f>
        <v>0.717213114754098</v>
      </c>
      <c r="J14" s="15" t="n">
        <v>0.432</v>
      </c>
      <c r="K14" s="11" t="str">
        <f aca="false">IF(I14&lt;J14,"TAK","NIE")</f>
        <v>NIE</v>
      </c>
    </row>
    <row r="15" customFormat="false" ht="15" hidden="false" customHeight="false" outlineLevel="0" collapsed="false">
      <c r="A15" s="5" t="s">
        <v>144</v>
      </c>
      <c r="B15" s="5" t="s">
        <v>36</v>
      </c>
      <c r="C15" s="5" t="n">
        <v>2017</v>
      </c>
      <c r="D15" s="5" t="s">
        <v>37</v>
      </c>
      <c r="E15" s="5" t="s">
        <v>38</v>
      </c>
      <c r="F15" s="5" t="s">
        <v>39</v>
      </c>
      <c r="G15" s="6" t="n">
        <v>509</v>
      </c>
      <c r="H15" s="6" t="n">
        <v>116</v>
      </c>
      <c r="I15" s="7" t="n">
        <f aca="false">(G15-H15)/G15</f>
        <v>0.772102161100197</v>
      </c>
      <c r="J15" s="15" t="n">
        <v>0.432</v>
      </c>
      <c r="K15" s="11" t="str">
        <f aca="false">IF(I15&lt;J15,"TAK","NIE")</f>
        <v>NIE</v>
      </c>
    </row>
    <row r="16" customFormat="false" ht="15" hidden="false" customHeight="false" outlineLevel="0" collapsed="false">
      <c r="A16" s="5" t="s">
        <v>145</v>
      </c>
      <c r="B16" s="5" t="s">
        <v>36</v>
      </c>
      <c r="C16" s="5" t="n">
        <v>2017</v>
      </c>
      <c r="D16" s="5" t="s">
        <v>37</v>
      </c>
      <c r="E16" s="5" t="s">
        <v>38</v>
      </c>
      <c r="F16" s="5" t="s">
        <v>39</v>
      </c>
      <c r="G16" s="6" t="n">
        <v>509</v>
      </c>
      <c r="H16" s="6" t="n">
        <v>172</v>
      </c>
      <c r="I16" s="7" t="n">
        <f aca="false">(G16-H16)/G16</f>
        <v>0.662082514734774</v>
      </c>
      <c r="J16" s="15" t="n">
        <v>0.432</v>
      </c>
      <c r="K16" s="11" t="str">
        <f aca="false">IF(I16&lt;J16,"TAK","NIE")</f>
        <v>NIE</v>
      </c>
    </row>
    <row r="17" customFormat="false" ht="15" hidden="false" customHeight="false" outlineLevel="0" collapsed="false">
      <c r="A17" s="5" t="s">
        <v>146</v>
      </c>
      <c r="B17" s="5" t="s">
        <v>36</v>
      </c>
      <c r="C17" s="5" t="n">
        <v>2017</v>
      </c>
      <c r="D17" s="5" t="s">
        <v>37</v>
      </c>
      <c r="E17" s="5" t="s">
        <v>38</v>
      </c>
      <c r="F17" s="5" t="s">
        <v>39</v>
      </c>
      <c r="G17" s="6" t="n">
        <v>451</v>
      </c>
      <c r="H17" s="6" t="n">
        <v>216</v>
      </c>
      <c r="I17" s="7" t="n">
        <f aca="false">(G17-H17)/G17</f>
        <v>0.521064301552107</v>
      </c>
      <c r="J17" s="15" t="n">
        <v>0.432</v>
      </c>
      <c r="K17" s="11" t="str">
        <f aca="false">IF(I17&lt;J17,"TAK","NIE")</f>
        <v>NIE</v>
      </c>
    </row>
    <row r="18" customFormat="false" ht="15" hidden="false" customHeight="false" outlineLevel="0" collapsed="false">
      <c r="A18" s="5" t="s">
        <v>147</v>
      </c>
      <c r="B18" s="5" t="s">
        <v>36</v>
      </c>
      <c r="C18" s="5" t="n">
        <v>2017</v>
      </c>
      <c r="D18" s="5" t="s">
        <v>37</v>
      </c>
      <c r="E18" s="5" t="s">
        <v>38</v>
      </c>
      <c r="F18" s="5" t="s">
        <v>39</v>
      </c>
      <c r="G18" s="6" t="n">
        <v>451</v>
      </c>
      <c r="H18" s="6" t="n">
        <v>162</v>
      </c>
      <c r="I18" s="7" t="n">
        <f aca="false">(G18-H18)/G18</f>
        <v>0.64079822616408</v>
      </c>
      <c r="J18" s="15" t="n">
        <v>0.432</v>
      </c>
      <c r="K18" s="11" t="str">
        <f aca="false">IF(I18&lt;J18,"TAK","NIE")</f>
        <v>NIE</v>
      </c>
    </row>
    <row r="19" customFormat="false" ht="15" hidden="false" customHeight="false" outlineLevel="0" collapsed="false">
      <c r="A19" s="5" t="s">
        <v>148</v>
      </c>
      <c r="B19" s="5" t="s">
        <v>36</v>
      </c>
      <c r="C19" s="5" t="n">
        <v>2017</v>
      </c>
      <c r="D19" s="5" t="s">
        <v>37</v>
      </c>
      <c r="E19" s="5" t="s">
        <v>38</v>
      </c>
      <c r="F19" s="5" t="s">
        <v>39</v>
      </c>
      <c r="G19" s="6" t="n">
        <v>451</v>
      </c>
      <c r="H19" s="6" t="n">
        <v>235</v>
      </c>
      <c r="I19" s="7" t="n">
        <f aca="false">(G19-H19)/G19</f>
        <v>0.478935698447894</v>
      </c>
      <c r="J19" s="15" t="n">
        <v>0.432</v>
      </c>
      <c r="K19" s="11" t="str">
        <f aca="false">IF(I19&lt;J19,"TAK","NIE")</f>
        <v>NIE</v>
      </c>
    </row>
    <row r="20" customFormat="false" ht="15" hidden="false" customHeight="false" outlineLevel="0" collapsed="false">
      <c r="A20" s="5" t="s">
        <v>149</v>
      </c>
      <c r="B20" s="5" t="s">
        <v>36</v>
      </c>
      <c r="C20" s="5" t="n">
        <v>2017</v>
      </c>
      <c r="D20" s="5" t="s">
        <v>37</v>
      </c>
      <c r="E20" s="5" t="s">
        <v>38</v>
      </c>
      <c r="F20" s="5" t="s">
        <v>39</v>
      </c>
      <c r="G20" s="6" t="n">
        <v>509</v>
      </c>
      <c r="H20" s="6" t="n">
        <v>133</v>
      </c>
      <c r="I20" s="7" t="n">
        <f aca="false">(G20-H20)/G20</f>
        <v>0.738703339882122</v>
      </c>
      <c r="J20" s="15" t="n">
        <v>0.432</v>
      </c>
      <c r="K20" s="11" t="str">
        <f aca="false">IF(I20&lt;J20,"TAK","NIE")</f>
        <v>NIE</v>
      </c>
    </row>
    <row r="21" customFormat="false" ht="15" hidden="false" customHeight="false" outlineLevel="0" collapsed="false">
      <c r="A21" s="5" t="s">
        <v>150</v>
      </c>
      <c r="B21" s="5" t="s">
        <v>36</v>
      </c>
      <c r="C21" s="5" t="n">
        <v>2017</v>
      </c>
      <c r="D21" s="5" t="s">
        <v>37</v>
      </c>
      <c r="E21" s="5" t="s">
        <v>38</v>
      </c>
      <c r="F21" s="5" t="s">
        <v>39</v>
      </c>
      <c r="G21" s="6" t="n">
        <v>451</v>
      </c>
      <c r="H21" s="6" t="n">
        <v>155</v>
      </c>
      <c r="I21" s="7" t="n">
        <f aca="false">(G21-H21)/G21</f>
        <v>0.656319290465632</v>
      </c>
      <c r="J21" s="15" t="n">
        <v>0.432</v>
      </c>
      <c r="K21" s="11" t="str">
        <f aca="false">IF(I21&lt;J21,"TAK","NIE")</f>
        <v>NIE</v>
      </c>
    </row>
    <row r="22" customFormat="false" ht="15" hidden="false" customHeight="false" outlineLevel="0" collapsed="false">
      <c r="A22" s="5" t="s">
        <v>151</v>
      </c>
      <c r="B22" s="5" t="s">
        <v>36</v>
      </c>
      <c r="C22" s="5" t="n">
        <v>2017</v>
      </c>
      <c r="D22" s="5" t="s">
        <v>37</v>
      </c>
      <c r="E22" s="5" t="s">
        <v>38</v>
      </c>
      <c r="F22" s="5" t="s">
        <v>39</v>
      </c>
      <c r="G22" s="6" t="n">
        <v>498</v>
      </c>
      <c r="H22" s="6" t="n">
        <v>39</v>
      </c>
      <c r="I22" s="7" t="n">
        <f aca="false">(G22-H22)/G22</f>
        <v>0.921686746987952</v>
      </c>
      <c r="J22" s="15" t="n">
        <v>0.432</v>
      </c>
      <c r="K22" s="11" t="str">
        <f aca="false">IF(I22&lt;J22,"TAK","NIE")</f>
        <v>NIE</v>
      </c>
    </row>
    <row r="23" customFormat="false" ht="15" hidden="false" customHeight="false" outlineLevel="0" collapsed="false">
      <c r="A23" s="5" t="s">
        <v>152</v>
      </c>
      <c r="B23" s="5" t="s">
        <v>36</v>
      </c>
      <c r="C23" s="5" t="n">
        <v>2017</v>
      </c>
      <c r="D23" s="5" t="s">
        <v>37</v>
      </c>
      <c r="E23" s="5" t="s">
        <v>38</v>
      </c>
      <c r="F23" s="5" t="s">
        <v>39</v>
      </c>
      <c r="G23" s="6" t="n">
        <v>451</v>
      </c>
      <c r="H23" s="6" t="n">
        <v>101</v>
      </c>
      <c r="I23" s="7" t="n">
        <f aca="false">(G23-H23)/G23</f>
        <v>0.776053215077605</v>
      </c>
      <c r="J23" s="15" t="n">
        <v>0.432</v>
      </c>
      <c r="K23" s="11" t="str">
        <f aca="false">IF(I23&lt;J23,"TAK","NIE")</f>
        <v>NIE</v>
      </c>
    </row>
    <row r="24" customFormat="false" ht="15" hidden="false" customHeight="false" outlineLevel="0" collapsed="false">
      <c r="A24" s="5" t="s">
        <v>153</v>
      </c>
      <c r="B24" s="5" t="s">
        <v>36</v>
      </c>
      <c r="C24" s="5" t="n">
        <v>2017</v>
      </c>
      <c r="D24" s="5" t="s">
        <v>37</v>
      </c>
      <c r="E24" s="5" t="s">
        <v>38</v>
      </c>
      <c r="F24" s="5" t="s">
        <v>39</v>
      </c>
      <c r="G24" s="6" t="n">
        <v>509</v>
      </c>
      <c r="H24" s="6" t="n">
        <v>182</v>
      </c>
      <c r="I24" s="7" t="n">
        <f aca="false">(G24-H24)/G24</f>
        <v>0.642436149312377</v>
      </c>
      <c r="J24" s="15" t="n">
        <v>0.432</v>
      </c>
      <c r="K24" s="11" t="str">
        <f aca="false">IF(I24&lt;J24,"TAK","NIE")</f>
        <v>NIE</v>
      </c>
    </row>
    <row r="25" customFormat="false" ht="15" hidden="false" customHeight="false" outlineLevel="0" collapsed="false">
      <c r="A25" s="5" t="s">
        <v>130</v>
      </c>
      <c r="B25" s="5" t="s">
        <v>36</v>
      </c>
      <c r="C25" s="5" t="n">
        <v>2017</v>
      </c>
      <c r="D25" s="5" t="s">
        <v>37</v>
      </c>
      <c r="E25" s="5" t="s">
        <v>38</v>
      </c>
      <c r="F25" s="5" t="s">
        <v>40</v>
      </c>
      <c r="G25" s="6" t="n">
        <v>472</v>
      </c>
      <c r="H25" s="6" t="n">
        <v>146</v>
      </c>
      <c r="I25" s="7" t="n">
        <f aca="false">(G25-H25)/G25</f>
        <v>0.690677966101695</v>
      </c>
      <c r="J25" s="15" t="n">
        <v>0.3905</v>
      </c>
      <c r="K25" s="11" t="str">
        <f aca="false">IF(I25&lt;J25,"TAK","NIE")</f>
        <v>NIE</v>
      </c>
    </row>
    <row r="26" customFormat="false" ht="15" hidden="false" customHeight="false" outlineLevel="0" collapsed="false">
      <c r="A26" s="5" t="s">
        <v>132</v>
      </c>
      <c r="B26" s="5" t="s">
        <v>36</v>
      </c>
      <c r="C26" s="5" t="n">
        <v>2017</v>
      </c>
      <c r="D26" s="5" t="s">
        <v>37</v>
      </c>
      <c r="E26" s="5" t="s">
        <v>38</v>
      </c>
      <c r="F26" s="5" t="s">
        <v>40</v>
      </c>
      <c r="G26" s="6" t="n">
        <v>472</v>
      </c>
      <c r="H26" s="6" t="n">
        <v>211</v>
      </c>
      <c r="I26" s="7" t="n">
        <f aca="false">(G26-H26)/G26</f>
        <v>0.552966101694915</v>
      </c>
      <c r="J26" s="15" t="n">
        <v>0.3905</v>
      </c>
      <c r="K26" s="11" t="str">
        <f aca="false">IF(I26&lt;J26,"TAK","NIE")</f>
        <v>NIE</v>
      </c>
    </row>
    <row r="27" customFormat="false" ht="15" hidden="false" customHeight="false" outlineLevel="0" collapsed="false">
      <c r="A27" s="5" t="s">
        <v>133</v>
      </c>
      <c r="B27" s="5" t="s">
        <v>36</v>
      </c>
      <c r="C27" s="5" t="n">
        <v>2017</v>
      </c>
      <c r="D27" s="5" t="s">
        <v>37</v>
      </c>
      <c r="E27" s="5" t="s">
        <v>38</v>
      </c>
      <c r="F27" s="5" t="s">
        <v>40</v>
      </c>
      <c r="G27" s="6" t="n">
        <v>471</v>
      </c>
      <c r="H27" s="6" t="n">
        <v>166</v>
      </c>
      <c r="I27" s="7" t="n">
        <f aca="false">(G27-H27)/G27</f>
        <v>0.64755838641189</v>
      </c>
      <c r="J27" s="15" t="n">
        <v>0.3905</v>
      </c>
      <c r="K27" s="11" t="str">
        <f aca="false">IF(I27&lt;J27,"TAK","NIE")</f>
        <v>NIE</v>
      </c>
    </row>
    <row r="28" customFormat="false" ht="15" hidden="false" customHeight="false" outlineLevel="0" collapsed="false">
      <c r="A28" s="5" t="s">
        <v>134</v>
      </c>
      <c r="B28" s="5" t="s">
        <v>36</v>
      </c>
      <c r="C28" s="5" t="n">
        <v>2017</v>
      </c>
      <c r="D28" s="5" t="s">
        <v>37</v>
      </c>
      <c r="E28" s="5" t="s">
        <v>38</v>
      </c>
      <c r="F28" s="5" t="s">
        <v>40</v>
      </c>
      <c r="G28" s="6" t="n">
        <v>472</v>
      </c>
      <c r="H28" s="6" t="n">
        <v>188</v>
      </c>
      <c r="I28" s="7" t="n">
        <f aca="false">(G28-H28)/G28</f>
        <v>0.601694915254237</v>
      </c>
      <c r="J28" s="15" t="n">
        <v>0.3905</v>
      </c>
      <c r="K28" s="11" t="str">
        <f aca="false">IF(I28&lt;J28,"TAK","NIE")</f>
        <v>NIE</v>
      </c>
    </row>
    <row r="29" customFormat="false" ht="15" hidden="false" customHeight="false" outlineLevel="0" collapsed="false">
      <c r="A29" s="5" t="s">
        <v>135</v>
      </c>
      <c r="B29" s="5" t="s">
        <v>36</v>
      </c>
      <c r="C29" s="5" t="n">
        <v>2017</v>
      </c>
      <c r="D29" s="5" t="s">
        <v>37</v>
      </c>
      <c r="E29" s="5" t="s">
        <v>38</v>
      </c>
      <c r="F29" s="5" t="s">
        <v>40</v>
      </c>
      <c r="G29" s="6" t="n">
        <v>943</v>
      </c>
      <c r="H29" s="6" t="n">
        <v>170</v>
      </c>
      <c r="I29" s="7" t="n">
        <f aca="false">(G29-H29)/G29</f>
        <v>0.819724284199364</v>
      </c>
      <c r="J29" s="15" t="n">
        <v>0.3905</v>
      </c>
      <c r="K29" s="11" t="str">
        <f aca="false">IF(I29&lt;J29,"TAK","NIE")</f>
        <v>NIE</v>
      </c>
    </row>
    <row r="30" customFormat="false" ht="15" hidden="false" customHeight="false" outlineLevel="0" collapsed="false">
      <c r="A30" s="5" t="s">
        <v>136</v>
      </c>
      <c r="B30" s="5" t="s">
        <v>36</v>
      </c>
      <c r="C30" s="5" t="n">
        <v>2017</v>
      </c>
      <c r="D30" s="5" t="s">
        <v>37</v>
      </c>
      <c r="E30" s="5" t="s">
        <v>38</v>
      </c>
      <c r="F30" s="5" t="s">
        <v>40</v>
      </c>
      <c r="G30" s="6" t="n">
        <v>472</v>
      </c>
      <c r="H30" s="6" t="n">
        <v>46</v>
      </c>
      <c r="I30" s="7" t="n">
        <f aca="false">(G30-H30)/G30</f>
        <v>0.902542372881356</v>
      </c>
      <c r="J30" s="15" t="n">
        <v>0.3905</v>
      </c>
      <c r="K30" s="11" t="str">
        <f aca="false">IF(I30&lt;J30,"TAK","NIE")</f>
        <v>NIE</v>
      </c>
    </row>
    <row r="31" customFormat="false" ht="15" hidden="false" customHeight="false" outlineLevel="0" collapsed="false">
      <c r="A31" s="5" t="s">
        <v>137</v>
      </c>
      <c r="B31" s="5" t="s">
        <v>36</v>
      </c>
      <c r="C31" s="5" t="n">
        <v>2017</v>
      </c>
      <c r="D31" s="5" t="s">
        <v>37</v>
      </c>
      <c r="E31" s="5" t="s">
        <v>38</v>
      </c>
      <c r="F31" s="5" t="s">
        <v>40</v>
      </c>
      <c r="G31" s="6" t="n">
        <v>472</v>
      </c>
      <c r="H31" s="6" t="n">
        <v>164</v>
      </c>
      <c r="I31" s="7" t="n">
        <f aca="false">(G31-H31)/G31</f>
        <v>0.652542372881356</v>
      </c>
      <c r="J31" s="15" t="n">
        <v>0.3905</v>
      </c>
      <c r="K31" s="11" t="str">
        <f aca="false">IF(I31&lt;J31,"TAK","NIE")</f>
        <v>NIE</v>
      </c>
    </row>
    <row r="32" customFormat="false" ht="15" hidden="false" customHeight="false" outlineLevel="0" collapsed="false">
      <c r="A32" s="5" t="s">
        <v>138</v>
      </c>
      <c r="B32" s="5" t="s">
        <v>36</v>
      </c>
      <c r="C32" s="5" t="n">
        <v>2017</v>
      </c>
      <c r="D32" s="5" t="s">
        <v>37</v>
      </c>
      <c r="E32" s="5" t="s">
        <v>38</v>
      </c>
      <c r="F32" s="5" t="s">
        <v>40</v>
      </c>
      <c r="G32" s="6" t="n">
        <v>471</v>
      </c>
      <c r="H32" s="6" t="n">
        <v>158</v>
      </c>
      <c r="I32" s="7" t="n">
        <f aca="false">(G32-H32)/G32</f>
        <v>0.664543524416136</v>
      </c>
      <c r="J32" s="15" t="n">
        <v>0.3905</v>
      </c>
      <c r="K32" s="11" t="str">
        <f aca="false">IF(I32&lt;J32,"TAK","NIE")</f>
        <v>NIE</v>
      </c>
    </row>
    <row r="33" customFormat="false" ht="15" hidden="false" customHeight="false" outlineLevel="0" collapsed="false">
      <c r="A33" s="5" t="s">
        <v>139</v>
      </c>
      <c r="B33" s="5" t="s">
        <v>36</v>
      </c>
      <c r="C33" s="5" t="n">
        <v>2017</v>
      </c>
      <c r="D33" s="5" t="s">
        <v>37</v>
      </c>
      <c r="E33" s="5" t="s">
        <v>38</v>
      </c>
      <c r="F33" s="5" t="s">
        <v>40</v>
      </c>
      <c r="G33" s="6" t="n">
        <v>472</v>
      </c>
      <c r="H33" s="6" t="n">
        <v>50</v>
      </c>
      <c r="I33" s="7" t="n">
        <f aca="false">(G33-H33)/G33</f>
        <v>0.894067796610169</v>
      </c>
      <c r="J33" s="15" t="n">
        <v>0.3905</v>
      </c>
      <c r="K33" s="11" t="str">
        <f aca="false">IF(I33&lt;J33,"TAK","NIE")</f>
        <v>NIE</v>
      </c>
    </row>
    <row r="34" customFormat="false" ht="15" hidden="false" customHeight="false" outlineLevel="0" collapsed="false">
      <c r="A34" s="5" t="s">
        <v>140</v>
      </c>
      <c r="B34" s="5" t="s">
        <v>36</v>
      </c>
      <c r="C34" s="5" t="n">
        <v>2017</v>
      </c>
      <c r="D34" s="5" t="s">
        <v>37</v>
      </c>
      <c r="E34" s="5" t="s">
        <v>38</v>
      </c>
      <c r="F34" s="5" t="s">
        <v>40</v>
      </c>
      <c r="G34" s="6" t="n">
        <v>472</v>
      </c>
      <c r="H34" s="6" t="n">
        <v>101</v>
      </c>
      <c r="I34" s="7" t="n">
        <f aca="false">(G34-H34)/G34</f>
        <v>0.786016949152542</v>
      </c>
      <c r="J34" s="15" t="n">
        <v>0.3905</v>
      </c>
      <c r="K34" s="11" t="str">
        <f aca="false">IF(I34&lt;J34,"TAK","NIE")</f>
        <v>NIE</v>
      </c>
    </row>
    <row r="35" customFormat="false" ht="15" hidden="false" customHeight="false" outlineLevel="0" collapsed="false">
      <c r="A35" s="5" t="s">
        <v>141</v>
      </c>
      <c r="B35" s="5" t="s">
        <v>36</v>
      </c>
      <c r="C35" s="5" t="n">
        <v>2017</v>
      </c>
      <c r="D35" s="5" t="s">
        <v>37</v>
      </c>
      <c r="E35" s="5" t="s">
        <v>38</v>
      </c>
      <c r="F35" s="5" t="s">
        <v>40</v>
      </c>
      <c r="G35" s="6" t="n">
        <v>471</v>
      </c>
      <c r="H35" s="6" t="n">
        <v>19</v>
      </c>
      <c r="I35" s="7" t="n">
        <f aca="false">(G35-H35)/G35</f>
        <v>0.959660297239915</v>
      </c>
      <c r="J35" s="15" t="n">
        <v>0.3905</v>
      </c>
      <c r="K35" s="11" t="str">
        <f aca="false">IF(I35&lt;J35,"TAK","NIE")</f>
        <v>NIE</v>
      </c>
    </row>
    <row r="36" customFormat="false" ht="15" hidden="false" customHeight="false" outlineLevel="0" collapsed="false">
      <c r="A36" s="5" t="s">
        <v>142</v>
      </c>
      <c r="B36" s="5" t="s">
        <v>36</v>
      </c>
      <c r="C36" s="5" t="n">
        <v>2017</v>
      </c>
      <c r="D36" s="5" t="s">
        <v>37</v>
      </c>
      <c r="E36" s="5" t="s">
        <v>38</v>
      </c>
      <c r="F36" s="5" t="s">
        <v>40</v>
      </c>
      <c r="G36" s="6" t="n">
        <v>471</v>
      </c>
      <c r="H36" s="6" t="n">
        <v>84</v>
      </c>
      <c r="I36" s="7" t="n">
        <f aca="false">(G36-H36)/G36</f>
        <v>0.821656050955414</v>
      </c>
      <c r="J36" s="15" t="n">
        <v>0.3905</v>
      </c>
      <c r="K36" s="11" t="str">
        <f aca="false">IF(I36&lt;J36,"TAK","NIE")</f>
        <v>NIE</v>
      </c>
    </row>
    <row r="37" customFormat="false" ht="15" hidden="false" customHeight="false" outlineLevel="0" collapsed="false">
      <c r="A37" s="5" t="s">
        <v>143</v>
      </c>
      <c r="B37" s="5" t="s">
        <v>36</v>
      </c>
      <c r="C37" s="5" t="n">
        <v>2017</v>
      </c>
      <c r="D37" s="5" t="s">
        <v>37</v>
      </c>
      <c r="E37" s="5" t="s">
        <v>38</v>
      </c>
      <c r="F37" s="5" t="s">
        <v>40</v>
      </c>
      <c r="G37" s="6" t="n">
        <v>471</v>
      </c>
      <c r="H37" s="6" t="n">
        <v>115</v>
      </c>
      <c r="I37" s="7" t="n">
        <f aca="false">(G37-H37)/G37</f>
        <v>0.75583864118896</v>
      </c>
      <c r="J37" s="15" t="n">
        <v>0.3905</v>
      </c>
      <c r="K37" s="11" t="str">
        <f aca="false">IF(I37&lt;J37,"TAK","NIE")</f>
        <v>NIE</v>
      </c>
    </row>
    <row r="38" customFormat="false" ht="15" hidden="false" customHeight="false" outlineLevel="0" collapsed="false">
      <c r="A38" s="5" t="s">
        <v>144</v>
      </c>
      <c r="B38" s="5" t="s">
        <v>36</v>
      </c>
      <c r="C38" s="5" t="n">
        <v>2017</v>
      </c>
      <c r="D38" s="5" t="s">
        <v>37</v>
      </c>
      <c r="E38" s="5" t="s">
        <v>38</v>
      </c>
      <c r="F38" s="5" t="s">
        <v>40</v>
      </c>
      <c r="G38" s="6" t="n">
        <v>471</v>
      </c>
      <c r="H38" s="6" t="n">
        <v>166</v>
      </c>
      <c r="I38" s="7" t="n">
        <f aca="false">(G38-H38)/G38</f>
        <v>0.64755838641189</v>
      </c>
      <c r="J38" s="15" t="n">
        <v>0.3905</v>
      </c>
      <c r="K38" s="11" t="str">
        <f aca="false">IF(I38&lt;J38,"TAK","NIE")</f>
        <v>NIE</v>
      </c>
    </row>
    <row r="39" customFormat="false" ht="15" hidden="false" customHeight="false" outlineLevel="0" collapsed="false">
      <c r="A39" s="5" t="s">
        <v>145</v>
      </c>
      <c r="B39" s="5" t="s">
        <v>36</v>
      </c>
      <c r="C39" s="5" t="n">
        <v>2017</v>
      </c>
      <c r="D39" s="5" t="s">
        <v>37</v>
      </c>
      <c r="E39" s="5" t="s">
        <v>38</v>
      </c>
      <c r="F39" s="5" t="s">
        <v>40</v>
      </c>
      <c r="G39" s="6" t="n">
        <v>471</v>
      </c>
      <c r="H39" s="6" t="n">
        <v>148</v>
      </c>
      <c r="I39" s="7" t="n">
        <f aca="false">(G39-H39)/G39</f>
        <v>0.685774946921444</v>
      </c>
      <c r="J39" s="15" t="n">
        <v>0.3905</v>
      </c>
      <c r="K39" s="11" t="str">
        <f aca="false">IF(I39&lt;J39,"TAK","NIE")</f>
        <v>NIE</v>
      </c>
    </row>
    <row r="40" customFormat="false" ht="15" hidden="false" customHeight="false" outlineLevel="0" collapsed="false">
      <c r="A40" s="5" t="s">
        <v>146</v>
      </c>
      <c r="B40" s="5" t="s">
        <v>36</v>
      </c>
      <c r="C40" s="5" t="n">
        <v>2017</v>
      </c>
      <c r="D40" s="5" t="s">
        <v>37</v>
      </c>
      <c r="E40" s="5" t="s">
        <v>38</v>
      </c>
      <c r="F40" s="5" t="s">
        <v>40</v>
      </c>
      <c r="G40" s="6" t="n">
        <v>472</v>
      </c>
      <c r="H40" s="6" t="n">
        <v>204</v>
      </c>
      <c r="I40" s="7" t="n">
        <f aca="false">(G40-H40)/G40</f>
        <v>0.567796610169492</v>
      </c>
      <c r="J40" s="15" t="n">
        <v>0.3905</v>
      </c>
      <c r="K40" s="11" t="str">
        <f aca="false">IF(I40&lt;J40,"TAK","NIE")</f>
        <v>NIE</v>
      </c>
    </row>
    <row r="41" customFormat="false" ht="15" hidden="false" customHeight="false" outlineLevel="0" collapsed="false">
      <c r="A41" s="5" t="s">
        <v>147</v>
      </c>
      <c r="B41" s="5" t="s">
        <v>36</v>
      </c>
      <c r="C41" s="5" t="n">
        <v>2017</v>
      </c>
      <c r="D41" s="5" t="s">
        <v>37</v>
      </c>
      <c r="E41" s="5" t="s">
        <v>38</v>
      </c>
      <c r="F41" s="5" t="s">
        <v>40</v>
      </c>
      <c r="G41" s="6" t="n">
        <v>472</v>
      </c>
      <c r="H41" s="6" t="n">
        <v>206</v>
      </c>
      <c r="I41" s="7" t="n">
        <f aca="false">(G41-H41)/G41</f>
        <v>0.563559322033898</v>
      </c>
      <c r="J41" s="15" t="n">
        <v>0.3905</v>
      </c>
      <c r="K41" s="11" t="str">
        <f aca="false">IF(I41&lt;J41,"TAK","NIE")</f>
        <v>NIE</v>
      </c>
    </row>
    <row r="42" customFormat="false" ht="15" hidden="false" customHeight="false" outlineLevel="0" collapsed="false">
      <c r="A42" s="5" t="s">
        <v>148</v>
      </c>
      <c r="B42" s="5" t="s">
        <v>36</v>
      </c>
      <c r="C42" s="5" t="n">
        <v>2017</v>
      </c>
      <c r="D42" s="5" t="s">
        <v>37</v>
      </c>
      <c r="E42" s="5" t="s">
        <v>38</v>
      </c>
      <c r="F42" s="5" t="s">
        <v>40</v>
      </c>
      <c r="G42" s="6" t="n">
        <v>472</v>
      </c>
      <c r="H42" s="6" t="n">
        <v>188</v>
      </c>
      <c r="I42" s="7" t="n">
        <f aca="false">(G42-H42)/G42</f>
        <v>0.601694915254237</v>
      </c>
      <c r="J42" s="15" t="n">
        <v>0.3905</v>
      </c>
      <c r="K42" s="11" t="str">
        <f aca="false">IF(I42&lt;J42,"TAK","NIE")</f>
        <v>NIE</v>
      </c>
    </row>
    <row r="43" customFormat="false" ht="15" hidden="false" customHeight="false" outlineLevel="0" collapsed="false">
      <c r="A43" s="5" t="s">
        <v>149</v>
      </c>
      <c r="B43" s="5" t="s">
        <v>36</v>
      </c>
      <c r="C43" s="5" t="n">
        <v>2017</v>
      </c>
      <c r="D43" s="5" t="s">
        <v>37</v>
      </c>
      <c r="E43" s="5" t="s">
        <v>38</v>
      </c>
      <c r="F43" s="5" t="s">
        <v>40</v>
      </c>
      <c r="G43" s="6" t="n">
        <v>471</v>
      </c>
      <c r="H43" s="6" t="n">
        <v>104</v>
      </c>
      <c r="I43" s="7" t="n">
        <f aca="false">(G43-H43)/G43</f>
        <v>0.779193205944798</v>
      </c>
      <c r="J43" s="15" t="n">
        <v>0.3905</v>
      </c>
      <c r="K43" s="11" t="str">
        <f aca="false">IF(I43&lt;J43,"TAK","NIE")</f>
        <v>NIE</v>
      </c>
    </row>
    <row r="44" customFormat="false" ht="15" hidden="false" customHeight="false" outlineLevel="0" collapsed="false">
      <c r="A44" s="5" t="s">
        <v>150</v>
      </c>
      <c r="B44" s="5" t="s">
        <v>36</v>
      </c>
      <c r="C44" s="5" t="n">
        <v>2017</v>
      </c>
      <c r="D44" s="5" t="s">
        <v>37</v>
      </c>
      <c r="E44" s="5" t="s">
        <v>38</v>
      </c>
      <c r="F44" s="5" t="s">
        <v>40</v>
      </c>
      <c r="G44" s="6" t="n">
        <v>472</v>
      </c>
      <c r="H44" s="6" t="n">
        <v>123</v>
      </c>
      <c r="I44" s="7" t="n">
        <f aca="false">(G44-H44)/G44</f>
        <v>0.739406779661017</v>
      </c>
      <c r="J44" s="15" t="n">
        <v>0.3905</v>
      </c>
      <c r="K44" s="11" t="str">
        <f aca="false">IF(I44&lt;J44,"TAK","NIE")</f>
        <v>NIE</v>
      </c>
    </row>
    <row r="45" customFormat="false" ht="15" hidden="false" customHeight="false" outlineLevel="0" collapsed="false">
      <c r="A45" s="5" t="s">
        <v>151</v>
      </c>
      <c r="B45" s="5" t="s">
        <v>36</v>
      </c>
      <c r="C45" s="5" t="n">
        <v>2017</v>
      </c>
      <c r="D45" s="5" t="s">
        <v>37</v>
      </c>
      <c r="E45" s="5" t="s">
        <v>38</v>
      </c>
      <c r="F45" s="5" t="s">
        <v>40</v>
      </c>
      <c r="G45" s="6" t="n">
        <v>471</v>
      </c>
      <c r="H45" s="6" t="n">
        <v>128</v>
      </c>
      <c r="I45" s="7" t="n">
        <f aca="false">(G45-H45)/G45</f>
        <v>0.728237791932059</v>
      </c>
      <c r="J45" s="15" t="n">
        <v>0.3905</v>
      </c>
      <c r="K45" s="11" t="str">
        <f aca="false">IF(I45&lt;J45,"TAK","NIE")</f>
        <v>NIE</v>
      </c>
    </row>
    <row r="46" customFormat="false" ht="15" hidden="false" customHeight="false" outlineLevel="0" collapsed="false">
      <c r="A46" s="5" t="s">
        <v>152</v>
      </c>
      <c r="B46" s="5" t="s">
        <v>36</v>
      </c>
      <c r="C46" s="5" t="n">
        <v>2017</v>
      </c>
      <c r="D46" s="5" t="s">
        <v>37</v>
      </c>
      <c r="E46" s="5" t="s">
        <v>38</v>
      </c>
      <c r="F46" s="5" t="s">
        <v>40</v>
      </c>
      <c r="G46" s="6" t="n">
        <v>472</v>
      </c>
      <c r="H46" s="6" t="n">
        <v>70</v>
      </c>
      <c r="I46" s="7" t="n">
        <f aca="false">(G46-H46)/G46</f>
        <v>0.851694915254237</v>
      </c>
      <c r="J46" s="15" t="n">
        <v>0.3905</v>
      </c>
      <c r="K46" s="11" t="str">
        <f aca="false">IF(I46&lt;J46,"TAK","NIE")</f>
        <v>NIE</v>
      </c>
    </row>
    <row r="47" customFormat="false" ht="15" hidden="false" customHeight="false" outlineLevel="0" collapsed="false">
      <c r="A47" s="5" t="s">
        <v>153</v>
      </c>
      <c r="B47" s="5" t="s">
        <v>36</v>
      </c>
      <c r="C47" s="5" t="n">
        <v>2017</v>
      </c>
      <c r="D47" s="5" t="s">
        <v>37</v>
      </c>
      <c r="E47" s="5" t="s">
        <v>38</v>
      </c>
      <c r="F47" s="5" t="s">
        <v>40</v>
      </c>
      <c r="G47" s="6" t="n">
        <v>471</v>
      </c>
      <c r="H47" s="6" t="n">
        <v>175</v>
      </c>
      <c r="I47" s="7" t="n">
        <f aca="false">(G47-H47)/G47</f>
        <v>0.628450106157113</v>
      </c>
      <c r="J47" s="15" t="n">
        <v>0.3905</v>
      </c>
      <c r="K47" s="11" t="str">
        <f aca="false">IF(I47&lt;J47,"TAK","NIE")</f>
        <v>NIE</v>
      </c>
    </row>
    <row r="48" customFormat="false" ht="15" hidden="false" customHeight="false" outlineLevel="0" collapsed="false">
      <c r="A48" s="5" t="s">
        <v>154</v>
      </c>
      <c r="B48" s="5" t="s">
        <v>41</v>
      </c>
      <c r="C48" s="5" t="n">
        <v>2017</v>
      </c>
      <c r="D48" s="5" t="s">
        <v>42</v>
      </c>
      <c r="E48" s="5" t="s">
        <v>38</v>
      </c>
      <c r="F48" s="5" t="s">
        <v>39</v>
      </c>
      <c r="G48" s="6" t="n">
        <v>510</v>
      </c>
      <c r="H48" s="6" t="n">
        <v>153</v>
      </c>
      <c r="I48" s="7" t="n">
        <f aca="false">(G48-H48)/G48</f>
        <v>0.7</v>
      </c>
      <c r="J48" s="15" t="n">
        <v>0.3285</v>
      </c>
      <c r="K48" s="11" t="str">
        <f aca="false">IF(I48&lt;J48,"TAK","NIE")</f>
        <v>NIE</v>
      </c>
    </row>
    <row r="49" customFormat="false" ht="15" hidden="false" customHeight="false" outlineLevel="0" collapsed="false">
      <c r="A49" s="5" t="s">
        <v>155</v>
      </c>
      <c r="B49" s="5" t="s">
        <v>41</v>
      </c>
      <c r="C49" s="5" t="n">
        <v>2017</v>
      </c>
      <c r="D49" s="5" t="s">
        <v>42</v>
      </c>
      <c r="E49" s="5" t="s">
        <v>38</v>
      </c>
      <c r="F49" s="5" t="s">
        <v>39</v>
      </c>
      <c r="G49" s="6" t="n">
        <v>508</v>
      </c>
      <c r="H49" s="6" t="n">
        <v>263</v>
      </c>
      <c r="I49" s="7" t="n">
        <f aca="false">(G49-H49)/G49</f>
        <v>0.482283464566929</v>
      </c>
      <c r="J49" s="15" t="n">
        <v>0.3285</v>
      </c>
      <c r="K49" s="11" t="str">
        <f aca="false">IF(I49&lt;J49,"TAK","NIE")</f>
        <v>NIE</v>
      </c>
    </row>
    <row r="50" customFormat="false" ht="15" hidden="false" customHeight="false" outlineLevel="0" collapsed="false">
      <c r="A50" s="5" t="s">
        <v>156</v>
      </c>
      <c r="B50" s="5" t="s">
        <v>41</v>
      </c>
      <c r="C50" s="5" t="n">
        <v>2017</v>
      </c>
      <c r="D50" s="5" t="s">
        <v>42</v>
      </c>
      <c r="E50" s="5" t="s">
        <v>38</v>
      </c>
      <c r="F50" s="5" t="s">
        <v>39</v>
      </c>
      <c r="G50" s="6" t="n">
        <v>510</v>
      </c>
      <c r="H50" s="6" t="n">
        <v>37</v>
      </c>
      <c r="I50" s="7" t="n">
        <f aca="false">(G50-H50)/G50</f>
        <v>0.927450980392157</v>
      </c>
      <c r="J50" s="15" t="n">
        <v>0.3285</v>
      </c>
      <c r="K50" s="11" t="str">
        <f aca="false">IF(I50&lt;J50,"TAK","NIE")</f>
        <v>NIE</v>
      </c>
    </row>
    <row r="51" customFormat="false" ht="15" hidden="false" customHeight="false" outlineLevel="0" collapsed="false">
      <c r="A51" s="5" t="s">
        <v>157</v>
      </c>
      <c r="B51" s="5" t="s">
        <v>41</v>
      </c>
      <c r="C51" s="5" t="n">
        <v>2017</v>
      </c>
      <c r="D51" s="5" t="s">
        <v>42</v>
      </c>
      <c r="E51" s="5" t="s">
        <v>38</v>
      </c>
      <c r="F51" s="5" t="s">
        <v>39</v>
      </c>
      <c r="G51" s="6" t="n">
        <v>508</v>
      </c>
      <c r="H51" s="6" t="n">
        <v>156</v>
      </c>
      <c r="I51" s="7" t="n">
        <f aca="false">(G51-H51)/G51</f>
        <v>0.692913385826772</v>
      </c>
      <c r="J51" s="15" t="n">
        <v>0.3285</v>
      </c>
      <c r="K51" s="11" t="str">
        <f aca="false">IF(I51&lt;J51,"TAK","NIE")</f>
        <v>NIE</v>
      </c>
    </row>
    <row r="52" customFormat="false" ht="15" hidden="false" customHeight="false" outlineLevel="0" collapsed="false">
      <c r="A52" s="5" t="s">
        <v>158</v>
      </c>
      <c r="B52" s="5" t="s">
        <v>41</v>
      </c>
      <c r="C52" s="5" t="n">
        <v>2017</v>
      </c>
      <c r="D52" s="5" t="s">
        <v>42</v>
      </c>
      <c r="E52" s="5" t="s">
        <v>38</v>
      </c>
      <c r="F52" s="5" t="s">
        <v>39</v>
      </c>
      <c r="G52" s="6" t="n">
        <v>498</v>
      </c>
      <c r="H52" s="6" t="n">
        <v>115</v>
      </c>
      <c r="I52" s="7" t="n">
        <f aca="false">(G52-H52)/G52</f>
        <v>0.769076305220884</v>
      </c>
      <c r="J52" s="15" t="n">
        <v>0.3285</v>
      </c>
      <c r="K52" s="11" t="str">
        <f aca="false">IF(I52&lt;J52,"TAK","NIE")</f>
        <v>NIE</v>
      </c>
    </row>
    <row r="53" customFormat="false" ht="15" hidden="false" customHeight="false" outlineLevel="0" collapsed="false">
      <c r="A53" s="5" t="s">
        <v>159</v>
      </c>
      <c r="B53" s="5" t="s">
        <v>41</v>
      </c>
      <c r="C53" s="5" t="n">
        <v>2017</v>
      </c>
      <c r="D53" s="5" t="s">
        <v>42</v>
      </c>
      <c r="E53" s="5" t="s">
        <v>38</v>
      </c>
      <c r="F53" s="5" t="s">
        <v>39</v>
      </c>
      <c r="G53" s="6" t="n">
        <v>508</v>
      </c>
      <c r="H53" s="6" t="n">
        <v>128</v>
      </c>
      <c r="I53" s="7" t="n">
        <f aca="false">(G53-H53)/G53</f>
        <v>0.748031496062992</v>
      </c>
      <c r="J53" s="15" t="n">
        <v>0.3285</v>
      </c>
      <c r="K53" s="11" t="str">
        <f aca="false">IF(I53&lt;J53,"TAK","NIE")</f>
        <v>NIE</v>
      </c>
    </row>
    <row r="54" customFormat="false" ht="15" hidden="false" customHeight="false" outlineLevel="0" collapsed="false">
      <c r="A54" s="5" t="s">
        <v>160</v>
      </c>
      <c r="B54" s="5" t="s">
        <v>41</v>
      </c>
      <c r="C54" s="5" t="n">
        <v>2017</v>
      </c>
      <c r="D54" s="5" t="s">
        <v>42</v>
      </c>
      <c r="E54" s="5" t="s">
        <v>38</v>
      </c>
      <c r="F54" s="5" t="s">
        <v>39</v>
      </c>
      <c r="G54" s="6" t="n">
        <v>510</v>
      </c>
      <c r="H54" s="6" t="n">
        <v>190</v>
      </c>
      <c r="I54" s="7" t="n">
        <f aca="false">(G54-H54)/G54</f>
        <v>0.627450980392157</v>
      </c>
      <c r="J54" s="15" t="n">
        <v>0.3285</v>
      </c>
      <c r="K54" s="11" t="str">
        <f aca="false">IF(I54&lt;J54,"TAK","NIE")</f>
        <v>NIE</v>
      </c>
    </row>
    <row r="55" customFormat="false" ht="15" hidden="false" customHeight="false" outlineLevel="0" collapsed="false">
      <c r="A55" s="5" t="s">
        <v>161</v>
      </c>
      <c r="B55" s="5" t="s">
        <v>41</v>
      </c>
      <c r="C55" s="5" t="n">
        <v>2017</v>
      </c>
      <c r="D55" s="5" t="s">
        <v>42</v>
      </c>
      <c r="E55" s="5" t="s">
        <v>38</v>
      </c>
      <c r="F55" s="5" t="s">
        <v>39</v>
      </c>
      <c r="G55" s="6" t="n">
        <v>508</v>
      </c>
      <c r="H55" s="6" t="n">
        <v>22</v>
      </c>
      <c r="I55" s="7" t="n">
        <f aca="false">(G55-H55)/G55</f>
        <v>0.956692913385827</v>
      </c>
      <c r="J55" s="15" t="n">
        <v>0.3285</v>
      </c>
      <c r="K55" s="11" t="str">
        <f aca="false">IF(I55&lt;J55,"TAK","NIE")</f>
        <v>NIE</v>
      </c>
    </row>
    <row r="56" customFormat="false" ht="15" hidden="false" customHeight="false" outlineLevel="0" collapsed="false">
      <c r="A56" s="5" t="s">
        <v>162</v>
      </c>
      <c r="B56" s="5" t="s">
        <v>41</v>
      </c>
      <c r="C56" s="5" t="n">
        <v>2017</v>
      </c>
      <c r="D56" s="5" t="s">
        <v>42</v>
      </c>
      <c r="E56" s="5" t="s">
        <v>38</v>
      </c>
      <c r="F56" s="5" t="s">
        <v>39</v>
      </c>
      <c r="G56" s="6" t="n">
        <v>510</v>
      </c>
      <c r="H56" s="6" t="n">
        <v>150</v>
      </c>
      <c r="I56" s="7" t="n">
        <f aca="false">(G56-H56)/G56</f>
        <v>0.705882352941177</v>
      </c>
      <c r="J56" s="15" t="n">
        <v>0.3285</v>
      </c>
      <c r="K56" s="11" t="str">
        <f aca="false">IF(I56&lt;J56,"TAK","NIE")</f>
        <v>NIE</v>
      </c>
    </row>
    <row r="57" customFormat="false" ht="15" hidden="false" customHeight="false" outlineLevel="0" collapsed="false">
      <c r="A57" s="5" t="s">
        <v>163</v>
      </c>
      <c r="B57" s="5" t="s">
        <v>41</v>
      </c>
      <c r="C57" s="5" t="n">
        <v>2017</v>
      </c>
      <c r="D57" s="5" t="s">
        <v>42</v>
      </c>
      <c r="E57" s="5" t="s">
        <v>38</v>
      </c>
      <c r="F57" s="5" t="s">
        <v>39</v>
      </c>
      <c r="G57" s="6" t="n">
        <v>508</v>
      </c>
      <c r="H57" s="6" t="n">
        <v>176</v>
      </c>
      <c r="I57" s="7" t="n">
        <f aca="false">(G57-H57)/G57</f>
        <v>0.653543307086614</v>
      </c>
      <c r="J57" s="15" t="n">
        <v>0.3285</v>
      </c>
      <c r="K57" s="11" t="str">
        <f aca="false">IF(I57&lt;J57,"TAK","NIE")</f>
        <v>NIE</v>
      </c>
    </row>
    <row r="58" customFormat="false" ht="15" hidden="false" customHeight="false" outlineLevel="0" collapsed="false">
      <c r="A58" s="5" t="s">
        <v>164</v>
      </c>
      <c r="B58" s="5" t="s">
        <v>41</v>
      </c>
      <c r="C58" s="5" t="n">
        <v>2017</v>
      </c>
      <c r="D58" s="5" t="s">
        <v>42</v>
      </c>
      <c r="E58" s="5" t="s">
        <v>38</v>
      </c>
      <c r="F58" s="5" t="s">
        <v>39</v>
      </c>
      <c r="G58" s="6" t="n">
        <v>510</v>
      </c>
      <c r="H58" s="6" t="n">
        <v>222</v>
      </c>
      <c r="I58" s="7" t="n">
        <f aca="false">(G58-H58)/G58</f>
        <v>0.564705882352941</v>
      </c>
      <c r="J58" s="15" t="n">
        <v>0.3285</v>
      </c>
      <c r="K58" s="11" t="str">
        <f aca="false">IF(I58&lt;J58,"TAK","NIE")</f>
        <v>NIE</v>
      </c>
    </row>
    <row r="59" customFormat="false" ht="15" hidden="false" customHeight="false" outlineLevel="0" collapsed="false">
      <c r="A59" s="5" t="s">
        <v>165</v>
      </c>
      <c r="B59" s="5" t="s">
        <v>41</v>
      </c>
      <c r="C59" s="5" t="n">
        <v>2017</v>
      </c>
      <c r="D59" s="5" t="s">
        <v>42</v>
      </c>
      <c r="E59" s="5" t="s">
        <v>38</v>
      </c>
      <c r="F59" s="5" t="s">
        <v>39</v>
      </c>
      <c r="G59" s="6" t="n">
        <v>510</v>
      </c>
      <c r="H59" s="6" t="n">
        <v>304</v>
      </c>
      <c r="I59" s="7" t="n">
        <f aca="false">(G59-H59)/G59</f>
        <v>0.403921568627451</v>
      </c>
      <c r="J59" s="15" t="n">
        <v>0.3285</v>
      </c>
      <c r="K59" s="11" t="str">
        <f aca="false">IF(I59&lt;J59,"TAK","NIE")</f>
        <v>NIE</v>
      </c>
    </row>
    <row r="60" customFormat="false" ht="15" hidden="false" customHeight="false" outlineLevel="0" collapsed="false">
      <c r="A60" s="5" t="s">
        <v>166</v>
      </c>
      <c r="B60" s="5" t="s">
        <v>41</v>
      </c>
      <c r="C60" s="5" t="n">
        <v>2017</v>
      </c>
      <c r="D60" s="5" t="s">
        <v>42</v>
      </c>
      <c r="E60" s="5" t="s">
        <v>38</v>
      </c>
      <c r="F60" s="5" t="s">
        <v>39</v>
      </c>
      <c r="G60" s="6" t="n">
        <v>508</v>
      </c>
      <c r="H60" s="6" t="n">
        <v>166</v>
      </c>
      <c r="I60" s="7" t="n">
        <f aca="false">(G60-H60)/G60</f>
        <v>0.673228346456693</v>
      </c>
      <c r="J60" s="15" t="n">
        <v>0.3285</v>
      </c>
      <c r="K60" s="11" t="str">
        <f aca="false">IF(I60&lt;J60,"TAK","NIE")</f>
        <v>NIE</v>
      </c>
    </row>
    <row r="61" customFormat="false" ht="15" hidden="false" customHeight="false" outlineLevel="0" collapsed="false">
      <c r="A61" s="5" t="s">
        <v>167</v>
      </c>
      <c r="B61" s="5" t="s">
        <v>41</v>
      </c>
      <c r="C61" s="5" t="n">
        <v>2017</v>
      </c>
      <c r="D61" s="5" t="s">
        <v>42</v>
      </c>
      <c r="E61" s="5" t="s">
        <v>38</v>
      </c>
      <c r="F61" s="5" t="s">
        <v>39</v>
      </c>
      <c r="G61" s="6" t="n">
        <v>498</v>
      </c>
      <c r="H61" s="6" t="n">
        <v>64</v>
      </c>
      <c r="I61" s="7" t="n">
        <f aca="false">(G61-H61)/G61</f>
        <v>0.8714859437751</v>
      </c>
      <c r="J61" s="15" t="n">
        <v>0.3285</v>
      </c>
      <c r="K61" s="11" t="str">
        <f aca="false">IF(I61&lt;J61,"TAK","NIE")</f>
        <v>NIE</v>
      </c>
    </row>
    <row r="62" customFormat="false" ht="15" hidden="false" customHeight="false" outlineLevel="0" collapsed="false">
      <c r="A62" s="5" t="s">
        <v>168</v>
      </c>
      <c r="B62" s="5" t="s">
        <v>41</v>
      </c>
      <c r="C62" s="5" t="n">
        <v>2017</v>
      </c>
      <c r="D62" s="5" t="s">
        <v>42</v>
      </c>
      <c r="E62" s="5" t="s">
        <v>38</v>
      </c>
      <c r="F62" s="5" t="s">
        <v>39</v>
      </c>
      <c r="G62" s="6" t="n">
        <v>508</v>
      </c>
      <c r="H62" s="6" t="n">
        <v>164</v>
      </c>
      <c r="I62" s="7" t="n">
        <f aca="false">(G62-H62)/G62</f>
        <v>0.677165354330709</v>
      </c>
      <c r="J62" s="15" t="n">
        <v>0.3285</v>
      </c>
      <c r="K62" s="11" t="str">
        <f aca="false">IF(I62&lt;J62,"TAK","NIE")</f>
        <v>NIE</v>
      </c>
    </row>
    <row r="63" customFormat="false" ht="15" hidden="false" customHeight="false" outlineLevel="0" collapsed="false">
      <c r="A63" s="5" t="s">
        <v>169</v>
      </c>
      <c r="B63" s="5" t="s">
        <v>41</v>
      </c>
      <c r="C63" s="5" t="n">
        <v>2017</v>
      </c>
      <c r="D63" s="5" t="s">
        <v>42</v>
      </c>
      <c r="E63" s="5" t="s">
        <v>38</v>
      </c>
      <c r="F63" s="5" t="s">
        <v>39</v>
      </c>
      <c r="G63" s="6" t="n">
        <v>508</v>
      </c>
      <c r="H63" s="6" t="n">
        <v>39</v>
      </c>
      <c r="I63" s="7" t="n">
        <f aca="false">(G63-H63)/G63</f>
        <v>0.923228346456693</v>
      </c>
      <c r="J63" s="15" t="n">
        <v>0.3285</v>
      </c>
      <c r="K63" s="11" t="str">
        <f aca="false">IF(I63&lt;J63,"TAK","NIE")</f>
        <v>NIE</v>
      </c>
    </row>
    <row r="64" customFormat="false" ht="15" hidden="false" customHeight="false" outlineLevel="0" collapsed="false">
      <c r="A64" s="5" t="s">
        <v>170</v>
      </c>
      <c r="B64" s="5" t="s">
        <v>41</v>
      </c>
      <c r="C64" s="5" t="n">
        <v>2017</v>
      </c>
      <c r="D64" s="5" t="s">
        <v>42</v>
      </c>
      <c r="E64" s="5" t="s">
        <v>38</v>
      </c>
      <c r="F64" s="5" t="s">
        <v>39</v>
      </c>
      <c r="G64" s="6" t="n">
        <v>510</v>
      </c>
      <c r="H64" s="6" t="n">
        <v>348</v>
      </c>
      <c r="I64" s="7" t="n">
        <f aca="false">(G64-H64)/G64</f>
        <v>0.317647058823529</v>
      </c>
      <c r="J64" s="15" t="n">
        <v>0.3285</v>
      </c>
      <c r="K64" s="11" t="str">
        <f aca="false">IF(I64&lt;J64,"TAK","NIE")</f>
        <v>TAK</v>
      </c>
    </row>
    <row r="65" customFormat="false" ht="15" hidden="false" customHeight="false" outlineLevel="0" collapsed="false">
      <c r="A65" s="5" t="s">
        <v>171</v>
      </c>
      <c r="B65" s="5" t="s">
        <v>41</v>
      </c>
      <c r="C65" s="5" t="n">
        <v>2017</v>
      </c>
      <c r="D65" s="5" t="s">
        <v>42</v>
      </c>
      <c r="E65" s="5" t="s">
        <v>38</v>
      </c>
      <c r="F65" s="5" t="s">
        <v>39</v>
      </c>
      <c r="G65" s="6" t="n">
        <v>508</v>
      </c>
      <c r="H65" s="6" t="n">
        <v>34</v>
      </c>
      <c r="I65" s="7" t="n">
        <f aca="false">(G65-H65)/G65</f>
        <v>0.933070866141732</v>
      </c>
      <c r="J65" s="15" t="n">
        <v>0.3285</v>
      </c>
      <c r="K65" s="11" t="str">
        <f aca="false">IF(I65&lt;J65,"TAK","NIE")</f>
        <v>NIE</v>
      </c>
    </row>
    <row r="66" customFormat="false" ht="15" hidden="false" customHeight="false" outlineLevel="0" collapsed="false">
      <c r="A66" s="5" t="s">
        <v>172</v>
      </c>
      <c r="B66" s="5" t="s">
        <v>41</v>
      </c>
      <c r="C66" s="5" t="n">
        <v>2017</v>
      </c>
      <c r="D66" s="5" t="s">
        <v>42</v>
      </c>
      <c r="E66" s="5" t="s">
        <v>38</v>
      </c>
      <c r="F66" s="5" t="s">
        <v>39</v>
      </c>
      <c r="G66" s="6" t="n">
        <v>510</v>
      </c>
      <c r="H66" s="6" t="n">
        <v>116</v>
      </c>
      <c r="I66" s="7" t="n">
        <f aca="false">(G66-H66)/G66</f>
        <v>0.772549019607843</v>
      </c>
      <c r="J66" s="15" t="n">
        <v>0.3285</v>
      </c>
      <c r="K66" s="11" t="str">
        <f aca="false">IF(I66&lt;J66,"TAK","NIE")</f>
        <v>NIE</v>
      </c>
    </row>
    <row r="67" customFormat="false" ht="15" hidden="false" customHeight="false" outlineLevel="0" collapsed="false">
      <c r="A67" s="5" t="s">
        <v>173</v>
      </c>
      <c r="B67" s="5" t="s">
        <v>41</v>
      </c>
      <c r="C67" s="5" t="n">
        <v>2017</v>
      </c>
      <c r="D67" s="5" t="s">
        <v>42</v>
      </c>
      <c r="E67" s="5" t="s">
        <v>38</v>
      </c>
      <c r="F67" s="5" t="s">
        <v>39</v>
      </c>
      <c r="G67" s="6" t="n">
        <v>498</v>
      </c>
      <c r="H67" s="6" t="n">
        <v>159</v>
      </c>
      <c r="I67" s="7" t="n">
        <f aca="false">(G67-H67)/G67</f>
        <v>0.680722891566265</v>
      </c>
      <c r="J67" s="15" t="n">
        <v>0.3285</v>
      </c>
      <c r="K67" s="11" t="str">
        <f aca="false">IF(I67&lt;J67,"TAK","NIE")</f>
        <v>NIE</v>
      </c>
    </row>
    <row r="68" customFormat="false" ht="15" hidden="false" customHeight="false" outlineLevel="0" collapsed="false">
      <c r="A68" s="5" t="s">
        <v>174</v>
      </c>
      <c r="B68" s="5" t="s">
        <v>41</v>
      </c>
      <c r="C68" s="5" t="n">
        <v>2017</v>
      </c>
      <c r="D68" s="5" t="s">
        <v>42</v>
      </c>
      <c r="E68" s="5" t="s">
        <v>38</v>
      </c>
      <c r="F68" s="5" t="s">
        <v>39</v>
      </c>
      <c r="G68" s="6" t="n">
        <v>498</v>
      </c>
      <c r="H68" s="6" t="n">
        <v>153</v>
      </c>
      <c r="I68" s="7" t="n">
        <f aca="false">(G68-H68)/G68</f>
        <v>0.692771084337349</v>
      </c>
      <c r="J68" s="15" t="n">
        <v>0.3285</v>
      </c>
      <c r="K68" s="11" t="str">
        <f aca="false">IF(I68&lt;J68,"TAK","NIE")</f>
        <v>NIE</v>
      </c>
    </row>
    <row r="69" customFormat="false" ht="15" hidden="false" customHeight="false" outlineLevel="0" collapsed="false">
      <c r="A69" s="5" t="s">
        <v>175</v>
      </c>
      <c r="B69" s="5" t="s">
        <v>41</v>
      </c>
      <c r="C69" s="5" t="n">
        <v>2017</v>
      </c>
      <c r="D69" s="5" t="s">
        <v>42</v>
      </c>
      <c r="E69" s="5" t="s">
        <v>38</v>
      </c>
      <c r="F69" s="5" t="s">
        <v>39</v>
      </c>
      <c r="G69" s="6" t="n">
        <v>510</v>
      </c>
      <c r="H69" s="6" t="n">
        <v>212</v>
      </c>
      <c r="I69" s="7" t="n">
        <f aca="false">(G69-H69)/G69</f>
        <v>0.584313725490196</v>
      </c>
      <c r="J69" s="15" t="n">
        <v>0.3285</v>
      </c>
      <c r="K69" s="11" t="str">
        <f aca="false">IF(I69&lt;J69,"TAK","NIE")</f>
        <v>NIE</v>
      </c>
    </row>
    <row r="70" customFormat="false" ht="15" hidden="false" customHeight="false" outlineLevel="0" collapsed="false">
      <c r="A70" s="5" t="s">
        <v>176</v>
      </c>
      <c r="B70" s="5" t="s">
        <v>41</v>
      </c>
      <c r="C70" s="5" t="n">
        <v>2017</v>
      </c>
      <c r="D70" s="5" t="s">
        <v>42</v>
      </c>
      <c r="E70" s="5" t="s">
        <v>38</v>
      </c>
      <c r="F70" s="5" t="s">
        <v>39</v>
      </c>
      <c r="G70" s="6" t="n">
        <v>508</v>
      </c>
      <c r="H70" s="6" t="n">
        <v>40</v>
      </c>
      <c r="I70" s="7" t="n">
        <f aca="false">(G70-H70)/G70</f>
        <v>0.921259842519685</v>
      </c>
      <c r="J70" s="15" t="n">
        <v>0.3285</v>
      </c>
      <c r="K70" s="11" t="str">
        <f aca="false">IF(I70&lt;J70,"TAK","NIE")</f>
        <v>NIE</v>
      </c>
    </row>
    <row r="71" customFormat="false" ht="15" hidden="false" customHeight="false" outlineLevel="0" collapsed="false">
      <c r="A71" s="5" t="s">
        <v>177</v>
      </c>
      <c r="B71" s="5" t="s">
        <v>41</v>
      </c>
      <c r="C71" s="5" t="n">
        <v>2017</v>
      </c>
      <c r="D71" s="5" t="s">
        <v>42</v>
      </c>
      <c r="E71" s="5" t="s">
        <v>38</v>
      </c>
      <c r="F71" s="5" t="s">
        <v>39</v>
      </c>
      <c r="G71" s="6" t="n">
        <v>497</v>
      </c>
      <c r="H71" s="6" t="n">
        <v>87</v>
      </c>
      <c r="I71" s="7" t="n">
        <f aca="false">(G71-H71)/G71</f>
        <v>0.824949698189135</v>
      </c>
      <c r="J71" s="15" t="n">
        <v>0.3285</v>
      </c>
      <c r="K71" s="11" t="str">
        <f aca="false">IF(I71&lt;J71,"TAK","NIE")</f>
        <v>NIE</v>
      </c>
    </row>
    <row r="72" customFormat="false" ht="15" hidden="false" customHeight="false" outlineLevel="0" collapsed="false">
      <c r="A72" s="5" t="s">
        <v>178</v>
      </c>
      <c r="B72" s="5" t="s">
        <v>41</v>
      </c>
      <c r="C72" s="5" t="n">
        <v>2017</v>
      </c>
      <c r="D72" s="5" t="s">
        <v>42</v>
      </c>
      <c r="E72" s="5" t="s">
        <v>38</v>
      </c>
      <c r="F72" s="5" t="s">
        <v>39</v>
      </c>
      <c r="G72" s="6" t="n">
        <v>508</v>
      </c>
      <c r="H72" s="6" t="n">
        <v>30</v>
      </c>
      <c r="I72" s="7" t="n">
        <f aca="false">(G72-H72)/G72</f>
        <v>0.940944881889764</v>
      </c>
      <c r="J72" s="15" t="n">
        <v>0.3285</v>
      </c>
      <c r="K72" s="11" t="str">
        <f aca="false">IF(I72&lt;J72,"TAK","NIE")</f>
        <v>NIE</v>
      </c>
    </row>
    <row r="73" customFormat="false" ht="15" hidden="false" customHeight="false" outlineLevel="0" collapsed="false">
      <c r="A73" s="5" t="s">
        <v>154</v>
      </c>
      <c r="B73" s="5" t="s">
        <v>41</v>
      </c>
      <c r="C73" s="5" t="n">
        <v>2017</v>
      </c>
      <c r="D73" s="5" t="s">
        <v>42</v>
      </c>
      <c r="E73" s="5" t="s">
        <v>38</v>
      </c>
      <c r="F73" s="5" t="s">
        <v>40</v>
      </c>
      <c r="G73" s="6" t="n">
        <v>471</v>
      </c>
      <c r="H73" s="6" t="n">
        <v>140</v>
      </c>
      <c r="I73" s="7" t="n">
        <f aca="false">(G73-H73)/G73</f>
        <v>0.70276008492569</v>
      </c>
      <c r="J73" s="15" t="n">
        <v>0.433</v>
      </c>
      <c r="K73" s="11" t="str">
        <f aca="false">IF(I73&lt;J73,"TAK","NIE")</f>
        <v>NIE</v>
      </c>
    </row>
    <row r="74" customFormat="false" ht="15" hidden="false" customHeight="false" outlineLevel="0" collapsed="false">
      <c r="A74" s="5" t="s">
        <v>155</v>
      </c>
      <c r="B74" s="5" t="s">
        <v>41</v>
      </c>
      <c r="C74" s="5" t="n">
        <v>2017</v>
      </c>
      <c r="D74" s="5" t="s">
        <v>42</v>
      </c>
      <c r="E74" s="5" t="s">
        <v>38</v>
      </c>
      <c r="F74" s="5" t="s">
        <v>40</v>
      </c>
      <c r="G74" s="6" t="n">
        <v>470</v>
      </c>
      <c r="H74" s="6" t="n">
        <v>241</v>
      </c>
      <c r="I74" s="7" t="n">
        <f aca="false">(G74-H74)/G74</f>
        <v>0.487234042553191</v>
      </c>
      <c r="J74" s="15" t="n">
        <v>0.433</v>
      </c>
      <c r="K74" s="11" t="str">
        <f aca="false">IF(I74&lt;J74,"TAK","NIE")</f>
        <v>NIE</v>
      </c>
    </row>
    <row r="75" customFormat="false" ht="15" hidden="false" customHeight="false" outlineLevel="0" collapsed="false">
      <c r="A75" s="5" t="s">
        <v>156</v>
      </c>
      <c r="B75" s="5" t="s">
        <v>41</v>
      </c>
      <c r="C75" s="5" t="n">
        <v>2017</v>
      </c>
      <c r="D75" s="5" t="s">
        <v>42</v>
      </c>
      <c r="E75" s="5" t="s">
        <v>38</v>
      </c>
      <c r="F75" s="5" t="s">
        <v>40</v>
      </c>
      <c r="G75" s="6" t="n">
        <v>471</v>
      </c>
      <c r="H75" s="6" t="n">
        <v>63</v>
      </c>
      <c r="I75" s="7" t="n">
        <f aca="false">(G75-H75)/G75</f>
        <v>0.866242038216561</v>
      </c>
      <c r="J75" s="15" t="n">
        <v>0.433</v>
      </c>
      <c r="K75" s="11" t="str">
        <f aca="false">IF(I75&lt;J75,"TAK","NIE")</f>
        <v>NIE</v>
      </c>
    </row>
    <row r="76" customFormat="false" ht="15" hidden="false" customHeight="false" outlineLevel="0" collapsed="false">
      <c r="A76" s="5" t="s">
        <v>157</v>
      </c>
      <c r="B76" s="5" t="s">
        <v>41</v>
      </c>
      <c r="C76" s="5" t="n">
        <v>2017</v>
      </c>
      <c r="D76" s="5" t="s">
        <v>42</v>
      </c>
      <c r="E76" s="5" t="s">
        <v>38</v>
      </c>
      <c r="F76" s="5" t="s">
        <v>40</v>
      </c>
      <c r="G76" s="6" t="n">
        <v>470</v>
      </c>
      <c r="H76" s="6" t="n">
        <v>55</v>
      </c>
      <c r="I76" s="7" t="n">
        <f aca="false">(G76-H76)/G76</f>
        <v>0.882978723404255</v>
      </c>
      <c r="J76" s="15" t="n">
        <v>0.433</v>
      </c>
      <c r="K76" s="11" t="str">
        <f aca="false">IF(I76&lt;J76,"TAK","NIE")</f>
        <v>NIE</v>
      </c>
    </row>
    <row r="77" customFormat="false" ht="15" hidden="false" customHeight="false" outlineLevel="0" collapsed="false">
      <c r="A77" s="5" t="s">
        <v>158</v>
      </c>
      <c r="B77" s="5" t="s">
        <v>41</v>
      </c>
      <c r="C77" s="5" t="n">
        <v>2017</v>
      </c>
      <c r="D77" s="5" t="s">
        <v>42</v>
      </c>
      <c r="E77" s="5" t="s">
        <v>38</v>
      </c>
      <c r="F77" s="5" t="s">
        <v>40</v>
      </c>
      <c r="G77" s="6" t="n">
        <v>471</v>
      </c>
      <c r="H77" s="6" t="n">
        <v>78</v>
      </c>
      <c r="I77" s="7" t="n">
        <f aca="false">(G77-H77)/G77</f>
        <v>0.834394904458599</v>
      </c>
      <c r="J77" s="15" t="n">
        <v>0.433</v>
      </c>
      <c r="K77" s="11" t="str">
        <f aca="false">IF(I77&lt;J77,"TAK","NIE")</f>
        <v>NIE</v>
      </c>
    </row>
    <row r="78" customFormat="false" ht="15" hidden="false" customHeight="false" outlineLevel="0" collapsed="false">
      <c r="A78" s="5" t="s">
        <v>159</v>
      </c>
      <c r="B78" s="5" t="s">
        <v>41</v>
      </c>
      <c r="C78" s="5" t="n">
        <v>2017</v>
      </c>
      <c r="D78" s="5" t="s">
        <v>42</v>
      </c>
      <c r="E78" s="5" t="s">
        <v>38</v>
      </c>
      <c r="F78" s="5" t="s">
        <v>40</v>
      </c>
      <c r="G78" s="6" t="n">
        <v>470</v>
      </c>
      <c r="H78" s="6" t="n">
        <v>75</v>
      </c>
      <c r="I78" s="7" t="n">
        <f aca="false">(G78-H78)/G78</f>
        <v>0.840425531914894</v>
      </c>
      <c r="J78" s="15" t="n">
        <v>0.433</v>
      </c>
      <c r="K78" s="11" t="str">
        <f aca="false">IF(I78&lt;J78,"TAK","NIE")</f>
        <v>NIE</v>
      </c>
    </row>
    <row r="79" customFormat="false" ht="15" hidden="false" customHeight="false" outlineLevel="0" collapsed="false">
      <c r="A79" s="5" t="s">
        <v>160</v>
      </c>
      <c r="B79" s="5" t="s">
        <v>41</v>
      </c>
      <c r="C79" s="5" t="n">
        <v>2017</v>
      </c>
      <c r="D79" s="5" t="s">
        <v>42</v>
      </c>
      <c r="E79" s="5" t="s">
        <v>38</v>
      </c>
      <c r="F79" s="5" t="s">
        <v>40</v>
      </c>
      <c r="G79" s="6" t="n">
        <v>471</v>
      </c>
      <c r="H79" s="6" t="n">
        <v>185</v>
      </c>
      <c r="I79" s="7" t="n">
        <f aca="false">(G79-H79)/G79</f>
        <v>0.607218683651805</v>
      </c>
      <c r="J79" s="15" t="n">
        <v>0.433</v>
      </c>
      <c r="K79" s="11" t="str">
        <f aca="false">IF(I79&lt;J79,"TAK","NIE")</f>
        <v>NIE</v>
      </c>
    </row>
    <row r="80" customFormat="false" ht="15" hidden="false" customHeight="false" outlineLevel="0" collapsed="false">
      <c r="A80" s="5" t="s">
        <v>161</v>
      </c>
      <c r="B80" s="5" t="s">
        <v>41</v>
      </c>
      <c r="C80" s="5" t="n">
        <v>2017</v>
      </c>
      <c r="D80" s="5" t="s">
        <v>42</v>
      </c>
      <c r="E80" s="5" t="s">
        <v>38</v>
      </c>
      <c r="F80" s="5" t="s">
        <v>40</v>
      </c>
      <c r="G80" s="6" t="n">
        <v>470</v>
      </c>
      <c r="H80" s="6" t="n">
        <v>1</v>
      </c>
      <c r="I80" s="7" t="n">
        <f aca="false">(G80-H80)/G80</f>
        <v>0.997872340425532</v>
      </c>
      <c r="J80" s="15" t="n">
        <v>0.433</v>
      </c>
      <c r="K80" s="11" t="str">
        <f aca="false">IF(I80&lt;J80,"TAK","NIE")</f>
        <v>NIE</v>
      </c>
    </row>
    <row r="81" customFormat="false" ht="15" hidden="false" customHeight="false" outlineLevel="0" collapsed="false">
      <c r="A81" s="5" t="s">
        <v>162</v>
      </c>
      <c r="B81" s="5" t="s">
        <v>41</v>
      </c>
      <c r="C81" s="5" t="n">
        <v>2017</v>
      </c>
      <c r="D81" s="5" t="s">
        <v>42</v>
      </c>
      <c r="E81" s="5" t="s">
        <v>38</v>
      </c>
      <c r="F81" s="5" t="s">
        <v>40</v>
      </c>
      <c r="G81" s="6" t="n">
        <v>471</v>
      </c>
      <c r="H81" s="6" t="n">
        <v>114</v>
      </c>
      <c r="I81" s="7" t="n">
        <f aca="false">(G81-H81)/G81</f>
        <v>0.757961783439491</v>
      </c>
      <c r="J81" s="15" t="n">
        <v>0.433</v>
      </c>
      <c r="K81" s="11" t="str">
        <f aca="false">IF(I81&lt;J81,"TAK","NIE")</f>
        <v>NIE</v>
      </c>
    </row>
    <row r="82" customFormat="false" ht="15" hidden="false" customHeight="false" outlineLevel="0" collapsed="false">
      <c r="A82" s="5" t="s">
        <v>163</v>
      </c>
      <c r="B82" s="5" t="s">
        <v>41</v>
      </c>
      <c r="C82" s="5" t="n">
        <v>2017</v>
      </c>
      <c r="D82" s="5" t="s">
        <v>42</v>
      </c>
      <c r="E82" s="5" t="s">
        <v>38</v>
      </c>
      <c r="F82" s="5" t="s">
        <v>40</v>
      </c>
      <c r="G82" s="6" t="n">
        <v>470</v>
      </c>
      <c r="H82" s="6" t="n">
        <v>234</v>
      </c>
      <c r="I82" s="7" t="n">
        <f aca="false">(G82-H82)/G82</f>
        <v>0.502127659574468</v>
      </c>
      <c r="J82" s="15" t="n">
        <v>0.433</v>
      </c>
      <c r="K82" s="11" t="str">
        <f aca="false">IF(I82&lt;J82,"TAK","NIE")</f>
        <v>NIE</v>
      </c>
    </row>
    <row r="83" customFormat="false" ht="15" hidden="false" customHeight="false" outlineLevel="0" collapsed="false">
      <c r="A83" s="5" t="s">
        <v>164</v>
      </c>
      <c r="B83" s="5" t="s">
        <v>41</v>
      </c>
      <c r="C83" s="5" t="n">
        <v>2017</v>
      </c>
      <c r="D83" s="5" t="s">
        <v>42</v>
      </c>
      <c r="E83" s="5" t="s">
        <v>38</v>
      </c>
      <c r="F83" s="5" t="s">
        <v>40</v>
      </c>
      <c r="G83" s="6" t="n">
        <v>471</v>
      </c>
      <c r="H83" s="6" t="n">
        <v>317</v>
      </c>
      <c r="I83" s="7" t="n">
        <f aca="false">(G83-H83)/G83</f>
        <v>0.326963906581741</v>
      </c>
      <c r="J83" s="15" t="n">
        <v>0.433</v>
      </c>
      <c r="K83" s="11" t="str">
        <f aca="false">IF(I83&lt;J83,"TAK","NIE")</f>
        <v>TAK</v>
      </c>
    </row>
    <row r="84" customFormat="false" ht="15" hidden="false" customHeight="false" outlineLevel="0" collapsed="false">
      <c r="A84" s="5" t="s">
        <v>165</v>
      </c>
      <c r="B84" s="5" t="s">
        <v>41</v>
      </c>
      <c r="C84" s="5" t="n">
        <v>2017</v>
      </c>
      <c r="D84" s="5" t="s">
        <v>42</v>
      </c>
      <c r="E84" s="5" t="s">
        <v>38</v>
      </c>
      <c r="F84" s="5" t="s">
        <v>40</v>
      </c>
      <c r="G84" s="6" t="n">
        <v>471</v>
      </c>
      <c r="H84" s="6" t="n">
        <v>254</v>
      </c>
      <c r="I84" s="7" t="n">
        <f aca="false">(G84-H84)/G84</f>
        <v>0.460721868365181</v>
      </c>
      <c r="J84" s="15" t="n">
        <v>0.433</v>
      </c>
      <c r="K84" s="11" t="str">
        <f aca="false">IF(I84&lt;J84,"TAK","NIE")</f>
        <v>NIE</v>
      </c>
    </row>
    <row r="85" customFormat="false" ht="15" hidden="false" customHeight="false" outlineLevel="0" collapsed="false">
      <c r="A85" s="5" t="s">
        <v>166</v>
      </c>
      <c r="B85" s="5" t="s">
        <v>41</v>
      </c>
      <c r="C85" s="5" t="n">
        <v>2017</v>
      </c>
      <c r="D85" s="5" t="s">
        <v>42</v>
      </c>
      <c r="E85" s="5" t="s">
        <v>38</v>
      </c>
      <c r="F85" s="5" t="s">
        <v>40</v>
      </c>
      <c r="G85" s="6" t="n">
        <v>470</v>
      </c>
      <c r="H85" s="6" t="n">
        <v>50</v>
      </c>
      <c r="I85" s="7" t="n">
        <f aca="false">(G85-H85)/G85</f>
        <v>0.893617021276596</v>
      </c>
      <c r="J85" s="15" t="n">
        <v>0.433</v>
      </c>
      <c r="K85" s="11" t="str">
        <f aca="false">IF(I85&lt;J85,"TAK","NIE")</f>
        <v>NIE</v>
      </c>
    </row>
    <row r="86" customFormat="false" ht="15" hidden="false" customHeight="false" outlineLevel="0" collapsed="false">
      <c r="A86" s="5" t="s">
        <v>167</v>
      </c>
      <c r="B86" s="5" t="s">
        <v>41</v>
      </c>
      <c r="C86" s="5" t="n">
        <v>2017</v>
      </c>
      <c r="D86" s="5" t="s">
        <v>42</v>
      </c>
      <c r="E86" s="5" t="s">
        <v>38</v>
      </c>
      <c r="F86" s="5" t="s">
        <v>40</v>
      </c>
      <c r="G86" s="6" t="n">
        <v>471</v>
      </c>
      <c r="H86" s="6" t="n">
        <v>104</v>
      </c>
      <c r="I86" s="7" t="n">
        <f aca="false">(G86-H86)/G86</f>
        <v>0.779193205944798</v>
      </c>
      <c r="J86" s="15" t="n">
        <v>0.433</v>
      </c>
      <c r="K86" s="11" t="str">
        <f aca="false">IF(I86&lt;J86,"TAK","NIE")</f>
        <v>NIE</v>
      </c>
    </row>
    <row r="87" customFormat="false" ht="15" hidden="false" customHeight="false" outlineLevel="0" collapsed="false">
      <c r="A87" s="5" t="s">
        <v>168</v>
      </c>
      <c r="B87" s="5" t="s">
        <v>41</v>
      </c>
      <c r="C87" s="5" t="n">
        <v>2017</v>
      </c>
      <c r="D87" s="5" t="s">
        <v>42</v>
      </c>
      <c r="E87" s="5" t="s">
        <v>38</v>
      </c>
      <c r="F87" s="5" t="s">
        <v>40</v>
      </c>
      <c r="G87" s="6" t="n">
        <v>470</v>
      </c>
      <c r="H87" s="6" t="n">
        <v>82</v>
      </c>
      <c r="I87" s="7" t="n">
        <f aca="false">(G87-H87)/G87</f>
        <v>0.825531914893617</v>
      </c>
      <c r="J87" s="15" t="n">
        <v>0.433</v>
      </c>
      <c r="K87" s="11" t="str">
        <f aca="false">IF(I87&lt;J87,"TAK","NIE")</f>
        <v>NIE</v>
      </c>
    </row>
    <row r="88" customFormat="false" ht="15" hidden="false" customHeight="false" outlineLevel="0" collapsed="false">
      <c r="A88" s="5" t="s">
        <v>169</v>
      </c>
      <c r="B88" s="5" t="s">
        <v>41</v>
      </c>
      <c r="C88" s="5" t="n">
        <v>2017</v>
      </c>
      <c r="D88" s="5" t="s">
        <v>42</v>
      </c>
      <c r="E88" s="5" t="s">
        <v>38</v>
      </c>
      <c r="F88" s="5" t="s">
        <v>40</v>
      </c>
      <c r="G88" s="6" t="n">
        <v>470</v>
      </c>
      <c r="H88" s="6" t="n">
        <v>13</v>
      </c>
      <c r="I88" s="7" t="n">
        <f aca="false">(G88-H88)/G88</f>
        <v>0.972340425531915</v>
      </c>
      <c r="J88" s="15" t="n">
        <v>0.433</v>
      </c>
      <c r="K88" s="11" t="str">
        <f aca="false">IF(I88&lt;J88,"TAK","NIE")</f>
        <v>NIE</v>
      </c>
    </row>
    <row r="89" customFormat="false" ht="15" hidden="false" customHeight="false" outlineLevel="0" collapsed="false">
      <c r="A89" s="5" t="s">
        <v>170</v>
      </c>
      <c r="B89" s="5" t="s">
        <v>41</v>
      </c>
      <c r="C89" s="5" t="n">
        <v>2017</v>
      </c>
      <c r="D89" s="5" t="s">
        <v>42</v>
      </c>
      <c r="E89" s="5" t="s">
        <v>38</v>
      </c>
      <c r="F89" s="5" t="s">
        <v>40</v>
      </c>
      <c r="G89" s="6" t="n">
        <v>471</v>
      </c>
      <c r="H89" s="6" t="n">
        <v>267</v>
      </c>
      <c r="I89" s="7" t="n">
        <f aca="false">(G89-H89)/G89</f>
        <v>0.43312101910828</v>
      </c>
      <c r="J89" s="15" t="n">
        <v>0.433</v>
      </c>
      <c r="K89" s="11" t="str">
        <f aca="false">IF(I89&lt;J89,"TAK","NIE")</f>
        <v>NIE</v>
      </c>
    </row>
    <row r="90" customFormat="false" ht="15" hidden="false" customHeight="false" outlineLevel="0" collapsed="false">
      <c r="A90" s="5" t="s">
        <v>171</v>
      </c>
      <c r="B90" s="5" t="s">
        <v>41</v>
      </c>
      <c r="C90" s="5" t="n">
        <v>2017</v>
      </c>
      <c r="D90" s="5" t="s">
        <v>42</v>
      </c>
      <c r="E90" s="5" t="s">
        <v>38</v>
      </c>
      <c r="F90" s="5" t="s">
        <v>40</v>
      </c>
      <c r="G90" s="6" t="n">
        <v>470</v>
      </c>
      <c r="H90" s="6" t="n">
        <v>33</v>
      </c>
      <c r="I90" s="7" t="n">
        <f aca="false">(G90-H90)/G90</f>
        <v>0.929787234042553</v>
      </c>
      <c r="J90" s="15" t="n">
        <v>0.433</v>
      </c>
      <c r="K90" s="11" t="str">
        <f aca="false">IF(I90&lt;J90,"TAK","NIE")</f>
        <v>NIE</v>
      </c>
    </row>
    <row r="91" customFormat="false" ht="15" hidden="false" customHeight="false" outlineLevel="0" collapsed="false">
      <c r="A91" s="5" t="s">
        <v>172</v>
      </c>
      <c r="B91" s="5" t="s">
        <v>41</v>
      </c>
      <c r="C91" s="5" t="n">
        <v>2017</v>
      </c>
      <c r="D91" s="5" t="s">
        <v>42</v>
      </c>
      <c r="E91" s="5" t="s">
        <v>38</v>
      </c>
      <c r="F91" s="5" t="s">
        <v>40</v>
      </c>
      <c r="G91" s="6" t="n">
        <v>471</v>
      </c>
      <c r="H91" s="6" t="n">
        <v>120</v>
      </c>
      <c r="I91" s="7" t="n">
        <f aca="false">(G91-H91)/G91</f>
        <v>0.745222929936306</v>
      </c>
      <c r="J91" s="15" t="n">
        <v>0.433</v>
      </c>
      <c r="K91" s="11" t="str">
        <f aca="false">IF(I91&lt;J91,"TAK","NIE")</f>
        <v>NIE</v>
      </c>
    </row>
    <row r="92" customFormat="false" ht="15" hidden="false" customHeight="false" outlineLevel="0" collapsed="false">
      <c r="A92" s="5" t="s">
        <v>173</v>
      </c>
      <c r="B92" s="5" t="s">
        <v>41</v>
      </c>
      <c r="C92" s="5" t="n">
        <v>2017</v>
      </c>
      <c r="D92" s="5" t="s">
        <v>42</v>
      </c>
      <c r="E92" s="5" t="s">
        <v>38</v>
      </c>
      <c r="F92" s="5" t="s">
        <v>40</v>
      </c>
      <c r="G92" s="6" t="n">
        <v>471</v>
      </c>
      <c r="H92" s="6" t="n">
        <v>34</v>
      </c>
      <c r="I92" s="7" t="n">
        <f aca="false">(G92-H92)/G92</f>
        <v>0.927813163481953</v>
      </c>
      <c r="J92" s="15" t="n">
        <v>0.433</v>
      </c>
      <c r="K92" s="11" t="str">
        <f aca="false">IF(I92&lt;J92,"TAK","NIE")</f>
        <v>NIE</v>
      </c>
    </row>
    <row r="93" customFormat="false" ht="15" hidden="false" customHeight="false" outlineLevel="0" collapsed="false">
      <c r="A93" s="5" t="s">
        <v>174</v>
      </c>
      <c r="B93" s="5" t="s">
        <v>41</v>
      </c>
      <c r="C93" s="5" t="n">
        <v>2017</v>
      </c>
      <c r="D93" s="5" t="s">
        <v>42</v>
      </c>
      <c r="E93" s="5" t="s">
        <v>38</v>
      </c>
      <c r="F93" s="5" t="s">
        <v>40</v>
      </c>
      <c r="G93" s="6" t="n">
        <v>471</v>
      </c>
      <c r="H93" s="6" t="n">
        <v>107</v>
      </c>
      <c r="I93" s="7" t="n">
        <f aca="false">(G93-H93)/G93</f>
        <v>0.772823779193206</v>
      </c>
      <c r="J93" s="15" t="n">
        <v>0.433</v>
      </c>
      <c r="K93" s="11" t="str">
        <f aca="false">IF(I93&lt;J93,"TAK","NIE")</f>
        <v>NIE</v>
      </c>
    </row>
    <row r="94" customFormat="false" ht="15" hidden="false" customHeight="false" outlineLevel="0" collapsed="false">
      <c r="A94" s="5" t="s">
        <v>175</v>
      </c>
      <c r="B94" s="5" t="s">
        <v>41</v>
      </c>
      <c r="C94" s="5" t="n">
        <v>2017</v>
      </c>
      <c r="D94" s="5" t="s">
        <v>42</v>
      </c>
      <c r="E94" s="5" t="s">
        <v>38</v>
      </c>
      <c r="F94" s="5" t="s">
        <v>40</v>
      </c>
      <c r="G94" s="6" t="n">
        <v>471</v>
      </c>
      <c r="H94" s="6" t="n">
        <v>140</v>
      </c>
      <c r="I94" s="7" t="n">
        <f aca="false">(G94-H94)/G94</f>
        <v>0.70276008492569</v>
      </c>
      <c r="J94" s="15" t="n">
        <v>0.433</v>
      </c>
      <c r="K94" s="11" t="str">
        <f aca="false">IF(I94&lt;J94,"TAK","NIE")</f>
        <v>NIE</v>
      </c>
    </row>
    <row r="95" customFormat="false" ht="15" hidden="false" customHeight="false" outlineLevel="0" collapsed="false">
      <c r="A95" s="5" t="s">
        <v>176</v>
      </c>
      <c r="B95" s="5" t="s">
        <v>41</v>
      </c>
      <c r="C95" s="5" t="n">
        <v>2017</v>
      </c>
      <c r="D95" s="5" t="s">
        <v>42</v>
      </c>
      <c r="E95" s="5" t="s">
        <v>38</v>
      </c>
      <c r="F95" s="5" t="s">
        <v>40</v>
      </c>
      <c r="G95" s="6" t="n">
        <v>470</v>
      </c>
      <c r="H95" s="6" t="n">
        <v>60</v>
      </c>
      <c r="I95" s="7" t="n">
        <f aca="false">(G95-H95)/G95</f>
        <v>0.872340425531915</v>
      </c>
      <c r="J95" s="15" t="n">
        <v>0.433</v>
      </c>
      <c r="K95" s="11" t="str">
        <f aca="false">IF(I95&lt;J95,"TAK","NIE")</f>
        <v>NIE</v>
      </c>
    </row>
    <row r="96" customFormat="false" ht="15" hidden="false" customHeight="false" outlineLevel="0" collapsed="false">
      <c r="A96" s="5" t="s">
        <v>177</v>
      </c>
      <c r="B96" s="5" t="s">
        <v>41</v>
      </c>
      <c r="C96" s="5" t="n">
        <v>2017</v>
      </c>
      <c r="D96" s="5" t="s">
        <v>42</v>
      </c>
      <c r="E96" s="5" t="s">
        <v>38</v>
      </c>
      <c r="F96" s="5" t="s">
        <v>40</v>
      </c>
      <c r="G96" s="6" t="n">
        <v>470</v>
      </c>
      <c r="H96" s="6" t="n">
        <v>57</v>
      </c>
      <c r="I96" s="7" t="n">
        <f aca="false">(G96-H96)/G96</f>
        <v>0.878723404255319</v>
      </c>
      <c r="J96" s="15" t="n">
        <v>0.433</v>
      </c>
      <c r="K96" s="11" t="str">
        <f aca="false">IF(I96&lt;J96,"TAK","NIE")</f>
        <v>NIE</v>
      </c>
    </row>
    <row r="97" customFormat="false" ht="15" hidden="false" customHeight="false" outlineLevel="0" collapsed="false">
      <c r="A97" s="5" t="s">
        <v>178</v>
      </c>
      <c r="B97" s="5" t="s">
        <v>41</v>
      </c>
      <c r="C97" s="5" t="n">
        <v>2017</v>
      </c>
      <c r="D97" s="5" t="s">
        <v>42</v>
      </c>
      <c r="E97" s="5" t="s">
        <v>38</v>
      </c>
      <c r="F97" s="5" t="s">
        <v>40</v>
      </c>
      <c r="G97" s="6" t="n">
        <v>470</v>
      </c>
      <c r="H97" s="6" t="n">
        <v>31</v>
      </c>
      <c r="I97" s="7" t="n">
        <f aca="false">(G97-H97)/G97</f>
        <v>0.934042553191489</v>
      </c>
      <c r="J97" s="15" t="n">
        <v>0.433</v>
      </c>
      <c r="K97" s="11" t="str">
        <f aca="false">IF(I97&lt;J97,"TAK","NIE")</f>
        <v>NIE</v>
      </c>
    </row>
    <row r="98" customFormat="false" ht="15" hidden="false" customHeight="false" outlineLevel="0" collapsed="false">
      <c r="A98" s="5" t="s">
        <v>179</v>
      </c>
      <c r="B98" s="5" t="s">
        <v>43</v>
      </c>
      <c r="C98" s="5" t="n">
        <v>2018</v>
      </c>
      <c r="D98" s="5" t="s">
        <v>44</v>
      </c>
      <c r="E98" s="5" t="s">
        <v>38</v>
      </c>
      <c r="F98" s="5" t="s">
        <v>39</v>
      </c>
      <c r="G98" s="6" t="n">
        <v>475</v>
      </c>
      <c r="H98" s="6" t="n">
        <v>31</v>
      </c>
      <c r="I98" s="7" t="n">
        <f aca="false">(G98-H98)/G98</f>
        <v>0.934736842105263</v>
      </c>
      <c r="J98" s="15" t="n">
        <v>0.1016</v>
      </c>
      <c r="K98" s="11" t="str">
        <f aca="false">IF(I98&lt;J98,"TAK","NIE")</f>
        <v>NIE</v>
      </c>
    </row>
    <row r="99" customFormat="false" ht="15" hidden="false" customHeight="false" outlineLevel="0" collapsed="false">
      <c r="A99" s="5" t="s">
        <v>180</v>
      </c>
      <c r="B99" s="5" t="s">
        <v>43</v>
      </c>
      <c r="C99" s="5" t="n">
        <v>2018</v>
      </c>
      <c r="D99" s="5" t="s">
        <v>44</v>
      </c>
      <c r="E99" s="5" t="s">
        <v>38</v>
      </c>
      <c r="F99" s="5" t="s">
        <v>39</v>
      </c>
      <c r="G99" s="6" t="n">
        <v>475</v>
      </c>
      <c r="H99" s="6" t="n">
        <v>183</v>
      </c>
      <c r="I99" s="7" t="n">
        <f aca="false">(G99-H99)/G99</f>
        <v>0.614736842105263</v>
      </c>
      <c r="J99" s="15" t="n">
        <v>0.1016</v>
      </c>
      <c r="K99" s="11" t="str">
        <f aca="false">IF(I99&lt;J99,"TAK","NIE")</f>
        <v>NIE</v>
      </c>
    </row>
    <row r="100" customFormat="false" ht="15" hidden="false" customHeight="false" outlineLevel="0" collapsed="false">
      <c r="A100" s="5" t="s">
        <v>181</v>
      </c>
      <c r="B100" s="5" t="s">
        <v>43</v>
      </c>
      <c r="C100" s="5" t="n">
        <v>2018</v>
      </c>
      <c r="D100" s="5" t="s">
        <v>44</v>
      </c>
      <c r="E100" s="5" t="s">
        <v>38</v>
      </c>
      <c r="F100" s="5" t="s">
        <v>39</v>
      </c>
      <c r="G100" s="6" t="n">
        <v>475</v>
      </c>
      <c r="H100" s="6" t="n">
        <v>195</v>
      </c>
      <c r="I100" s="7" t="n">
        <f aca="false">(G100-H100)/G100</f>
        <v>0.589473684210526</v>
      </c>
      <c r="J100" s="15" t="n">
        <v>0.1016</v>
      </c>
      <c r="K100" s="11" t="str">
        <f aca="false">IF(I100&lt;J100,"TAK","NIE")</f>
        <v>NIE</v>
      </c>
    </row>
    <row r="101" customFormat="false" ht="15" hidden="false" customHeight="false" outlineLevel="0" collapsed="false">
      <c r="A101" s="5" t="s">
        <v>182</v>
      </c>
      <c r="B101" s="5" t="s">
        <v>43</v>
      </c>
      <c r="C101" s="5" t="n">
        <v>2018</v>
      </c>
      <c r="D101" s="5" t="s">
        <v>44</v>
      </c>
      <c r="E101" s="5" t="s">
        <v>38</v>
      </c>
      <c r="F101" s="5" t="s">
        <v>39</v>
      </c>
      <c r="G101" s="6" t="n">
        <v>475</v>
      </c>
      <c r="H101" s="6" t="n">
        <v>142</v>
      </c>
      <c r="I101" s="7" t="n">
        <f aca="false">(G101-H101)/G101</f>
        <v>0.701052631578947</v>
      </c>
      <c r="J101" s="15" t="n">
        <v>0.1016</v>
      </c>
      <c r="K101" s="11" t="str">
        <f aca="false">IF(I101&lt;J101,"TAK","NIE")</f>
        <v>NIE</v>
      </c>
    </row>
    <row r="102" customFormat="false" ht="15" hidden="false" customHeight="false" outlineLevel="0" collapsed="false">
      <c r="A102" s="5" t="s">
        <v>183</v>
      </c>
      <c r="B102" s="5" t="s">
        <v>43</v>
      </c>
      <c r="C102" s="5" t="n">
        <v>2018</v>
      </c>
      <c r="D102" s="5" t="s">
        <v>44</v>
      </c>
      <c r="E102" s="5" t="s">
        <v>38</v>
      </c>
      <c r="F102" s="5" t="s">
        <v>39</v>
      </c>
      <c r="G102" s="6" t="n">
        <v>475</v>
      </c>
      <c r="H102" s="6" t="n">
        <v>47</v>
      </c>
      <c r="I102" s="7" t="n">
        <f aca="false">(G102-H102)/G102</f>
        <v>0.901052631578947</v>
      </c>
      <c r="J102" s="15" t="n">
        <v>0.1016</v>
      </c>
      <c r="K102" s="11" t="str">
        <f aca="false">IF(I102&lt;J102,"TAK","NIE")</f>
        <v>NIE</v>
      </c>
    </row>
    <row r="103" customFormat="false" ht="15" hidden="false" customHeight="false" outlineLevel="0" collapsed="false">
      <c r="A103" s="5" t="s">
        <v>184</v>
      </c>
      <c r="B103" s="5" t="s">
        <v>43</v>
      </c>
      <c r="C103" s="5" t="n">
        <v>2018</v>
      </c>
      <c r="D103" s="5" t="s">
        <v>44</v>
      </c>
      <c r="E103" s="5" t="s">
        <v>38</v>
      </c>
      <c r="F103" s="5" t="s">
        <v>39</v>
      </c>
      <c r="G103" s="6" t="n">
        <v>475</v>
      </c>
      <c r="H103" s="6" t="n">
        <v>266</v>
      </c>
      <c r="I103" s="7" t="n">
        <f aca="false">(G103-H103)/G103</f>
        <v>0.44</v>
      </c>
      <c r="J103" s="15" t="n">
        <v>0.1016</v>
      </c>
      <c r="K103" s="11" t="str">
        <f aca="false">IF(I103&lt;J103,"TAK","NIE")</f>
        <v>NIE</v>
      </c>
    </row>
    <row r="104" customFormat="false" ht="15" hidden="false" customHeight="false" outlineLevel="0" collapsed="false">
      <c r="A104" s="5" t="s">
        <v>185</v>
      </c>
      <c r="B104" s="5" t="s">
        <v>43</v>
      </c>
      <c r="C104" s="5" t="n">
        <v>2018</v>
      </c>
      <c r="D104" s="5" t="s">
        <v>44</v>
      </c>
      <c r="E104" s="5" t="s">
        <v>38</v>
      </c>
      <c r="F104" s="5" t="s">
        <v>39</v>
      </c>
      <c r="G104" s="6" t="n">
        <v>475</v>
      </c>
      <c r="H104" s="6" t="n">
        <v>402</v>
      </c>
      <c r="I104" s="7" t="n">
        <f aca="false">(G104-H104)/G104</f>
        <v>0.153684210526316</v>
      </c>
      <c r="J104" s="15" t="n">
        <v>0.1016</v>
      </c>
      <c r="K104" s="11" t="str">
        <f aca="false">IF(I104&lt;J104,"TAK","NIE")</f>
        <v>NIE</v>
      </c>
    </row>
    <row r="105" customFormat="false" ht="15" hidden="false" customHeight="false" outlineLevel="0" collapsed="false">
      <c r="A105" s="5" t="s">
        <v>186</v>
      </c>
      <c r="B105" s="5" t="s">
        <v>43</v>
      </c>
      <c r="C105" s="5" t="n">
        <v>2018</v>
      </c>
      <c r="D105" s="5" t="s">
        <v>44</v>
      </c>
      <c r="E105" s="5" t="s">
        <v>38</v>
      </c>
      <c r="F105" s="5" t="s">
        <v>39</v>
      </c>
      <c r="G105" s="6" t="n">
        <v>475</v>
      </c>
      <c r="H105" s="6" t="n">
        <v>312</v>
      </c>
      <c r="I105" s="7" t="n">
        <f aca="false">(G105-H105)/G105</f>
        <v>0.343157894736842</v>
      </c>
      <c r="J105" s="15" t="n">
        <v>0.1016</v>
      </c>
      <c r="K105" s="11" t="str">
        <f aca="false">IF(I105&lt;J105,"TAK","NIE")</f>
        <v>NIE</v>
      </c>
    </row>
    <row r="106" customFormat="false" ht="15" hidden="false" customHeight="false" outlineLevel="0" collapsed="false">
      <c r="A106" s="5" t="s">
        <v>187</v>
      </c>
      <c r="B106" s="5" t="s">
        <v>43</v>
      </c>
      <c r="C106" s="5" t="n">
        <v>2018</v>
      </c>
      <c r="D106" s="5" t="s">
        <v>44</v>
      </c>
      <c r="E106" s="5" t="s">
        <v>38</v>
      </c>
      <c r="F106" s="5" t="s">
        <v>39</v>
      </c>
      <c r="G106" s="6" t="n">
        <v>475</v>
      </c>
      <c r="H106" s="6" t="n">
        <v>96</v>
      </c>
      <c r="I106" s="7" t="n">
        <f aca="false">(G106-H106)/G106</f>
        <v>0.797894736842105</v>
      </c>
      <c r="J106" s="15" t="n">
        <v>0.1016</v>
      </c>
      <c r="K106" s="11" t="str">
        <f aca="false">IF(I106&lt;J106,"TAK","NIE")</f>
        <v>NIE</v>
      </c>
    </row>
    <row r="107" customFormat="false" ht="15" hidden="false" customHeight="false" outlineLevel="0" collapsed="false">
      <c r="A107" s="5" t="s">
        <v>188</v>
      </c>
      <c r="B107" s="5" t="s">
        <v>43</v>
      </c>
      <c r="C107" s="5" t="n">
        <v>2018</v>
      </c>
      <c r="D107" s="5" t="s">
        <v>44</v>
      </c>
      <c r="E107" s="5" t="s">
        <v>38</v>
      </c>
      <c r="F107" s="5" t="s">
        <v>39</v>
      </c>
      <c r="G107" s="6" t="n">
        <v>475</v>
      </c>
      <c r="H107" s="6" t="n">
        <v>232</v>
      </c>
      <c r="I107" s="7" t="n">
        <f aca="false">(G107-H107)/G107</f>
        <v>0.511578947368421</v>
      </c>
      <c r="J107" s="15" t="n">
        <v>0.1016</v>
      </c>
      <c r="K107" s="11" t="str">
        <f aca="false">IF(I107&lt;J107,"TAK","NIE")</f>
        <v>NIE</v>
      </c>
    </row>
    <row r="108" customFormat="false" ht="15" hidden="false" customHeight="false" outlineLevel="0" collapsed="false">
      <c r="A108" s="5" t="s">
        <v>189</v>
      </c>
      <c r="B108" s="5" t="s">
        <v>43</v>
      </c>
      <c r="C108" s="5" t="n">
        <v>2018</v>
      </c>
      <c r="D108" s="5" t="s">
        <v>44</v>
      </c>
      <c r="E108" s="5" t="s">
        <v>38</v>
      </c>
      <c r="F108" s="5" t="s">
        <v>39</v>
      </c>
      <c r="G108" s="6" t="n">
        <v>475</v>
      </c>
      <c r="H108" s="6" t="n">
        <v>243</v>
      </c>
      <c r="I108" s="7" t="n">
        <f aca="false">(G108-H108)/G108</f>
        <v>0.488421052631579</v>
      </c>
      <c r="J108" s="15" t="n">
        <v>0.1016</v>
      </c>
      <c r="K108" s="11" t="str">
        <f aca="false">IF(I108&lt;J108,"TAK","NIE")</f>
        <v>NIE</v>
      </c>
    </row>
    <row r="109" customFormat="false" ht="15" hidden="false" customHeight="false" outlineLevel="0" collapsed="false">
      <c r="A109" s="5" t="s">
        <v>190</v>
      </c>
      <c r="B109" s="5" t="s">
        <v>43</v>
      </c>
      <c r="C109" s="5" t="n">
        <v>2018</v>
      </c>
      <c r="D109" s="5" t="s">
        <v>44</v>
      </c>
      <c r="E109" s="5" t="s">
        <v>38</v>
      </c>
      <c r="F109" s="5" t="s">
        <v>39</v>
      </c>
      <c r="G109" s="6" t="n">
        <v>475</v>
      </c>
      <c r="H109" s="6" t="n">
        <v>173</v>
      </c>
      <c r="I109" s="7" t="n">
        <f aca="false">(G109-H109)/G109</f>
        <v>0.635789473684211</v>
      </c>
      <c r="J109" s="15" t="n">
        <v>0.1016</v>
      </c>
      <c r="K109" s="11" t="str">
        <f aca="false">IF(I109&lt;J109,"TAK","NIE")</f>
        <v>NIE</v>
      </c>
    </row>
    <row r="110" customFormat="false" ht="15" hidden="false" customHeight="false" outlineLevel="0" collapsed="false">
      <c r="A110" s="5" t="s">
        <v>191</v>
      </c>
      <c r="B110" s="5" t="s">
        <v>43</v>
      </c>
      <c r="C110" s="5" t="n">
        <v>2018</v>
      </c>
      <c r="D110" s="5" t="s">
        <v>44</v>
      </c>
      <c r="E110" s="5" t="s">
        <v>38</v>
      </c>
      <c r="F110" s="5" t="s">
        <v>39</v>
      </c>
      <c r="G110" s="6" t="n">
        <v>475</v>
      </c>
      <c r="H110" s="6" t="n">
        <v>311</v>
      </c>
      <c r="I110" s="7" t="n">
        <f aca="false">(G110-H110)/G110</f>
        <v>0.345263157894737</v>
      </c>
      <c r="J110" s="15" t="n">
        <v>0.1016</v>
      </c>
      <c r="K110" s="11" t="str">
        <f aca="false">IF(I110&lt;J110,"TAK","NIE")</f>
        <v>NIE</v>
      </c>
    </row>
    <row r="111" customFormat="false" ht="15" hidden="false" customHeight="false" outlineLevel="0" collapsed="false">
      <c r="A111" s="5" t="s">
        <v>192</v>
      </c>
      <c r="B111" s="5" t="s">
        <v>43</v>
      </c>
      <c r="C111" s="5" t="n">
        <v>2018</v>
      </c>
      <c r="D111" s="5" t="s">
        <v>44</v>
      </c>
      <c r="E111" s="5" t="s">
        <v>38</v>
      </c>
      <c r="F111" s="5" t="s">
        <v>39</v>
      </c>
      <c r="G111" s="6" t="n">
        <v>475</v>
      </c>
      <c r="H111" s="6" t="n">
        <v>244</v>
      </c>
      <c r="I111" s="7" t="n">
        <f aca="false">(G111-H111)/G111</f>
        <v>0.486315789473684</v>
      </c>
      <c r="J111" s="15" t="n">
        <v>0.1016</v>
      </c>
      <c r="K111" s="11" t="str">
        <f aca="false">IF(I111&lt;J111,"TAK","NIE")</f>
        <v>NIE</v>
      </c>
    </row>
    <row r="112" customFormat="false" ht="15" hidden="false" customHeight="false" outlineLevel="0" collapsed="false">
      <c r="A112" s="5" t="s">
        <v>179</v>
      </c>
      <c r="B112" s="5" t="s">
        <v>43</v>
      </c>
      <c r="C112" s="5" t="n">
        <v>2018</v>
      </c>
      <c r="D112" s="5" t="s">
        <v>44</v>
      </c>
      <c r="E112" s="5" t="s">
        <v>38</v>
      </c>
      <c r="F112" s="5" t="s">
        <v>40</v>
      </c>
      <c r="G112" s="6" t="n">
        <v>625</v>
      </c>
      <c r="H112" s="6" t="n">
        <v>218</v>
      </c>
      <c r="I112" s="7" t="n">
        <f aca="false">(G112-H112)/G112</f>
        <v>0.6512</v>
      </c>
      <c r="J112" s="15" t="n">
        <v>-0.1156</v>
      </c>
      <c r="K112" s="11" t="str">
        <f aca="false">IF(I112&lt;J112,"TAK","NIE")</f>
        <v>NIE</v>
      </c>
    </row>
    <row r="113" customFormat="false" ht="15" hidden="false" customHeight="false" outlineLevel="0" collapsed="false">
      <c r="A113" s="5" t="s">
        <v>180</v>
      </c>
      <c r="B113" s="5" t="s">
        <v>43</v>
      </c>
      <c r="C113" s="5" t="n">
        <v>2018</v>
      </c>
      <c r="D113" s="5" t="s">
        <v>44</v>
      </c>
      <c r="E113" s="5" t="s">
        <v>38</v>
      </c>
      <c r="F113" s="5" t="s">
        <v>40</v>
      </c>
      <c r="G113" s="6" t="n">
        <v>625</v>
      </c>
      <c r="H113" s="6" t="n">
        <v>413</v>
      </c>
      <c r="I113" s="7" t="n">
        <f aca="false">(G113-H113)/G113</f>
        <v>0.3392</v>
      </c>
      <c r="J113" s="15" t="n">
        <v>-0.1156</v>
      </c>
      <c r="K113" s="11" t="str">
        <f aca="false">IF(I113&lt;J113,"TAK","NIE")</f>
        <v>NIE</v>
      </c>
    </row>
    <row r="114" customFormat="false" ht="15" hidden="false" customHeight="false" outlineLevel="0" collapsed="false">
      <c r="A114" s="5" t="s">
        <v>181</v>
      </c>
      <c r="B114" s="5" t="s">
        <v>43</v>
      </c>
      <c r="C114" s="5" t="n">
        <v>2018</v>
      </c>
      <c r="D114" s="5" t="s">
        <v>44</v>
      </c>
      <c r="E114" s="5" t="s">
        <v>38</v>
      </c>
      <c r="F114" s="5" t="s">
        <v>40</v>
      </c>
      <c r="G114" s="6" t="n">
        <v>625</v>
      </c>
      <c r="H114" s="6" t="n">
        <v>324</v>
      </c>
      <c r="I114" s="7" t="n">
        <f aca="false">(G114-H114)/G114</f>
        <v>0.4816</v>
      </c>
      <c r="J114" s="15" t="n">
        <v>-0.1156</v>
      </c>
      <c r="K114" s="11" t="str">
        <f aca="false">IF(I114&lt;J114,"TAK","NIE")</f>
        <v>NIE</v>
      </c>
    </row>
    <row r="115" customFormat="false" ht="15" hidden="false" customHeight="false" outlineLevel="0" collapsed="false">
      <c r="A115" s="5" t="s">
        <v>182</v>
      </c>
      <c r="B115" s="5" t="s">
        <v>43</v>
      </c>
      <c r="C115" s="5" t="n">
        <v>2018</v>
      </c>
      <c r="D115" s="5" t="s">
        <v>44</v>
      </c>
      <c r="E115" s="5" t="s">
        <v>38</v>
      </c>
      <c r="F115" s="5" t="s">
        <v>40</v>
      </c>
      <c r="G115" s="6" t="n">
        <v>625</v>
      </c>
      <c r="H115" s="6" t="n">
        <v>200</v>
      </c>
      <c r="I115" s="7" t="n">
        <f aca="false">(G115-H115)/G115</f>
        <v>0.68</v>
      </c>
      <c r="J115" s="15" t="n">
        <v>-0.1156</v>
      </c>
      <c r="K115" s="11" t="str">
        <f aca="false">IF(I115&lt;J115,"TAK","NIE")</f>
        <v>NIE</v>
      </c>
    </row>
    <row r="116" customFormat="false" ht="15" hidden="false" customHeight="false" outlineLevel="0" collapsed="false">
      <c r="A116" s="5" t="s">
        <v>183</v>
      </c>
      <c r="B116" s="5" t="s">
        <v>43</v>
      </c>
      <c r="C116" s="5" t="n">
        <v>2018</v>
      </c>
      <c r="D116" s="5" t="s">
        <v>44</v>
      </c>
      <c r="E116" s="5" t="s">
        <v>38</v>
      </c>
      <c r="F116" s="5" t="s">
        <v>40</v>
      </c>
      <c r="G116" s="6" t="n">
        <v>625</v>
      </c>
      <c r="H116" s="6" t="n">
        <v>53</v>
      </c>
      <c r="I116" s="7" t="n">
        <f aca="false">(G116-H116)/G116</f>
        <v>0.9152</v>
      </c>
      <c r="J116" s="15" t="n">
        <v>-0.1156</v>
      </c>
      <c r="K116" s="11" t="str">
        <f aca="false">IF(I116&lt;J116,"TAK","NIE")</f>
        <v>NIE</v>
      </c>
    </row>
    <row r="117" customFormat="false" ht="15" hidden="false" customHeight="false" outlineLevel="0" collapsed="false">
      <c r="A117" s="5" t="s">
        <v>184</v>
      </c>
      <c r="B117" s="5" t="s">
        <v>43</v>
      </c>
      <c r="C117" s="5" t="n">
        <v>2018</v>
      </c>
      <c r="D117" s="5" t="s">
        <v>44</v>
      </c>
      <c r="E117" s="5" t="s">
        <v>38</v>
      </c>
      <c r="F117" s="5" t="s">
        <v>40</v>
      </c>
      <c r="G117" s="6" t="n">
        <v>625</v>
      </c>
      <c r="H117" s="6" t="n">
        <v>280</v>
      </c>
      <c r="I117" s="7" t="n">
        <f aca="false">(G117-H117)/G117</f>
        <v>0.552</v>
      </c>
      <c r="J117" s="15" t="n">
        <v>-0.1156</v>
      </c>
      <c r="K117" s="11" t="str">
        <f aca="false">IF(I117&lt;J117,"TAK","NIE")</f>
        <v>NIE</v>
      </c>
    </row>
    <row r="118" customFormat="false" ht="15" hidden="false" customHeight="false" outlineLevel="0" collapsed="false">
      <c r="A118" s="5" t="s">
        <v>185</v>
      </c>
      <c r="B118" s="5" t="s">
        <v>43</v>
      </c>
      <c r="C118" s="5" t="n">
        <v>2018</v>
      </c>
      <c r="D118" s="5" t="s">
        <v>44</v>
      </c>
      <c r="E118" s="5" t="s">
        <v>38</v>
      </c>
      <c r="F118" s="5" t="s">
        <v>40</v>
      </c>
      <c r="G118" s="6" t="n">
        <v>625</v>
      </c>
      <c r="H118" s="6" t="n">
        <v>515</v>
      </c>
      <c r="I118" s="7" t="n">
        <f aca="false">(G118-H118)/G118</f>
        <v>0.176</v>
      </c>
      <c r="J118" s="15" t="n">
        <v>-0.1156</v>
      </c>
      <c r="K118" s="11" t="str">
        <f aca="false">IF(I118&lt;J118,"TAK","NIE")</f>
        <v>NIE</v>
      </c>
    </row>
    <row r="119" customFormat="false" ht="15" hidden="false" customHeight="false" outlineLevel="0" collapsed="false">
      <c r="A119" s="5" t="s">
        <v>186</v>
      </c>
      <c r="B119" s="5" t="s">
        <v>43</v>
      </c>
      <c r="C119" s="5" t="n">
        <v>2018</v>
      </c>
      <c r="D119" s="5" t="s">
        <v>44</v>
      </c>
      <c r="E119" s="5" t="s">
        <v>38</v>
      </c>
      <c r="F119" s="5" t="s">
        <v>40</v>
      </c>
      <c r="G119" s="6" t="n">
        <v>625</v>
      </c>
      <c r="H119" s="6" t="n">
        <v>405</v>
      </c>
      <c r="I119" s="7" t="n">
        <f aca="false">(G119-H119)/G119</f>
        <v>0.352</v>
      </c>
      <c r="J119" s="15" t="n">
        <v>-0.1156</v>
      </c>
      <c r="K119" s="11" t="str">
        <f aca="false">IF(I119&lt;J119,"TAK","NIE")</f>
        <v>NIE</v>
      </c>
    </row>
    <row r="120" customFormat="false" ht="15" hidden="false" customHeight="false" outlineLevel="0" collapsed="false">
      <c r="A120" s="5" t="s">
        <v>187</v>
      </c>
      <c r="B120" s="5" t="s">
        <v>43</v>
      </c>
      <c r="C120" s="5" t="n">
        <v>2018</v>
      </c>
      <c r="D120" s="5" t="s">
        <v>44</v>
      </c>
      <c r="E120" s="5" t="s">
        <v>38</v>
      </c>
      <c r="F120" s="5" t="s">
        <v>40</v>
      </c>
      <c r="G120" s="6" t="n">
        <v>625</v>
      </c>
      <c r="H120" s="6" t="n">
        <v>227</v>
      </c>
      <c r="I120" s="7" t="n">
        <f aca="false">(G120-H120)/G120</f>
        <v>0.6368</v>
      </c>
      <c r="J120" s="15" t="n">
        <v>-0.1156</v>
      </c>
      <c r="K120" s="11" t="str">
        <f aca="false">IF(I120&lt;J120,"TAK","NIE")</f>
        <v>NIE</v>
      </c>
    </row>
    <row r="121" customFormat="false" ht="15" hidden="false" customHeight="false" outlineLevel="0" collapsed="false">
      <c r="A121" s="5" t="s">
        <v>188</v>
      </c>
      <c r="B121" s="5" t="s">
        <v>43</v>
      </c>
      <c r="C121" s="5" t="n">
        <v>2018</v>
      </c>
      <c r="D121" s="5" t="s">
        <v>44</v>
      </c>
      <c r="E121" s="5" t="s">
        <v>38</v>
      </c>
      <c r="F121" s="5" t="s">
        <v>40</v>
      </c>
      <c r="G121" s="6" t="n">
        <v>625</v>
      </c>
      <c r="H121" s="6" t="n">
        <v>381</v>
      </c>
      <c r="I121" s="7" t="n">
        <f aca="false">(G121-H121)/G121</f>
        <v>0.3904</v>
      </c>
      <c r="J121" s="15" t="n">
        <v>-0.1156</v>
      </c>
      <c r="K121" s="11" t="str">
        <f aca="false">IF(I121&lt;J121,"TAK","NIE")</f>
        <v>NIE</v>
      </c>
    </row>
    <row r="122" customFormat="false" ht="15" hidden="false" customHeight="false" outlineLevel="0" collapsed="false">
      <c r="A122" s="5" t="s">
        <v>189</v>
      </c>
      <c r="B122" s="5" t="s">
        <v>43</v>
      </c>
      <c r="C122" s="5" t="n">
        <v>2018</v>
      </c>
      <c r="D122" s="5" t="s">
        <v>44</v>
      </c>
      <c r="E122" s="5" t="s">
        <v>38</v>
      </c>
      <c r="F122" s="5" t="s">
        <v>40</v>
      </c>
      <c r="G122" s="6" t="n">
        <v>625</v>
      </c>
      <c r="H122" s="6" t="n">
        <v>324</v>
      </c>
      <c r="I122" s="7" t="n">
        <f aca="false">(G122-H122)/G122</f>
        <v>0.4816</v>
      </c>
      <c r="J122" s="15" t="n">
        <v>-0.1156</v>
      </c>
      <c r="K122" s="11" t="str">
        <f aca="false">IF(I122&lt;J122,"TAK","NIE")</f>
        <v>NIE</v>
      </c>
    </row>
    <row r="123" customFormat="false" ht="15" hidden="false" customHeight="false" outlineLevel="0" collapsed="false">
      <c r="A123" s="5" t="s">
        <v>190</v>
      </c>
      <c r="B123" s="5" t="s">
        <v>43</v>
      </c>
      <c r="C123" s="5" t="n">
        <v>2018</v>
      </c>
      <c r="D123" s="5" t="s">
        <v>44</v>
      </c>
      <c r="E123" s="5" t="s">
        <v>38</v>
      </c>
      <c r="F123" s="5" t="s">
        <v>40</v>
      </c>
      <c r="G123" s="6" t="n">
        <v>625</v>
      </c>
      <c r="H123" s="6" t="n">
        <v>172</v>
      </c>
      <c r="I123" s="7" t="n">
        <f aca="false">(G123-H123)/G123</f>
        <v>0.7248</v>
      </c>
      <c r="J123" s="15" t="n">
        <v>-0.1156</v>
      </c>
      <c r="K123" s="11" t="str">
        <f aca="false">IF(I123&lt;J123,"TAK","NIE")</f>
        <v>NIE</v>
      </c>
    </row>
    <row r="124" customFormat="false" ht="15" hidden="false" customHeight="false" outlineLevel="0" collapsed="false">
      <c r="A124" s="5" t="s">
        <v>191</v>
      </c>
      <c r="B124" s="5" t="s">
        <v>43</v>
      </c>
      <c r="C124" s="5" t="n">
        <v>2018</v>
      </c>
      <c r="D124" s="5" t="s">
        <v>44</v>
      </c>
      <c r="E124" s="5" t="s">
        <v>38</v>
      </c>
      <c r="F124" s="5" t="s">
        <v>40</v>
      </c>
      <c r="G124" s="6" t="n">
        <v>625</v>
      </c>
      <c r="H124" s="6" t="n">
        <v>496</v>
      </c>
      <c r="I124" s="7" t="n">
        <f aca="false">(G124-H124)/G124</f>
        <v>0.2064</v>
      </c>
      <c r="J124" s="15" t="n">
        <v>-0.1156</v>
      </c>
      <c r="K124" s="11" t="str">
        <f aca="false">IF(I124&lt;J124,"TAK","NIE")</f>
        <v>NIE</v>
      </c>
    </row>
    <row r="125" customFormat="false" ht="15" hidden="false" customHeight="false" outlineLevel="0" collapsed="false">
      <c r="A125" s="5" t="s">
        <v>192</v>
      </c>
      <c r="B125" s="5" t="s">
        <v>43</v>
      </c>
      <c r="C125" s="5" t="n">
        <v>2018</v>
      </c>
      <c r="D125" s="5" t="s">
        <v>44</v>
      </c>
      <c r="E125" s="5" t="s">
        <v>38</v>
      </c>
      <c r="F125" s="5" t="s">
        <v>40</v>
      </c>
      <c r="G125" s="6" t="n">
        <v>625</v>
      </c>
      <c r="H125" s="6" t="n">
        <v>457</v>
      </c>
      <c r="I125" s="7" t="n">
        <f aca="false">(G125-H125)/G125</f>
        <v>0.2688</v>
      </c>
      <c r="J125" s="15" t="n">
        <v>-0.1156</v>
      </c>
      <c r="K125" s="11" t="str">
        <f aca="false">IF(I125&lt;J125,"TAK","NIE")</f>
        <v>NIE</v>
      </c>
    </row>
    <row r="126" customFormat="false" ht="15" hidden="false" customHeight="false" outlineLevel="0" collapsed="false">
      <c r="A126" s="5" t="s">
        <v>193</v>
      </c>
      <c r="B126" s="5" t="s">
        <v>45</v>
      </c>
      <c r="C126" s="5" t="n">
        <v>2018</v>
      </c>
      <c r="D126" s="5" t="s">
        <v>37</v>
      </c>
      <c r="E126" s="5" t="s">
        <v>38</v>
      </c>
      <c r="F126" s="5" t="s">
        <v>39</v>
      </c>
      <c r="G126" s="6" t="n">
        <v>558</v>
      </c>
      <c r="H126" s="6" t="n">
        <v>115</v>
      </c>
      <c r="I126" s="7" t="n">
        <f aca="false">(G126-H126)/G126</f>
        <v>0.793906810035842</v>
      </c>
      <c r="J126" s="15" t="n">
        <v>0.5934</v>
      </c>
      <c r="K126" s="11" t="str">
        <f aca="false">IF(I126&lt;J126,"TAK","NIE")</f>
        <v>NIE</v>
      </c>
    </row>
    <row r="127" customFormat="false" ht="15" hidden="false" customHeight="false" outlineLevel="0" collapsed="false">
      <c r="A127" s="5" t="s">
        <v>194</v>
      </c>
      <c r="B127" s="5" t="s">
        <v>45</v>
      </c>
      <c r="C127" s="5" t="n">
        <v>2018</v>
      </c>
      <c r="D127" s="5" t="s">
        <v>37</v>
      </c>
      <c r="E127" s="5" t="s">
        <v>38</v>
      </c>
      <c r="F127" s="5" t="s">
        <v>39</v>
      </c>
      <c r="G127" s="6" t="n">
        <v>506</v>
      </c>
      <c r="H127" s="6" t="n">
        <v>105</v>
      </c>
      <c r="I127" s="7" t="n">
        <f aca="false">(G127-H127)/G127</f>
        <v>0.792490118577075</v>
      </c>
      <c r="J127" s="15" t="n">
        <v>0.5934</v>
      </c>
      <c r="K127" s="11" t="str">
        <f aca="false">IF(I127&lt;J127,"TAK","NIE")</f>
        <v>NIE</v>
      </c>
    </row>
    <row r="128" customFormat="false" ht="15" hidden="false" customHeight="false" outlineLevel="0" collapsed="false">
      <c r="A128" s="5" t="s">
        <v>195</v>
      </c>
      <c r="B128" s="5" t="s">
        <v>45</v>
      </c>
      <c r="C128" s="5" t="n">
        <v>2018</v>
      </c>
      <c r="D128" s="5" t="s">
        <v>37</v>
      </c>
      <c r="E128" s="5" t="s">
        <v>38</v>
      </c>
      <c r="F128" s="5" t="s">
        <v>39</v>
      </c>
      <c r="G128" s="6" t="n">
        <v>552</v>
      </c>
      <c r="H128" s="6" t="n">
        <v>245</v>
      </c>
      <c r="I128" s="7" t="n">
        <f aca="false">(G128-H128)/G128</f>
        <v>0.556159420289855</v>
      </c>
      <c r="J128" s="15" t="n">
        <v>0.5934</v>
      </c>
      <c r="K128" s="11" t="str">
        <f aca="false">IF(I128&lt;J128,"TAK","NIE")</f>
        <v>TAK</v>
      </c>
    </row>
    <row r="129" customFormat="false" ht="15" hidden="false" customHeight="false" outlineLevel="0" collapsed="false">
      <c r="A129" s="5" t="s">
        <v>196</v>
      </c>
      <c r="B129" s="5" t="s">
        <v>45</v>
      </c>
      <c r="C129" s="5" t="n">
        <v>2018</v>
      </c>
      <c r="D129" s="5" t="s">
        <v>37</v>
      </c>
      <c r="E129" s="5" t="s">
        <v>38</v>
      </c>
      <c r="F129" s="5" t="s">
        <v>39</v>
      </c>
      <c r="G129" s="6" t="n">
        <v>493</v>
      </c>
      <c r="H129" s="6" t="n">
        <v>38</v>
      </c>
      <c r="I129" s="7" t="n">
        <f aca="false">(G129-H129)/G129</f>
        <v>0.922920892494929</v>
      </c>
      <c r="J129" s="15" t="n">
        <v>0.5934</v>
      </c>
      <c r="K129" s="11" t="str">
        <f aca="false">IF(I129&lt;J129,"TAK","NIE")</f>
        <v>NIE</v>
      </c>
    </row>
    <row r="130" customFormat="false" ht="15" hidden="false" customHeight="false" outlineLevel="0" collapsed="false">
      <c r="A130" s="5" t="s">
        <v>197</v>
      </c>
      <c r="B130" s="5" t="s">
        <v>45</v>
      </c>
      <c r="C130" s="5" t="n">
        <v>2018</v>
      </c>
      <c r="D130" s="5" t="s">
        <v>37</v>
      </c>
      <c r="E130" s="5" t="s">
        <v>38</v>
      </c>
      <c r="F130" s="5" t="s">
        <v>39</v>
      </c>
      <c r="G130" s="6" t="n">
        <v>552</v>
      </c>
      <c r="H130" s="6" t="n">
        <v>106</v>
      </c>
      <c r="I130" s="7" t="n">
        <f aca="false">(G130-H130)/G130</f>
        <v>0.807971014492754</v>
      </c>
      <c r="J130" s="15" t="n">
        <v>0.5934</v>
      </c>
      <c r="K130" s="11" t="str">
        <f aca="false">IF(I130&lt;J130,"TAK","NIE")</f>
        <v>NIE</v>
      </c>
    </row>
    <row r="131" customFormat="false" ht="15" hidden="false" customHeight="false" outlineLevel="0" collapsed="false">
      <c r="A131" s="5" t="s">
        <v>198</v>
      </c>
      <c r="B131" s="5" t="s">
        <v>45</v>
      </c>
      <c r="C131" s="5" t="n">
        <v>2018</v>
      </c>
      <c r="D131" s="5" t="s">
        <v>37</v>
      </c>
      <c r="E131" s="5" t="s">
        <v>38</v>
      </c>
      <c r="F131" s="5" t="s">
        <v>39</v>
      </c>
      <c r="G131" s="6" t="n">
        <v>558</v>
      </c>
      <c r="H131" s="6" t="n">
        <v>72</v>
      </c>
      <c r="I131" s="7" t="n">
        <f aca="false">(G131-H131)/G131</f>
        <v>0.870967741935484</v>
      </c>
      <c r="J131" s="15" t="n">
        <v>0.5934</v>
      </c>
      <c r="K131" s="11" t="str">
        <f aca="false">IF(I131&lt;J131,"TAK","NIE")</f>
        <v>NIE</v>
      </c>
    </row>
    <row r="132" customFormat="false" ht="15" hidden="false" customHeight="false" outlineLevel="0" collapsed="false">
      <c r="A132" s="5" t="s">
        <v>199</v>
      </c>
      <c r="B132" s="5" t="s">
        <v>45</v>
      </c>
      <c r="C132" s="5" t="n">
        <v>2018</v>
      </c>
      <c r="D132" s="5" t="s">
        <v>37</v>
      </c>
      <c r="E132" s="5" t="s">
        <v>38</v>
      </c>
      <c r="F132" s="5" t="s">
        <v>39</v>
      </c>
      <c r="G132" s="6" t="n">
        <v>558</v>
      </c>
      <c r="H132" s="6" t="n">
        <v>147</v>
      </c>
      <c r="I132" s="7" t="n">
        <f aca="false">(G132-H132)/G132</f>
        <v>0.736559139784946</v>
      </c>
      <c r="J132" s="15" t="n">
        <v>0.5934</v>
      </c>
      <c r="K132" s="11" t="str">
        <f aca="false">IF(I132&lt;J132,"TAK","NIE")</f>
        <v>NIE</v>
      </c>
    </row>
    <row r="133" customFormat="false" ht="15" hidden="false" customHeight="false" outlineLevel="0" collapsed="false">
      <c r="A133" s="5" t="s">
        <v>200</v>
      </c>
      <c r="B133" s="5" t="s">
        <v>45</v>
      </c>
      <c r="C133" s="5" t="n">
        <v>2018</v>
      </c>
      <c r="D133" s="5" t="s">
        <v>37</v>
      </c>
      <c r="E133" s="5" t="s">
        <v>38</v>
      </c>
      <c r="F133" s="5" t="s">
        <v>39</v>
      </c>
      <c r="G133" s="6" t="n">
        <v>506</v>
      </c>
      <c r="H133" s="6" t="n">
        <v>78</v>
      </c>
      <c r="I133" s="7" t="n">
        <f aca="false">(G133-H133)/G133</f>
        <v>0.845849802371542</v>
      </c>
      <c r="J133" s="15" t="n">
        <v>0.5934</v>
      </c>
      <c r="K133" s="11" t="str">
        <f aca="false">IF(I133&lt;J133,"TAK","NIE")</f>
        <v>NIE</v>
      </c>
    </row>
    <row r="134" customFormat="false" ht="15" hidden="false" customHeight="false" outlineLevel="0" collapsed="false">
      <c r="A134" s="5" t="s">
        <v>201</v>
      </c>
      <c r="B134" s="5" t="s">
        <v>45</v>
      </c>
      <c r="C134" s="5" t="n">
        <v>2018</v>
      </c>
      <c r="D134" s="5" t="s">
        <v>37</v>
      </c>
      <c r="E134" s="5" t="s">
        <v>38</v>
      </c>
      <c r="F134" s="5" t="s">
        <v>39</v>
      </c>
      <c r="G134" s="6" t="n">
        <v>545</v>
      </c>
      <c r="H134" s="6" t="n">
        <v>62</v>
      </c>
      <c r="I134" s="7" t="n">
        <f aca="false">(G134-H134)/G134</f>
        <v>0.886238532110092</v>
      </c>
      <c r="J134" s="15" t="n">
        <v>0.5934</v>
      </c>
      <c r="K134" s="11" t="str">
        <f aca="false">IF(I134&lt;J134,"TAK","NIE")</f>
        <v>NIE</v>
      </c>
    </row>
    <row r="135" customFormat="false" ht="15" hidden="false" customHeight="false" outlineLevel="0" collapsed="false">
      <c r="A135" s="5" t="s">
        <v>202</v>
      </c>
      <c r="B135" s="5" t="s">
        <v>45</v>
      </c>
      <c r="C135" s="5" t="n">
        <v>2018</v>
      </c>
      <c r="D135" s="5" t="s">
        <v>37</v>
      </c>
      <c r="E135" s="5" t="s">
        <v>38</v>
      </c>
      <c r="F135" s="5" t="s">
        <v>39</v>
      </c>
      <c r="G135" s="6" t="n">
        <v>494</v>
      </c>
      <c r="H135" s="6" t="n">
        <v>21</v>
      </c>
      <c r="I135" s="7" t="n">
        <f aca="false">(G135-H135)/G135</f>
        <v>0.95748987854251</v>
      </c>
      <c r="J135" s="15" t="n">
        <v>0.5934</v>
      </c>
      <c r="K135" s="11" t="str">
        <f aca="false">IF(I135&lt;J135,"TAK","NIE")</f>
        <v>NIE</v>
      </c>
    </row>
    <row r="136" customFormat="false" ht="15" hidden="false" customHeight="false" outlineLevel="0" collapsed="false">
      <c r="A136" s="5" t="s">
        <v>203</v>
      </c>
      <c r="B136" s="5" t="s">
        <v>45</v>
      </c>
      <c r="C136" s="5" t="n">
        <v>2018</v>
      </c>
      <c r="D136" s="5" t="s">
        <v>37</v>
      </c>
      <c r="E136" s="5" t="s">
        <v>38</v>
      </c>
      <c r="F136" s="5" t="s">
        <v>39</v>
      </c>
      <c r="G136" s="6" t="n">
        <v>552</v>
      </c>
      <c r="H136" s="6" t="n">
        <v>41</v>
      </c>
      <c r="I136" s="7" t="n">
        <f aca="false">(G136-H136)/G136</f>
        <v>0.925724637681159</v>
      </c>
      <c r="J136" s="15" t="n">
        <v>0.5934</v>
      </c>
      <c r="K136" s="11" t="str">
        <f aca="false">IF(I136&lt;J136,"TAK","NIE")</f>
        <v>NIE</v>
      </c>
    </row>
    <row r="137" customFormat="false" ht="15" hidden="false" customHeight="false" outlineLevel="0" collapsed="false">
      <c r="A137" s="5" t="s">
        <v>204</v>
      </c>
      <c r="B137" s="5" t="s">
        <v>45</v>
      </c>
      <c r="C137" s="5" t="n">
        <v>2018</v>
      </c>
      <c r="D137" s="5" t="s">
        <v>37</v>
      </c>
      <c r="E137" s="5" t="s">
        <v>38</v>
      </c>
      <c r="F137" s="5" t="s">
        <v>39</v>
      </c>
      <c r="G137" s="6" t="n">
        <v>552</v>
      </c>
      <c r="H137" s="6" t="n">
        <v>158</v>
      </c>
      <c r="I137" s="7" t="n">
        <f aca="false">(G137-H137)/G137</f>
        <v>0.713768115942029</v>
      </c>
      <c r="J137" s="15" t="n">
        <v>0.5934</v>
      </c>
      <c r="K137" s="11" t="str">
        <f aca="false">IF(I137&lt;J137,"TAK","NIE")</f>
        <v>NIE</v>
      </c>
    </row>
    <row r="138" customFormat="false" ht="15" hidden="false" customHeight="false" outlineLevel="0" collapsed="false">
      <c r="A138" s="5" t="s">
        <v>205</v>
      </c>
      <c r="B138" s="5" t="s">
        <v>45</v>
      </c>
      <c r="C138" s="5" t="n">
        <v>2018</v>
      </c>
      <c r="D138" s="5" t="s">
        <v>37</v>
      </c>
      <c r="E138" s="5" t="s">
        <v>38</v>
      </c>
      <c r="F138" s="5" t="s">
        <v>39</v>
      </c>
      <c r="G138" s="6" t="n">
        <v>552</v>
      </c>
      <c r="H138" s="6" t="n">
        <v>139</v>
      </c>
      <c r="I138" s="7" t="n">
        <f aca="false">(G138-H138)/G138</f>
        <v>0.748188405797101</v>
      </c>
      <c r="J138" s="15" t="n">
        <v>0.5934</v>
      </c>
      <c r="K138" s="11" t="str">
        <f aca="false">IF(I138&lt;J138,"TAK","NIE")</f>
        <v>NIE</v>
      </c>
    </row>
    <row r="139" customFormat="false" ht="15" hidden="false" customHeight="false" outlineLevel="0" collapsed="false">
      <c r="A139" s="5" t="s">
        <v>206</v>
      </c>
      <c r="B139" s="5" t="s">
        <v>45</v>
      </c>
      <c r="C139" s="5" t="n">
        <v>2018</v>
      </c>
      <c r="D139" s="5" t="s">
        <v>37</v>
      </c>
      <c r="E139" s="5" t="s">
        <v>38</v>
      </c>
      <c r="F139" s="5" t="s">
        <v>39</v>
      </c>
      <c r="G139" s="6" t="n">
        <v>494</v>
      </c>
      <c r="H139" s="6" t="n">
        <v>61</v>
      </c>
      <c r="I139" s="7" t="n">
        <f aca="false">(G139-H139)/G139</f>
        <v>0.876518218623482</v>
      </c>
      <c r="J139" s="15" t="n">
        <v>0.5934</v>
      </c>
      <c r="K139" s="11" t="str">
        <f aca="false">IF(I139&lt;J139,"TAK","NIE")</f>
        <v>NIE</v>
      </c>
    </row>
    <row r="140" customFormat="false" ht="15" hidden="false" customHeight="false" outlineLevel="0" collapsed="false">
      <c r="A140" s="5" t="s">
        <v>207</v>
      </c>
      <c r="B140" s="5" t="s">
        <v>45</v>
      </c>
      <c r="C140" s="5" t="n">
        <v>2018</v>
      </c>
      <c r="D140" s="5" t="s">
        <v>37</v>
      </c>
      <c r="E140" s="5" t="s">
        <v>38</v>
      </c>
      <c r="F140" s="5" t="s">
        <v>39</v>
      </c>
      <c r="G140" s="6" t="n">
        <v>506</v>
      </c>
      <c r="H140" s="6" t="n">
        <v>141</v>
      </c>
      <c r="I140" s="7" t="n">
        <f aca="false">(G140-H140)/G140</f>
        <v>0.721343873517787</v>
      </c>
      <c r="J140" s="15" t="n">
        <v>0.5934</v>
      </c>
      <c r="K140" s="11" t="str">
        <f aca="false">IF(I140&lt;J140,"TAK","NIE")</f>
        <v>NIE</v>
      </c>
    </row>
    <row r="141" customFormat="false" ht="15" hidden="false" customHeight="false" outlineLevel="0" collapsed="false">
      <c r="A141" s="5" t="s">
        <v>208</v>
      </c>
      <c r="B141" s="5" t="s">
        <v>45</v>
      </c>
      <c r="C141" s="5" t="n">
        <v>2018</v>
      </c>
      <c r="D141" s="5" t="s">
        <v>37</v>
      </c>
      <c r="E141" s="5" t="s">
        <v>38</v>
      </c>
      <c r="F141" s="5" t="s">
        <v>39</v>
      </c>
      <c r="G141" s="6" t="n">
        <v>494</v>
      </c>
      <c r="H141" s="6" t="n">
        <v>75</v>
      </c>
      <c r="I141" s="7" t="n">
        <f aca="false">(G141-H141)/G141</f>
        <v>0.848178137651822</v>
      </c>
      <c r="J141" s="15" t="n">
        <v>0.5934</v>
      </c>
      <c r="K141" s="11" t="str">
        <f aca="false">IF(I141&lt;J141,"TAK","NIE")</f>
        <v>NIE</v>
      </c>
    </row>
    <row r="142" customFormat="false" ht="15" hidden="false" customHeight="false" outlineLevel="0" collapsed="false">
      <c r="A142" s="5" t="s">
        <v>209</v>
      </c>
      <c r="B142" s="5" t="s">
        <v>45</v>
      </c>
      <c r="C142" s="5" t="n">
        <v>2018</v>
      </c>
      <c r="D142" s="5" t="s">
        <v>37</v>
      </c>
      <c r="E142" s="5" t="s">
        <v>38</v>
      </c>
      <c r="F142" s="5" t="s">
        <v>39</v>
      </c>
      <c r="G142" s="6" t="n">
        <v>552</v>
      </c>
      <c r="H142" s="6" t="n">
        <v>131</v>
      </c>
      <c r="I142" s="7" t="n">
        <f aca="false">(G142-H142)/G142</f>
        <v>0.76268115942029</v>
      </c>
      <c r="J142" s="15" t="n">
        <v>0.5934</v>
      </c>
      <c r="K142" s="11" t="str">
        <f aca="false">IF(I142&lt;J142,"TAK","NIE")</f>
        <v>NIE</v>
      </c>
    </row>
    <row r="143" customFormat="false" ht="15" hidden="false" customHeight="false" outlineLevel="0" collapsed="false">
      <c r="A143" s="5" t="s">
        <v>210</v>
      </c>
      <c r="B143" s="5" t="s">
        <v>45</v>
      </c>
      <c r="C143" s="5" t="n">
        <v>2018</v>
      </c>
      <c r="D143" s="5" t="s">
        <v>37</v>
      </c>
      <c r="E143" s="5" t="s">
        <v>38</v>
      </c>
      <c r="F143" s="5" t="s">
        <v>39</v>
      </c>
      <c r="G143" s="6" t="n">
        <v>558</v>
      </c>
      <c r="H143" s="6" t="n">
        <v>68</v>
      </c>
      <c r="I143" s="7" t="n">
        <f aca="false">(G143-H143)/G143</f>
        <v>0.878136200716846</v>
      </c>
      <c r="J143" s="15" t="n">
        <v>0.5934</v>
      </c>
      <c r="K143" s="11" t="str">
        <f aca="false">IF(I143&lt;J143,"TAK","NIE")</f>
        <v>NIE</v>
      </c>
    </row>
    <row r="144" customFormat="false" ht="15" hidden="false" customHeight="false" outlineLevel="0" collapsed="false">
      <c r="A144" s="5" t="s">
        <v>211</v>
      </c>
      <c r="B144" s="5" t="s">
        <v>45</v>
      </c>
      <c r="C144" s="5" t="n">
        <v>2018</v>
      </c>
      <c r="D144" s="5" t="s">
        <v>37</v>
      </c>
      <c r="E144" s="5" t="s">
        <v>38</v>
      </c>
      <c r="F144" s="5" t="s">
        <v>39</v>
      </c>
      <c r="G144" s="6" t="n">
        <v>552</v>
      </c>
      <c r="H144" s="6" t="n">
        <v>86</v>
      </c>
      <c r="I144" s="7" t="n">
        <f aca="false">(G144-H144)/G144</f>
        <v>0.844202898550725</v>
      </c>
      <c r="J144" s="15" t="n">
        <v>0.5934</v>
      </c>
      <c r="K144" s="11" t="str">
        <f aca="false">IF(I144&lt;J144,"TAK","NIE")</f>
        <v>NIE</v>
      </c>
    </row>
    <row r="145" customFormat="false" ht="15" hidden="false" customHeight="false" outlineLevel="0" collapsed="false">
      <c r="A145" s="5" t="s">
        <v>212</v>
      </c>
      <c r="B145" s="5" t="s">
        <v>45</v>
      </c>
      <c r="C145" s="5" t="n">
        <v>2018</v>
      </c>
      <c r="D145" s="5" t="s">
        <v>37</v>
      </c>
      <c r="E145" s="5" t="s">
        <v>38</v>
      </c>
      <c r="F145" s="5" t="s">
        <v>39</v>
      </c>
      <c r="G145" s="6" t="n">
        <v>506</v>
      </c>
      <c r="H145" s="6" t="n">
        <v>140</v>
      </c>
      <c r="I145" s="7" t="n">
        <f aca="false">(G145-H145)/G145</f>
        <v>0.723320158102767</v>
      </c>
      <c r="J145" s="15" t="n">
        <v>0.5934</v>
      </c>
      <c r="K145" s="11" t="str">
        <f aca="false">IF(I145&lt;J145,"TAK","NIE")</f>
        <v>NIE</v>
      </c>
    </row>
    <row r="146" customFormat="false" ht="15" hidden="false" customHeight="false" outlineLevel="0" collapsed="false">
      <c r="A146" s="5" t="s">
        <v>213</v>
      </c>
      <c r="B146" s="5" t="s">
        <v>45</v>
      </c>
      <c r="C146" s="5" t="n">
        <v>2018</v>
      </c>
      <c r="D146" s="5" t="s">
        <v>37</v>
      </c>
      <c r="E146" s="5" t="s">
        <v>38</v>
      </c>
      <c r="F146" s="5" t="s">
        <v>39</v>
      </c>
      <c r="G146" s="6" t="n">
        <v>539</v>
      </c>
      <c r="H146" s="6" t="n">
        <v>100</v>
      </c>
      <c r="I146" s="7" t="n">
        <f aca="false">(G146-H146)/G146</f>
        <v>0.814471243042672</v>
      </c>
      <c r="J146" s="15" t="n">
        <v>0.5934</v>
      </c>
      <c r="K146" s="11" t="str">
        <f aca="false">IF(I146&lt;J146,"TAK","NIE")</f>
        <v>NIE</v>
      </c>
    </row>
    <row r="147" customFormat="false" ht="15" hidden="false" customHeight="false" outlineLevel="0" collapsed="false">
      <c r="A147" s="5" t="s">
        <v>214</v>
      </c>
      <c r="B147" s="5" t="s">
        <v>45</v>
      </c>
      <c r="C147" s="5" t="n">
        <v>2018</v>
      </c>
      <c r="D147" s="5" t="s">
        <v>37</v>
      </c>
      <c r="E147" s="5" t="s">
        <v>38</v>
      </c>
      <c r="F147" s="5" t="s">
        <v>39</v>
      </c>
      <c r="G147" s="6" t="n">
        <v>552</v>
      </c>
      <c r="H147" s="6" t="n">
        <v>108</v>
      </c>
      <c r="I147" s="7" t="n">
        <f aca="false">(G147-H147)/G147</f>
        <v>0.804347826086957</v>
      </c>
      <c r="J147" s="15" t="n">
        <v>0.5934</v>
      </c>
      <c r="K147" s="11" t="str">
        <f aca="false">IF(I147&lt;J147,"TAK","NIE")</f>
        <v>NIE</v>
      </c>
    </row>
    <row r="148" customFormat="false" ht="15" hidden="false" customHeight="false" outlineLevel="0" collapsed="false">
      <c r="A148" s="5" t="s">
        <v>215</v>
      </c>
      <c r="B148" s="5" t="s">
        <v>45</v>
      </c>
      <c r="C148" s="5" t="n">
        <v>2018</v>
      </c>
      <c r="D148" s="5" t="s">
        <v>37</v>
      </c>
      <c r="E148" s="5" t="s">
        <v>38</v>
      </c>
      <c r="F148" s="5" t="s">
        <v>39</v>
      </c>
      <c r="G148" s="6" t="n">
        <v>552</v>
      </c>
      <c r="H148" s="6" t="n">
        <v>86</v>
      </c>
      <c r="I148" s="7" t="n">
        <f aca="false">(G148-H148)/G148</f>
        <v>0.844202898550725</v>
      </c>
      <c r="J148" s="15" t="n">
        <v>0.5934</v>
      </c>
      <c r="K148" s="11" t="str">
        <f aca="false">IF(I148&lt;J148,"TAK","NIE")</f>
        <v>NIE</v>
      </c>
    </row>
    <row r="149" customFormat="false" ht="15" hidden="false" customHeight="false" outlineLevel="0" collapsed="false">
      <c r="A149" s="5" t="s">
        <v>216</v>
      </c>
      <c r="B149" s="5" t="s">
        <v>45</v>
      </c>
      <c r="C149" s="5" t="n">
        <v>2018</v>
      </c>
      <c r="D149" s="5" t="s">
        <v>37</v>
      </c>
      <c r="E149" s="5" t="s">
        <v>38</v>
      </c>
      <c r="F149" s="5" t="s">
        <v>39</v>
      </c>
      <c r="G149" s="6" t="n">
        <v>506</v>
      </c>
      <c r="H149" s="6" t="n">
        <v>118</v>
      </c>
      <c r="I149" s="7" t="n">
        <f aca="false">(G149-H149)/G149</f>
        <v>0.766798418972332</v>
      </c>
      <c r="J149" s="15" t="n">
        <v>0.5934</v>
      </c>
      <c r="K149" s="11" t="str">
        <f aca="false">IF(I149&lt;J149,"TAK","NIE")</f>
        <v>NIE</v>
      </c>
    </row>
    <row r="150" customFormat="false" ht="15" hidden="false" customHeight="false" outlineLevel="0" collapsed="false">
      <c r="A150" s="5" t="s">
        <v>217</v>
      </c>
      <c r="B150" s="5" t="s">
        <v>45</v>
      </c>
      <c r="C150" s="5" t="n">
        <v>2018</v>
      </c>
      <c r="D150" s="5" t="s">
        <v>37</v>
      </c>
      <c r="E150" s="5" t="s">
        <v>38</v>
      </c>
      <c r="F150" s="5" t="s">
        <v>39</v>
      </c>
      <c r="G150" s="6" t="n">
        <v>545</v>
      </c>
      <c r="H150" s="6" t="n">
        <v>48</v>
      </c>
      <c r="I150" s="7" t="n">
        <f aca="false">(G150-H150)/G150</f>
        <v>0.911926605504587</v>
      </c>
      <c r="J150" s="15" t="n">
        <v>0.5934</v>
      </c>
      <c r="K150" s="11" t="str">
        <f aca="false">IF(I150&lt;J150,"TAK","NIE")</f>
        <v>NIE</v>
      </c>
    </row>
    <row r="151" customFormat="false" ht="15" hidden="false" customHeight="false" outlineLevel="0" collapsed="false">
      <c r="A151" s="5" t="s">
        <v>218</v>
      </c>
      <c r="B151" s="5" t="s">
        <v>45</v>
      </c>
      <c r="C151" s="5" t="n">
        <v>2018</v>
      </c>
      <c r="D151" s="5" t="s">
        <v>37</v>
      </c>
      <c r="E151" s="5" t="s">
        <v>38</v>
      </c>
      <c r="F151" s="5" t="s">
        <v>39</v>
      </c>
      <c r="G151" s="6" t="n">
        <v>558</v>
      </c>
      <c r="H151" s="6" t="n">
        <v>21</v>
      </c>
      <c r="I151" s="7" t="n">
        <f aca="false">(G151-H151)/G151</f>
        <v>0.96236559139785</v>
      </c>
      <c r="J151" s="15" t="n">
        <v>0.5934</v>
      </c>
      <c r="K151" s="11" t="str">
        <f aca="false">IF(I151&lt;J151,"TAK","NIE")</f>
        <v>NIE</v>
      </c>
    </row>
    <row r="152" customFormat="false" ht="15" hidden="false" customHeight="false" outlineLevel="0" collapsed="false">
      <c r="A152" s="5" t="s">
        <v>193</v>
      </c>
      <c r="B152" s="5" t="s">
        <v>45</v>
      </c>
      <c r="C152" s="5" t="n">
        <v>2018</v>
      </c>
      <c r="D152" s="5" t="s">
        <v>37</v>
      </c>
      <c r="E152" s="5" t="s">
        <v>38</v>
      </c>
      <c r="F152" s="5" t="s">
        <v>40</v>
      </c>
      <c r="G152" s="6" t="n">
        <v>745</v>
      </c>
      <c r="H152" s="6" t="n">
        <v>310</v>
      </c>
      <c r="I152" s="7" t="n">
        <f aca="false">(G152-H152)/G152</f>
        <v>0.583892617449665</v>
      </c>
      <c r="J152" s="15" t="n">
        <v>0.486</v>
      </c>
      <c r="K152" s="11" t="str">
        <f aca="false">IF(I152&lt;J152,"TAK","NIE")</f>
        <v>NIE</v>
      </c>
    </row>
    <row r="153" customFormat="false" ht="15" hidden="false" customHeight="false" outlineLevel="0" collapsed="false">
      <c r="A153" s="5" t="s">
        <v>194</v>
      </c>
      <c r="B153" s="5" t="s">
        <v>45</v>
      </c>
      <c r="C153" s="5" t="n">
        <v>2018</v>
      </c>
      <c r="D153" s="5" t="s">
        <v>37</v>
      </c>
      <c r="E153" s="5" t="s">
        <v>38</v>
      </c>
      <c r="F153" s="5" t="s">
        <v>40</v>
      </c>
      <c r="G153" s="6" t="n">
        <v>624</v>
      </c>
      <c r="H153" s="6" t="n">
        <v>237</v>
      </c>
      <c r="I153" s="7" t="n">
        <f aca="false">(G153-H153)/G153</f>
        <v>0.620192307692308</v>
      </c>
      <c r="J153" s="15" t="n">
        <v>0.486</v>
      </c>
      <c r="K153" s="11" t="str">
        <f aca="false">IF(I153&lt;J153,"TAK","NIE")</f>
        <v>NIE</v>
      </c>
    </row>
    <row r="154" customFormat="false" ht="15" hidden="false" customHeight="false" outlineLevel="0" collapsed="false">
      <c r="A154" s="5" t="s">
        <v>195</v>
      </c>
      <c r="B154" s="5" t="s">
        <v>45</v>
      </c>
      <c r="C154" s="5" t="n">
        <v>2018</v>
      </c>
      <c r="D154" s="5" t="s">
        <v>37</v>
      </c>
      <c r="E154" s="5" t="s">
        <v>38</v>
      </c>
      <c r="F154" s="5" t="s">
        <v>40</v>
      </c>
      <c r="G154" s="6" t="n">
        <v>745</v>
      </c>
      <c r="H154" s="6" t="n">
        <v>353</v>
      </c>
      <c r="I154" s="7" t="n">
        <f aca="false">(G154-H154)/G154</f>
        <v>0.526174496644295</v>
      </c>
      <c r="J154" s="15" t="n">
        <v>0.486</v>
      </c>
      <c r="K154" s="11" t="str">
        <f aca="false">IF(I154&lt;J154,"TAK","NIE")</f>
        <v>NIE</v>
      </c>
    </row>
    <row r="155" customFormat="false" ht="15" hidden="false" customHeight="false" outlineLevel="0" collapsed="false">
      <c r="A155" s="5" t="s">
        <v>196</v>
      </c>
      <c r="B155" s="5" t="s">
        <v>45</v>
      </c>
      <c r="C155" s="5" t="n">
        <v>2018</v>
      </c>
      <c r="D155" s="5" t="s">
        <v>37</v>
      </c>
      <c r="E155" s="5" t="s">
        <v>38</v>
      </c>
      <c r="F155" s="5" t="s">
        <v>40</v>
      </c>
      <c r="G155" s="6" t="n">
        <v>570</v>
      </c>
      <c r="H155" s="6" t="n">
        <v>140</v>
      </c>
      <c r="I155" s="7" t="n">
        <f aca="false">(G155-H155)/G155</f>
        <v>0.754385964912281</v>
      </c>
      <c r="J155" s="15" t="n">
        <v>0.486</v>
      </c>
      <c r="K155" s="11" t="str">
        <f aca="false">IF(I155&lt;J155,"TAK","NIE")</f>
        <v>NIE</v>
      </c>
    </row>
    <row r="156" customFormat="false" ht="15" hidden="false" customHeight="false" outlineLevel="0" collapsed="false">
      <c r="A156" s="5" t="s">
        <v>197</v>
      </c>
      <c r="B156" s="5" t="s">
        <v>45</v>
      </c>
      <c r="C156" s="5" t="n">
        <v>2018</v>
      </c>
      <c r="D156" s="5" t="s">
        <v>37</v>
      </c>
      <c r="E156" s="5" t="s">
        <v>38</v>
      </c>
      <c r="F156" s="5" t="s">
        <v>40</v>
      </c>
      <c r="G156" s="6" t="n">
        <v>745</v>
      </c>
      <c r="H156" s="6" t="n">
        <v>151</v>
      </c>
      <c r="I156" s="7" t="n">
        <f aca="false">(G156-H156)/G156</f>
        <v>0.797315436241611</v>
      </c>
      <c r="J156" s="15" t="n">
        <v>0.486</v>
      </c>
      <c r="K156" s="11" t="str">
        <f aca="false">IF(I156&lt;J156,"TAK","NIE")</f>
        <v>NIE</v>
      </c>
    </row>
    <row r="157" customFormat="false" ht="15" hidden="false" customHeight="false" outlineLevel="0" collapsed="false">
      <c r="A157" s="5" t="s">
        <v>198</v>
      </c>
      <c r="B157" s="5" t="s">
        <v>45</v>
      </c>
      <c r="C157" s="5" t="n">
        <v>2018</v>
      </c>
      <c r="D157" s="5" t="s">
        <v>37</v>
      </c>
      <c r="E157" s="5" t="s">
        <v>38</v>
      </c>
      <c r="F157" s="5" t="s">
        <v>40</v>
      </c>
      <c r="G157" s="6" t="n">
        <v>745</v>
      </c>
      <c r="H157" s="6" t="n">
        <v>235</v>
      </c>
      <c r="I157" s="7" t="n">
        <f aca="false">(G157-H157)/G157</f>
        <v>0.684563758389262</v>
      </c>
      <c r="J157" s="15" t="n">
        <v>0.486</v>
      </c>
      <c r="K157" s="11" t="str">
        <f aca="false">IF(I157&lt;J157,"TAK","NIE")</f>
        <v>NIE</v>
      </c>
    </row>
    <row r="158" customFormat="false" ht="15" hidden="false" customHeight="false" outlineLevel="0" collapsed="false">
      <c r="A158" s="5" t="s">
        <v>199</v>
      </c>
      <c r="B158" s="5" t="s">
        <v>45</v>
      </c>
      <c r="C158" s="5" t="n">
        <v>2018</v>
      </c>
      <c r="D158" s="5" t="s">
        <v>37</v>
      </c>
      <c r="E158" s="5" t="s">
        <v>38</v>
      </c>
      <c r="F158" s="5" t="s">
        <v>40</v>
      </c>
      <c r="G158" s="6" t="n">
        <v>745</v>
      </c>
      <c r="H158" s="6" t="n">
        <v>276</v>
      </c>
      <c r="I158" s="7" t="n">
        <f aca="false">(G158-H158)/G158</f>
        <v>0.629530201342282</v>
      </c>
      <c r="J158" s="15" t="n">
        <v>0.486</v>
      </c>
      <c r="K158" s="11" t="str">
        <f aca="false">IF(I158&lt;J158,"TAK","NIE")</f>
        <v>NIE</v>
      </c>
    </row>
    <row r="159" customFormat="false" ht="15" hidden="false" customHeight="false" outlineLevel="0" collapsed="false">
      <c r="A159" s="5" t="s">
        <v>200</v>
      </c>
      <c r="B159" s="5" t="s">
        <v>45</v>
      </c>
      <c r="C159" s="5" t="n">
        <v>2018</v>
      </c>
      <c r="D159" s="5" t="s">
        <v>37</v>
      </c>
      <c r="E159" s="5" t="s">
        <v>38</v>
      </c>
      <c r="F159" s="5" t="s">
        <v>40</v>
      </c>
      <c r="G159" s="6" t="n">
        <v>624</v>
      </c>
      <c r="H159" s="6" t="n">
        <v>176</v>
      </c>
      <c r="I159" s="7" t="n">
        <f aca="false">(G159-H159)/G159</f>
        <v>0.717948717948718</v>
      </c>
      <c r="J159" s="15" t="n">
        <v>0.486</v>
      </c>
      <c r="K159" s="11" t="str">
        <f aca="false">IF(I159&lt;J159,"TAK","NIE")</f>
        <v>NIE</v>
      </c>
    </row>
    <row r="160" customFormat="false" ht="15" hidden="false" customHeight="false" outlineLevel="0" collapsed="false">
      <c r="A160" s="5" t="s">
        <v>201</v>
      </c>
      <c r="B160" s="5" t="s">
        <v>45</v>
      </c>
      <c r="C160" s="5" t="n">
        <v>2018</v>
      </c>
      <c r="D160" s="5" t="s">
        <v>37</v>
      </c>
      <c r="E160" s="5" t="s">
        <v>38</v>
      </c>
      <c r="F160" s="5" t="s">
        <v>40</v>
      </c>
      <c r="G160" s="6" t="n">
        <v>745</v>
      </c>
      <c r="H160" s="6" t="n">
        <v>166</v>
      </c>
      <c r="I160" s="7" t="n">
        <f aca="false">(G160-H160)/G160</f>
        <v>0.777181208053691</v>
      </c>
      <c r="J160" s="15" t="n">
        <v>0.486</v>
      </c>
      <c r="K160" s="11" t="str">
        <f aca="false">IF(I160&lt;J160,"TAK","NIE")</f>
        <v>NIE</v>
      </c>
    </row>
    <row r="161" customFormat="false" ht="15" hidden="false" customHeight="false" outlineLevel="0" collapsed="false">
      <c r="A161" s="5" t="s">
        <v>202</v>
      </c>
      <c r="B161" s="5" t="s">
        <v>45</v>
      </c>
      <c r="C161" s="5" t="n">
        <v>2018</v>
      </c>
      <c r="D161" s="5" t="s">
        <v>37</v>
      </c>
      <c r="E161" s="5" t="s">
        <v>38</v>
      </c>
      <c r="F161" s="5" t="s">
        <v>40</v>
      </c>
      <c r="G161" s="6" t="n">
        <v>570</v>
      </c>
      <c r="H161" s="6" t="n">
        <v>86</v>
      </c>
      <c r="I161" s="7" t="n">
        <f aca="false">(G161-H161)/G161</f>
        <v>0.849122807017544</v>
      </c>
      <c r="J161" s="15" t="n">
        <v>0.486</v>
      </c>
      <c r="K161" s="11" t="str">
        <f aca="false">IF(I161&lt;J161,"TAK","NIE")</f>
        <v>NIE</v>
      </c>
    </row>
    <row r="162" customFormat="false" ht="15" hidden="false" customHeight="false" outlineLevel="0" collapsed="false">
      <c r="A162" s="5" t="s">
        <v>203</v>
      </c>
      <c r="B162" s="5" t="s">
        <v>45</v>
      </c>
      <c r="C162" s="5" t="n">
        <v>2018</v>
      </c>
      <c r="D162" s="5" t="s">
        <v>37</v>
      </c>
      <c r="E162" s="5" t="s">
        <v>38</v>
      </c>
      <c r="F162" s="5" t="s">
        <v>40</v>
      </c>
      <c r="G162" s="6" t="n">
        <v>745</v>
      </c>
      <c r="H162" s="6" t="n">
        <v>101</v>
      </c>
      <c r="I162" s="7" t="n">
        <f aca="false">(G162-H162)/G162</f>
        <v>0.864429530201342</v>
      </c>
      <c r="J162" s="15" t="n">
        <v>0.486</v>
      </c>
      <c r="K162" s="11" t="str">
        <f aca="false">IF(I162&lt;J162,"TAK","NIE")</f>
        <v>NIE</v>
      </c>
    </row>
    <row r="163" customFormat="false" ht="15" hidden="false" customHeight="false" outlineLevel="0" collapsed="false">
      <c r="A163" s="5" t="s">
        <v>204</v>
      </c>
      <c r="B163" s="5" t="s">
        <v>45</v>
      </c>
      <c r="C163" s="5" t="n">
        <v>2018</v>
      </c>
      <c r="D163" s="5" t="s">
        <v>37</v>
      </c>
      <c r="E163" s="5" t="s">
        <v>38</v>
      </c>
      <c r="F163" s="5" t="s">
        <v>40</v>
      </c>
      <c r="G163" s="6" t="n">
        <v>745</v>
      </c>
      <c r="H163" s="6" t="n">
        <v>251</v>
      </c>
      <c r="I163" s="7" t="n">
        <f aca="false">(G163-H163)/G163</f>
        <v>0.663087248322148</v>
      </c>
      <c r="J163" s="15" t="n">
        <v>0.486</v>
      </c>
      <c r="K163" s="11" t="str">
        <f aca="false">IF(I163&lt;J163,"TAK","NIE")</f>
        <v>NIE</v>
      </c>
    </row>
    <row r="164" customFormat="false" ht="15" hidden="false" customHeight="false" outlineLevel="0" collapsed="false">
      <c r="A164" s="5" t="s">
        <v>205</v>
      </c>
      <c r="B164" s="5" t="s">
        <v>45</v>
      </c>
      <c r="C164" s="5" t="n">
        <v>2018</v>
      </c>
      <c r="D164" s="5" t="s">
        <v>37</v>
      </c>
      <c r="E164" s="5" t="s">
        <v>38</v>
      </c>
      <c r="F164" s="5" t="s">
        <v>40</v>
      </c>
      <c r="G164" s="6" t="n">
        <v>745</v>
      </c>
      <c r="H164" s="6" t="n">
        <v>169</v>
      </c>
      <c r="I164" s="7" t="n">
        <f aca="false">(G164-H164)/G164</f>
        <v>0.773154362416107</v>
      </c>
      <c r="J164" s="15" t="n">
        <v>0.486</v>
      </c>
      <c r="K164" s="11" t="str">
        <f aca="false">IF(I164&lt;J164,"TAK","NIE")</f>
        <v>NIE</v>
      </c>
    </row>
    <row r="165" customFormat="false" ht="15" hidden="false" customHeight="false" outlineLevel="0" collapsed="false">
      <c r="A165" s="5" t="s">
        <v>206</v>
      </c>
      <c r="B165" s="5" t="s">
        <v>45</v>
      </c>
      <c r="C165" s="5" t="n">
        <v>2018</v>
      </c>
      <c r="D165" s="5" t="s">
        <v>37</v>
      </c>
      <c r="E165" s="5" t="s">
        <v>38</v>
      </c>
      <c r="F165" s="5" t="s">
        <v>40</v>
      </c>
      <c r="G165" s="6" t="n">
        <v>624</v>
      </c>
      <c r="H165" s="6" t="n">
        <v>145</v>
      </c>
      <c r="I165" s="7" t="n">
        <f aca="false">(G165-H165)/G165</f>
        <v>0.767628205128205</v>
      </c>
      <c r="J165" s="15" t="n">
        <v>0.486</v>
      </c>
      <c r="K165" s="11" t="str">
        <f aca="false">IF(I165&lt;J165,"TAK","NIE")</f>
        <v>NIE</v>
      </c>
    </row>
    <row r="166" customFormat="false" ht="15" hidden="false" customHeight="false" outlineLevel="0" collapsed="false">
      <c r="A166" s="5" t="s">
        <v>207</v>
      </c>
      <c r="B166" s="5" t="s">
        <v>45</v>
      </c>
      <c r="C166" s="5" t="n">
        <v>2018</v>
      </c>
      <c r="D166" s="5" t="s">
        <v>37</v>
      </c>
      <c r="E166" s="5" t="s">
        <v>38</v>
      </c>
      <c r="F166" s="5" t="s">
        <v>40</v>
      </c>
      <c r="G166" s="6" t="n">
        <v>624</v>
      </c>
      <c r="H166" s="6" t="n">
        <v>213</v>
      </c>
      <c r="I166" s="7" t="n">
        <f aca="false">(G166-H166)/G166</f>
        <v>0.658653846153846</v>
      </c>
      <c r="J166" s="15" t="n">
        <v>0.486</v>
      </c>
      <c r="K166" s="11" t="str">
        <f aca="false">IF(I166&lt;J166,"TAK","NIE")</f>
        <v>NIE</v>
      </c>
    </row>
    <row r="167" customFormat="false" ht="15" hidden="false" customHeight="false" outlineLevel="0" collapsed="false">
      <c r="A167" s="5" t="s">
        <v>208</v>
      </c>
      <c r="B167" s="5" t="s">
        <v>45</v>
      </c>
      <c r="C167" s="5" t="n">
        <v>2018</v>
      </c>
      <c r="D167" s="5" t="s">
        <v>37</v>
      </c>
      <c r="E167" s="5" t="s">
        <v>38</v>
      </c>
      <c r="F167" s="5" t="s">
        <v>40</v>
      </c>
      <c r="G167" s="6" t="n">
        <v>570</v>
      </c>
      <c r="H167" s="6" t="n">
        <v>106</v>
      </c>
      <c r="I167" s="7" t="n">
        <f aca="false">(G167-H167)/G167</f>
        <v>0.814035087719298</v>
      </c>
      <c r="J167" s="15" t="n">
        <v>0.486</v>
      </c>
      <c r="K167" s="11" t="str">
        <f aca="false">IF(I167&lt;J167,"TAK","NIE")</f>
        <v>NIE</v>
      </c>
    </row>
    <row r="168" customFormat="false" ht="15" hidden="false" customHeight="false" outlineLevel="0" collapsed="false">
      <c r="A168" s="5" t="s">
        <v>209</v>
      </c>
      <c r="B168" s="5" t="s">
        <v>45</v>
      </c>
      <c r="C168" s="5" t="n">
        <v>2018</v>
      </c>
      <c r="D168" s="5" t="s">
        <v>37</v>
      </c>
      <c r="E168" s="5" t="s">
        <v>38</v>
      </c>
      <c r="F168" s="5" t="s">
        <v>40</v>
      </c>
      <c r="G168" s="6" t="n">
        <v>745</v>
      </c>
      <c r="H168" s="6" t="n">
        <v>188</v>
      </c>
      <c r="I168" s="7" t="n">
        <f aca="false">(G168-H168)/G168</f>
        <v>0.747651006711409</v>
      </c>
      <c r="J168" s="15" t="n">
        <v>0.486</v>
      </c>
      <c r="K168" s="11" t="str">
        <f aca="false">IF(I168&lt;J168,"TAK","NIE")</f>
        <v>NIE</v>
      </c>
    </row>
    <row r="169" customFormat="false" ht="15" hidden="false" customHeight="false" outlineLevel="0" collapsed="false">
      <c r="A169" s="5" t="s">
        <v>210</v>
      </c>
      <c r="B169" s="5" t="s">
        <v>45</v>
      </c>
      <c r="C169" s="5" t="n">
        <v>2018</v>
      </c>
      <c r="D169" s="5" t="s">
        <v>37</v>
      </c>
      <c r="E169" s="5" t="s">
        <v>38</v>
      </c>
      <c r="F169" s="5" t="s">
        <v>40</v>
      </c>
      <c r="G169" s="6" t="n">
        <v>745</v>
      </c>
      <c r="H169" s="6" t="n">
        <v>143</v>
      </c>
      <c r="I169" s="7" t="n">
        <f aca="false">(G169-H169)/G169</f>
        <v>0.808053691275168</v>
      </c>
      <c r="J169" s="15" t="n">
        <v>0.486</v>
      </c>
      <c r="K169" s="11" t="str">
        <f aca="false">IF(I169&lt;J169,"TAK","NIE")</f>
        <v>NIE</v>
      </c>
    </row>
    <row r="170" customFormat="false" ht="15" hidden="false" customHeight="false" outlineLevel="0" collapsed="false">
      <c r="A170" s="5" t="s">
        <v>211</v>
      </c>
      <c r="B170" s="5" t="s">
        <v>45</v>
      </c>
      <c r="C170" s="5" t="n">
        <v>2018</v>
      </c>
      <c r="D170" s="5" t="s">
        <v>37</v>
      </c>
      <c r="E170" s="5" t="s">
        <v>38</v>
      </c>
      <c r="F170" s="5" t="s">
        <v>40</v>
      </c>
      <c r="G170" s="6" t="n">
        <v>745</v>
      </c>
      <c r="H170" s="6" t="n">
        <v>236</v>
      </c>
      <c r="I170" s="7" t="n">
        <f aca="false">(G170-H170)/G170</f>
        <v>0.683221476510067</v>
      </c>
      <c r="J170" s="15" t="n">
        <v>0.486</v>
      </c>
      <c r="K170" s="11" t="str">
        <f aca="false">IF(I170&lt;J170,"TAK","NIE")</f>
        <v>NIE</v>
      </c>
    </row>
    <row r="171" customFormat="false" ht="15" hidden="false" customHeight="false" outlineLevel="0" collapsed="false">
      <c r="A171" s="5" t="s">
        <v>212</v>
      </c>
      <c r="B171" s="5" t="s">
        <v>45</v>
      </c>
      <c r="C171" s="5" t="n">
        <v>2018</v>
      </c>
      <c r="D171" s="5" t="s">
        <v>37</v>
      </c>
      <c r="E171" s="5" t="s">
        <v>38</v>
      </c>
      <c r="F171" s="5" t="s">
        <v>40</v>
      </c>
      <c r="G171" s="6" t="n">
        <v>624</v>
      </c>
      <c r="H171" s="6" t="n">
        <v>244</v>
      </c>
      <c r="I171" s="7" t="n">
        <f aca="false">(G171-H171)/G171</f>
        <v>0.608974358974359</v>
      </c>
      <c r="J171" s="15" t="n">
        <v>0.486</v>
      </c>
      <c r="K171" s="11" t="str">
        <f aca="false">IF(I171&lt;J171,"TAK","NIE")</f>
        <v>NIE</v>
      </c>
    </row>
    <row r="172" customFormat="false" ht="15" hidden="false" customHeight="false" outlineLevel="0" collapsed="false">
      <c r="A172" s="5" t="s">
        <v>213</v>
      </c>
      <c r="B172" s="5" t="s">
        <v>45</v>
      </c>
      <c r="C172" s="5" t="n">
        <v>2018</v>
      </c>
      <c r="D172" s="5" t="s">
        <v>37</v>
      </c>
      <c r="E172" s="5" t="s">
        <v>38</v>
      </c>
      <c r="F172" s="5" t="s">
        <v>40</v>
      </c>
      <c r="G172" s="6" t="n">
        <v>745</v>
      </c>
      <c r="H172" s="6" t="n">
        <v>255</v>
      </c>
      <c r="I172" s="7" t="n">
        <f aca="false">(G172-H172)/G172</f>
        <v>0.657718120805369</v>
      </c>
      <c r="J172" s="15" t="n">
        <v>0.486</v>
      </c>
      <c r="K172" s="11" t="str">
        <f aca="false">IF(I172&lt;J172,"TAK","NIE")</f>
        <v>NIE</v>
      </c>
    </row>
    <row r="173" customFormat="false" ht="15" hidden="false" customHeight="false" outlineLevel="0" collapsed="false">
      <c r="A173" s="5" t="s">
        <v>214</v>
      </c>
      <c r="B173" s="5" t="s">
        <v>45</v>
      </c>
      <c r="C173" s="5" t="n">
        <v>2018</v>
      </c>
      <c r="D173" s="5" t="s">
        <v>37</v>
      </c>
      <c r="E173" s="5" t="s">
        <v>38</v>
      </c>
      <c r="F173" s="5" t="s">
        <v>40</v>
      </c>
      <c r="G173" s="6" t="n">
        <v>739</v>
      </c>
      <c r="H173" s="6" t="n">
        <v>192</v>
      </c>
      <c r="I173" s="7" t="n">
        <f aca="false">(G173-H173)/G173</f>
        <v>0.740189445196211</v>
      </c>
      <c r="J173" s="15" t="n">
        <v>0.486</v>
      </c>
      <c r="K173" s="11" t="str">
        <f aca="false">IF(I173&lt;J173,"TAK","NIE")</f>
        <v>NIE</v>
      </c>
    </row>
    <row r="174" customFormat="false" ht="15" hidden="false" customHeight="false" outlineLevel="0" collapsed="false">
      <c r="A174" s="5" t="s">
        <v>215</v>
      </c>
      <c r="B174" s="5" t="s">
        <v>45</v>
      </c>
      <c r="C174" s="5" t="n">
        <v>2018</v>
      </c>
      <c r="D174" s="5" t="s">
        <v>37</v>
      </c>
      <c r="E174" s="5" t="s">
        <v>38</v>
      </c>
      <c r="F174" s="5" t="s">
        <v>40</v>
      </c>
      <c r="G174" s="6" t="n">
        <v>745</v>
      </c>
      <c r="H174" s="6" t="n">
        <v>215</v>
      </c>
      <c r="I174" s="7" t="n">
        <f aca="false">(G174-H174)/G174</f>
        <v>0.711409395973154</v>
      </c>
      <c r="J174" s="15" t="n">
        <v>0.486</v>
      </c>
      <c r="K174" s="11" t="str">
        <f aca="false">IF(I174&lt;J174,"TAK","NIE")</f>
        <v>NIE</v>
      </c>
    </row>
    <row r="175" customFormat="false" ht="15" hidden="false" customHeight="false" outlineLevel="0" collapsed="false">
      <c r="A175" s="5" t="s">
        <v>216</v>
      </c>
      <c r="B175" s="5" t="s">
        <v>45</v>
      </c>
      <c r="C175" s="5" t="n">
        <v>2018</v>
      </c>
      <c r="D175" s="5" t="s">
        <v>37</v>
      </c>
      <c r="E175" s="5" t="s">
        <v>38</v>
      </c>
      <c r="F175" s="5" t="s">
        <v>40</v>
      </c>
      <c r="G175" s="6" t="n">
        <v>624</v>
      </c>
      <c r="H175" s="6" t="n">
        <v>180</v>
      </c>
      <c r="I175" s="7" t="n">
        <f aca="false">(G175-H175)/G175</f>
        <v>0.711538461538462</v>
      </c>
      <c r="J175" s="15" t="n">
        <v>0.486</v>
      </c>
      <c r="K175" s="11" t="str">
        <f aca="false">IF(I175&lt;J175,"TAK","NIE")</f>
        <v>NIE</v>
      </c>
    </row>
    <row r="176" customFormat="false" ht="15" hidden="false" customHeight="false" outlineLevel="0" collapsed="false">
      <c r="A176" s="5" t="s">
        <v>217</v>
      </c>
      <c r="B176" s="5" t="s">
        <v>45</v>
      </c>
      <c r="C176" s="5" t="n">
        <v>2018</v>
      </c>
      <c r="D176" s="5" t="s">
        <v>37</v>
      </c>
      <c r="E176" s="5" t="s">
        <v>38</v>
      </c>
      <c r="F176" s="5" t="s">
        <v>40</v>
      </c>
      <c r="G176" s="6" t="n">
        <v>745</v>
      </c>
      <c r="H176" s="6" t="n">
        <v>192</v>
      </c>
      <c r="I176" s="7" t="n">
        <f aca="false">(G176-H176)/G176</f>
        <v>0.742281879194631</v>
      </c>
      <c r="J176" s="15" t="n">
        <v>0.486</v>
      </c>
      <c r="K176" s="11" t="str">
        <f aca="false">IF(I176&lt;J176,"TAK","NIE")</f>
        <v>NIE</v>
      </c>
    </row>
    <row r="177" customFormat="false" ht="15" hidden="false" customHeight="false" outlineLevel="0" collapsed="false">
      <c r="A177" s="5" t="s">
        <v>218</v>
      </c>
      <c r="B177" s="5" t="s">
        <v>45</v>
      </c>
      <c r="C177" s="5" t="n">
        <v>2018</v>
      </c>
      <c r="D177" s="5" t="s">
        <v>37</v>
      </c>
      <c r="E177" s="5" t="s">
        <v>38</v>
      </c>
      <c r="F177" s="5" t="s">
        <v>40</v>
      </c>
      <c r="G177" s="6" t="n">
        <v>745</v>
      </c>
      <c r="H177" s="6" t="n">
        <v>128</v>
      </c>
      <c r="I177" s="7" t="n">
        <f aca="false">(G177-H177)/G177</f>
        <v>0.828187919463087</v>
      </c>
      <c r="J177" s="15" t="n">
        <v>0.486</v>
      </c>
      <c r="K177" s="11" t="str">
        <f aca="false">IF(I177&lt;J177,"TAK","NIE")</f>
        <v>NIE</v>
      </c>
    </row>
    <row r="178" customFormat="false" ht="15" hidden="false" customHeight="false" outlineLevel="0" collapsed="false">
      <c r="A178" s="5" t="s">
        <v>193</v>
      </c>
      <c r="B178" s="5" t="s">
        <v>36</v>
      </c>
      <c r="C178" s="5" t="n">
        <v>2018</v>
      </c>
      <c r="D178" s="5" t="s">
        <v>37</v>
      </c>
      <c r="E178" s="5" t="s">
        <v>46</v>
      </c>
      <c r="F178" s="5" t="s">
        <v>39</v>
      </c>
      <c r="G178" s="6" t="n">
        <v>604</v>
      </c>
      <c r="H178" s="6" t="n">
        <v>130</v>
      </c>
      <c r="I178" s="7" t="n">
        <f aca="false">(G178-H178)/G178</f>
        <v>0.78476821192053</v>
      </c>
      <c r="J178" s="15" t="n">
        <v>0.382</v>
      </c>
      <c r="K178" s="11" t="str">
        <f aca="false">IF(I178&lt;J178,"TAK","NIE")</f>
        <v>NIE</v>
      </c>
    </row>
    <row r="179" customFormat="false" ht="15" hidden="false" customHeight="false" outlineLevel="0" collapsed="false">
      <c r="A179" s="5" t="s">
        <v>194</v>
      </c>
      <c r="B179" s="5" t="s">
        <v>36</v>
      </c>
      <c r="C179" s="5" t="n">
        <v>2018</v>
      </c>
      <c r="D179" s="5" t="s">
        <v>37</v>
      </c>
      <c r="E179" s="5" t="s">
        <v>46</v>
      </c>
      <c r="F179" s="5" t="s">
        <v>39</v>
      </c>
      <c r="G179" s="6" t="n">
        <v>545</v>
      </c>
      <c r="H179" s="6" t="n">
        <v>216</v>
      </c>
      <c r="I179" s="7" t="n">
        <f aca="false">(G179-H179)/G179</f>
        <v>0.603669724770642</v>
      </c>
      <c r="J179" s="15" t="n">
        <v>0.382</v>
      </c>
      <c r="K179" s="11" t="str">
        <f aca="false">IF(I179&lt;J179,"TAK","NIE")</f>
        <v>NIE</v>
      </c>
    </row>
    <row r="180" customFormat="false" ht="15" hidden="false" customHeight="false" outlineLevel="0" collapsed="false">
      <c r="A180" s="5" t="s">
        <v>196</v>
      </c>
      <c r="B180" s="5" t="s">
        <v>36</v>
      </c>
      <c r="C180" s="5" t="n">
        <v>2018</v>
      </c>
      <c r="D180" s="5" t="s">
        <v>37</v>
      </c>
      <c r="E180" s="5" t="s">
        <v>46</v>
      </c>
      <c r="F180" s="5" t="s">
        <v>39</v>
      </c>
      <c r="G180" s="6" t="n">
        <v>545</v>
      </c>
      <c r="H180" s="6" t="n">
        <v>140</v>
      </c>
      <c r="I180" s="7" t="n">
        <f aca="false">(G180-H180)/G180</f>
        <v>0.743119266055046</v>
      </c>
      <c r="J180" s="15" t="n">
        <v>0.382</v>
      </c>
      <c r="K180" s="11" t="str">
        <f aca="false">IF(I180&lt;J180,"TAK","NIE")</f>
        <v>NIE</v>
      </c>
    </row>
    <row r="181" customFormat="false" ht="15" hidden="false" customHeight="false" outlineLevel="0" collapsed="false">
      <c r="A181" s="5" t="s">
        <v>197</v>
      </c>
      <c r="B181" s="5" t="s">
        <v>36</v>
      </c>
      <c r="C181" s="5" t="n">
        <v>2018</v>
      </c>
      <c r="D181" s="5" t="s">
        <v>37</v>
      </c>
      <c r="E181" s="5" t="s">
        <v>46</v>
      </c>
      <c r="F181" s="5" t="s">
        <v>39</v>
      </c>
      <c r="G181" s="6" t="n">
        <v>604</v>
      </c>
      <c r="H181" s="6" t="n">
        <v>150</v>
      </c>
      <c r="I181" s="7" t="n">
        <f aca="false">(G181-H181)/G181</f>
        <v>0.751655629139073</v>
      </c>
      <c r="J181" s="15" t="n">
        <v>0.382</v>
      </c>
      <c r="K181" s="11" t="str">
        <f aca="false">IF(I181&lt;J181,"TAK","NIE")</f>
        <v>NIE</v>
      </c>
    </row>
    <row r="182" customFormat="false" ht="15" hidden="false" customHeight="false" outlineLevel="0" collapsed="false">
      <c r="A182" s="5" t="s">
        <v>198</v>
      </c>
      <c r="B182" s="5" t="s">
        <v>36</v>
      </c>
      <c r="C182" s="5" t="n">
        <v>2018</v>
      </c>
      <c r="D182" s="5" t="s">
        <v>37</v>
      </c>
      <c r="E182" s="5" t="s">
        <v>46</v>
      </c>
      <c r="F182" s="5" t="s">
        <v>39</v>
      </c>
      <c r="G182" s="6" t="n">
        <v>604</v>
      </c>
      <c r="H182" s="6" t="n">
        <v>217</v>
      </c>
      <c r="I182" s="7" t="n">
        <f aca="false">(G182-H182)/G182</f>
        <v>0.640728476821192</v>
      </c>
      <c r="J182" s="15" t="n">
        <v>0.382</v>
      </c>
      <c r="K182" s="11" t="str">
        <f aca="false">IF(I182&lt;J182,"TAK","NIE")</f>
        <v>NIE</v>
      </c>
    </row>
    <row r="183" customFormat="false" ht="15" hidden="false" customHeight="false" outlineLevel="0" collapsed="false">
      <c r="A183" s="5" t="s">
        <v>199</v>
      </c>
      <c r="B183" s="5" t="s">
        <v>36</v>
      </c>
      <c r="C183" s="5" t="n">
        <v>2018</v>
      </c>
      <c r="D183" s="5" t="s">
        <v>37</v>
      </c>
      <c r="E183" s="5" t="s">
        <v>46</v>
      </c>
      <c r="F183" s="5" t="s">
        <v>39</v>
      </c>
      <c r="G183" s="6" t="n">
        <v>604</v>
      </c>
      <c r="H183" s="6" t="n">
        <v>250</v>
      </c>
      <c r="I183" s="7" t="n">
        <f aca="false">(G183-H183)/G183</f>
        <v>0.586092715231788</v>
      </c>
      <c r="J183" s="15" t="n">
        <v>0.382</v>
      </c>
      <c r="K183" s="11" t="str">
        <f aca="false">IF(I183&lt;J183,"TAK","NIE")</f>
        <v>NIE</v>
      </c>
    </row>
    <row r="184" customFormat="false" ht="15" hidden="false" customHeight="false" outlineLevel="0" collapsed="false">
      <c r="A184" s="5" t="s">
        <v>200</v>
      </c>
      <c r="B184" s="5" t="s">
        <v>36</v>
      </c>
      <c r="C184" s="5" t="n">
        <v>2018</v>
      </c>
      <c r="D184" s="5" t="s">
        <v>37</v>
      </c>
      <c r="E184" s="5" t="s">
        <v>46</v>
      </c>
      <c r="F184" s="5" t="s">
        <v>39</v>
      </c>
      <c r="G184" s="6" t="n">
        <v>545</v>
      </c>
      <c r="H184" s="6" t="n">
        <v>98</v>
      </c>
      <c r="I184" s="7" t="n">
        <f aca="false">(G184-H184)/G184</f>
        <v>0.820183486238532</v>
      </c>
      <c r="J184" s="15" t="n">
        <v>0.382</v>
      </c>
      <c r="K184" s="11" t="str">
        <f aca="false">IF(I184&lt;J184,"TAK","NIE")</f>
        <v>NIE</v>
      </c>
    </row>
    <row r="185" customFormat="false" ht="15" hidden="false" customHeight="false" outlineLevel="0" collapsed="false">
      <c r="A185" s="5" t="s">
        <v>201</v>
      </c>
      <c r="B185" s="5" t="s">
        <v>36</v>
      </c>
      <c r="C185" s="5" t="n">
        <v>2018</v>
      </c>
      <c r="D185" s="5" t="s">
        <v>37</v>
      </c>
      <c r="E185" s="5" t="s">
        <v>46</v>
      </c>
      <c r="F185" s="5" t="s">
        <v>39</v>
      </c>
      <c r="G185" s="6" t="n">
        <v>604</v>
      </c>
      <c r="H185" s="6" t="n">
        <v>197</v>
      </c>
      <c r="I185" s="7" t="n">
        <f aca="false">(G185-H185)/G185</f>
        <v>0.673841059602649</v>
      </c>
      <c r="J185" s="15" t="n">
        <v>0.382</v>
      </c>
      <c r="K185" s="11" t="str">
        <f aca="false">IF(I185&lt;J185,"TAK","NIE")</f>
        <v>NIE</v>
      </c>
    </row>
    <row r="186" customFormat="false" ht="15" hidden="false" customHeight="false" outlineLevel="0" collapsed="false">
      <c r="A186" s="5" t="s">
        <v>202</v>
      </c>
      <c r="B186" s="5" t="s">
        <v>36</v>
      </c>
      <c r="C186" s="5" t="n">
        <v>2018</v>
      </c>
      <c r="D186" s="5" t="s">
        <v>37</v>
      </c>
      <c r="E186" s="5" t="s">
        <v>46</v>
      </c>
      <c r="F186" s="5" t="s">
        <v>39</v>
      </c>
      <c r="G186" s="6" t="n">
        <v>545</v>
      </c>
      <c r="H186" s="6" t="n">
        <v>65</v>
      </c>
      <c r="I186" s="7" t="n">
        <f aca="false">(G186-H186)/G186</f>
        <v>0.880733944954129</v>
      </c>
      <c r="J186" s="15" t="n">
        <v>0.382</v>
      </c>
      <c r="K186" s="11" t="str">
        <f aca="false">IF(I186&lt;J186,"TAK","NIE")</f>
        <v>NIE</v>
      </c>
    </row>
    <row r="187" customFormat="false" ht="15" hidden="false" customHeight="false" outlineLevel="0" collapsed="false">
      <c r="A187" s="5" t="s">
        <v>203</v>
      </c>
      <c r="B187" s="5" t="s">
        <v>36</v>
      </c>
      <c r="C187" s="5" t="n">
        <v>2018</v>
      </c>
      <c r="D187" s="5" t="s">
        <v>37</v>
      </c>
      <c r="E187" s="5" t="s">
        <v>46</v>
      </c>
      <c r="F187" s="5" t="s">
        <v>39</v>
      </c>
      <c r="G187" s="6" t="n">
        <v>604</v>
      </c>
      <c r="H187" s="6" t="n">
        <v>157</v>
      </c>
      <c r="I187" s="7" t="n">
        <f aca="false">(G187-H187)/G187</f>
        <v>0.740066225165563</v>
      </c>
      <c r="J187" s="15" t="n">
        <v>0.382</v>
      </c>
      <c r="K187" s="11" t="str">
        <f aca="false">IF(I187&lt;J187,"TAK","NIE")</f>
        <v>NIE</v>
      </c>
    </row>
    <row r="188" customFormat="false" ht="15" hidden="false" customHeight="false" outlineLevel="0" collapsed="false">
      <c r="A188" s="5" t="s">
        <v>204</v>
      </c>
      <c r="B188" s="5" t="s">
        <v>36</v>
      </c>
      <c r="C188" s="5" t="n">
        <v>2018</v>
      </c>
      <c r="D188" s="5" t="s">
        <v>37</v>
      </c>
      <c r="E188" s="5" t="s">
        <v>46</v>
      </c>
      <c r="F188" s="5" t="s">
        <v>39</v>
      </c>
      <c r="G188" s="6" t="n">
        <v>604</v>
      </c>
      <c r="H188" s="6" t="n">
        <v>291</v>
      </c>
      <c r="I188" s="7" t="n">
        <f aca="false">(G188-H188)/G188</f>
        <v>0.518211920529801</v>
      </c>
      <c r="J188" s="15" t="n">
        <v>0.382</v>
      </c>
      <c r="K188" s="11" t="str">
        <f aca="false">IF(I188&lt;J188,"TAK","NIE")</f>
        <v>NIE</v>
      </c>
    </row>
    <row r="189" customFormat="false" ht="15" hidden="false" customHeight="false" outlineLevel="0" collapsed="false">
      <c r="A189" s="5" t="s">
        <v>205</v>
      </c>
      <c r="B189" s="5" t="s">
        <v>36</v>
      </c>
      <c r="C189" s="5" t="n">
        <v>2018</v>
      </c>
      <c r="D189" s="5" t="s">
        <v>37</v>
      </c>
      <c r="E189" s="5" t="s">
        <v>46</v>
      </c>
      <c r="F189" s="5" t="s">
        <v>39</v>
      </c>
      <c r="G189" s="6" t="n">
        <v>604</v>
      </c>
      <c r="H189" s="6" t="n">
        <v>203</v>
      </c>
      <c r="I189" s="7" t="n">
        <f aca="false">(G189-H189)/G189</f>
        <v>0.663907284768212</v>
      </c>
      <c r="J189" s="15" t="n">
        <v>0.382</v>
      </c>
      <c r="K189" s="11" t="str">
        <f aca="false">IF(I189&lt;J189,"TAK","NIE")</f>
        <v>NIE</v>
      </c>
    </row>
    <row r="190" customFormat="false" ht="15" hidden="false" customHeight="false" outlineLevel="0" collapsed="false">
      <c r="A190" s="5" t="s">
        <v>206</v>
      </c>
      <c r="B190" s="5" t="s">
        <v>36</v>
      </c>
      <c r="C190" s="5" t="n">
        <v>2018</v>
      </c>
      <c r="D190" s="5" t="s">
        <v>37</v>
      </c>
      <c r="E190" s="5" t="s">
        <v>46</v>
      </c>
      <c r="F190" s="5" t="s">
        <v>39</v>
      </c>
      <c r="G190" s="6" t="n">
        <v>545</v>
      </c>
      <c r="H190" s="6" t="n">
        <v>104</v>
      </c>
      <c r="I190" s="7" t="n">
        <f aca="false">(G190-H190)/G190</f>
        <v>0.809174311926606</v>
      </c>
      <c r="J190" s="15" t="n">
        <v>0.382</v>
      </c>
      <c r="K190" s="11" t="str">
        <f aca="false">IF(I190&lt;J190,"TAK","NIE")</f>
        <v>NIE</v>
      </c>
    </row>
    <row r="191" customFormat="false" ht="15" hidden="false" customHeight="false" outlineLevel="0" collapsed="false">
      <c r="A191" s="5" t="s">
        <v>207</v>
      </c>
      <c r="B191" s="5" t="s">
        <v>36</v>
      </c>
      <c r="C191" s="5" t="n">
        <v>2018</v>
      </c>
      <c r="D191" s="5" t="s">
        <v>37</v>
      </c>
      <c r="E191" s="5" t="s">
        <v>46</v>
      </c>
      <c r="F191" s="5" t="s">
        <v>39</v>
      </c>
      <c r="G191" s="6" t="n">
        <v>545</v>
      </c>
      <c r="H191" s="6" t="n">
        <v>261</v>
      </c>
      <c r="I191" s="7" t="n">
        <f aca="false">(G191-H191)/G191</f>
        <v>0.521100917431193</v>
      </c>
      <c r="J191" s="15" t="n">
        <v>0.382</v>
      </c>
      <c r="K191" s="11" t="str">
        <f aca="false">IF(I191&lt;J191,"TAK","NIE")</f>
        <v>NIE</v>
      </c>
    </row>
    <row r="192" customFormat="false" ht="15" hidden="false" customHeight="false" outlineLevel="0" collapsed="false">
      <c r="A192" s="5" t="s">
        <v>208</v>
      </c>
      <c r="B192" s="5" t="s">
        <v>36</v>
      </c>
      <c r="C192" s="5" t="n">
        <v>2018</v>
      </c>
      <c r="D192" s="5" t="s">
        <v>37</v>
      </c>
      <c r="E192" s="5" t="s">
        <v>46</v>
      </c>
      <c r="F192" s="5" t="s">
        <v>39</v>
      </c>
      <c r="G192" s="6" t="n">
        <v>545</v>
      </c>
      <c r="H192" s="6" t="n">
        <v>157</v>
      </c>
      <c r="I192" s="7" t="n">
        <f aca="false">(G192-H192)/G192</f>
        <v>0.711926605504587</v>
      </c>
      <c r="J192" s="15" t="n">
        <v>0.382</v>
      </c>
      <c r="K192" s="11" t="str">
        <f aca="false">IF(I192&lt;J192,"TAK","NIE")</f>
        <v>NIE</v>
      </c>
    </row>
    <row r="193" customFormat="false" ht="15" hidden="false" customHeight="false" outlineLevel="0" collapsed="false">
      <c r="A193" s="5" t="s">
        <v>209</v>
      </c>
      <c r="B193" s="5" t="s">
        <v>36</v>
      </c>
      <c r="C193" s="5" t="n">
        <v>2018</v>
      </c>
      <c r="D193" s="5" t="s">
        <v>37</v>
      </c>
      <c r="E193" s="5" t="s">
        <v>46</v>
      </c>
      <c r="F193" s="5" t="s">
        <v>39</v>
      </c>
      <c r="G193" s="6" t="n">
        <v>604</v>
      </c>
      <c r="H193" s="6" t="n">
        <v>258</v>
      </c>
      <c r="I193" s="7" t="n">
        <f aca="false">(G193-H193)/G193</f>
        <v>0.572847682119205</v>
      </c>
      <c r="J193" s="15" t="n">
        <v>0.382</v>
      </c>
      <c r="K193" s="11" t="str">
        <f aca="false">IF(I193&lt;J193,"TAK","NIE")</f>
        <v>NIE</v>
      </c>
    </row>
    <row r="194" customFormat="false" ht="15" hidden="false" customHeight="false" outlineLevel="0" collapsed="false">
      <c r="A194" s="5" t="s">
        <v>210</v>
      </c>
      <c r="B194" s="5" t="s">
        <v>36</v>
      </c>
      <c r="C194" s="5" t="n">
        <v>2018</v>
      </c>
      <c r="D194" s="5" t="s">
        <v>37</v>
      </c>
      <c r="E194" s="5" t="s">
        <v>46</v>
      </c>
      <c r="F194" s="5" t="s">
        <v>39</v>
      </c>
      <c r="G194" s="6" t="n">
        <v>604</v>
      </c>
      <c r="H194" s="6" t="n">
        <v>123</v>
      </c>
      <c r="I194" s="7" t="n">
        <f aca="false">(G194-H194)/G194</f>
        <v>0.79635761589404</v>
      </c>
      <c r="J194" s="15" t="n">
        <v>0.382</v>
      </c>
      <c r="K194" s="11" t="str">
        <f aca="false">IF(I194&lt;J194,"TAK","NIE")</f>
        <v>NIE</v>
      </c>
    </row>
    <row r="195" customFormat="false" ht="15" hidden="false" customHeight="false" outlineLevel="0" collapsed="false">
      <c r="A195" s="5" t="s">
        <v>211</v>
      </c>
      <c r="B195" s="5" t="s">
        <v>36</v>
      </c>
      <c r="C195" s="5" t="n">
        <v>2018</v>
      </c>
      <c r="D195" s="5" t="s">
        <v>37</v>
      </c>
      <c r="E195" s="5" t="s">
        <v>46</v>
      </c>
      <c r="F195" s="5" t="s">
        <v>39</v>
      </c>
      <c r="G195" s="6" t="n">
        <v>604</v>
      </c>
      <c r="H195" s="6" t="n">
        <v>170</v>
      </c>
      <c r="I195" s="7" t="n">
        <f aca="false">(G195-H195)/G195</f>
        <v>0.718543046357616</v>
      </c>
      <c r="J195" s="15" t="n">
        <v>0.382</v>
      </c>
      <c r="K195" s="11" t="str">
        <f aca="false">IF(I195&lt;J195,"TAK","NIE")</f>
        <v>NIE</v>
      </c>
    </row>
    <row r="196" customFormat="false" ht="15" hidden="false" customHeight="false" outlineLevel="0" collapsed="false">
      <c r="A196" s="5" t="s">
        <v>212</v>
      </c>
      <c r="B196" s="5" t="s">
        <v>36</v>
      </c>
      <c r="C196" s="5" t="n">
        <v>2018</v>
      </c>
      <c r="D196" s="5" t="s">
        <v>37</v>
      </c>
      <c r="E196" s="5" t="s">
        <v>46</v>
      </c>
      <c r="F196" s="5" t="s">
        <v>39</v>
      </c>
      <c r="G196" s="6" t="n">
        <v>545</v>
      </c>
      <c r="H196" s="6" t="n">
        <v>201</v>
      </c>
      <c r="I196" s="7" t="n">
        <f aca="false">(G196-H196)/G196</f>
        <v>0.631192660550459</v>
      </c>
      <c r="J196" s="15" t="n">
        <v>0.382</v>
      </c>
      <c r="K196" s="11" t="str">
        <f aca="false">IF(I196&lt;J196,"TAK","NIE")</f>
        <v>NIE</v>
      </c>
    </row>
    <row r="197" customFormat="false" ht="15" hidden="false" customHeight="false" outlineLevel="0" collapsed="false">
      <c r="A197" s="5" t="s">
        <v>213</v>
      </c>
      <c r="B197" s="5" t="s">
        <v>36</v>
      </c>
      <c r="C197" s="5" t="n">
        <v>2018</v>
      </c>
      <c r="D197" s="5" t="s">
        <v>37</v>
      </c>
      <c r="E197" s="5" t="s">
        <v>46</v>
      </c>
      <c r="F197" s="5" t="s">
        <v>39</v>
      </c>
      <c r="G197" s="6" t="n">
        <v>604</v>
      </c>
      <c r="H197" s="6" t="n">
        <v>242</v>
      </c>
      <c r="I197" s="7" t="n">
        <f aca="false">(G197-H197)/G197</f>
        <v>0.599337748344371</v>
      </c>
      <c r="J197" s="15" t="n">
        <v>0.382</v>
      </c>
      <c r="K197" s="11" t="str">
        <f aca="false">IF(I197&lt;J197,"TAK","NIE")</f>
        <v>NIE</v>
      </c>
    </row>
    <row r="198" customFormat="false" ht="15" hidden="false" customHeight="false" outlineLevel="0" collapsed="false">
      <c r="A198" s="5" t="s">
        <v>214</v>
      </c>
      <c r="B198" s="5" t="s">
        <v>36</v>
      </c>
      <c r="C198" s="5" t="n">
        <v>2018</v>
      </c>
      <c r="D198" s="5" t="s">
        <v>37</v>
      </c>
      <c r="E198" s="5" t="s">
        <v>46</v>
      </c>
      <c r="F198" s="5" t="s">
        <v>39</v>
      </c>
      <c r="G198" s="6" t="n">
        <v>604</v>
      </c>
      <c r="H198" s="6" t="n">
        <v>153</v>
      </c>
      <c r="I198" s="7" t="n">
        <f aca="false">(G198-H198)/G198</f>
        <v>0.746688741721854</v>
      </c>
      <c r="J198" s="15" t="n">
        <v>0.382</v>
      </c>
      <c r="K198" s="11" t="str">
        <f aca="false">IF(I198&lt;J198,"TAK","NIE")</f>
        <v>NIE</v>
      </c>
    </row>
    <row r="199" customFormat="false" ht="15" hidden="false" customHeight="false" outlineLevel="0" collapsed="false">
      <c r="A199" s="5" t="s">
        <v>215</v>
      </c>
      <c r="B199" s="5" t="s">
        <v>36</v>
      </c>
      <c r="C199" s="5" t="n">
        <v>2018</v>
      </c>
      <c r="D199" s="5" t="s">
        <v>37</v>
      </c>
      <c r="E199" s="5" t="s">
        <v>46</v>
      </c>
      <c r="F199" s="5" t="s">
        <v>39</v>
      </c>
      <c r="G199" s="6" t="n">
        <v>604</v>
      </c>
      <c r="H199" s="6" t="n">
        <v>167</v>
      </c>
      <c r="I199" s="7" t="n">
        <f aca="false">(G199-H199)/G199</f>
        <v>0.723509933774834</v>
      </c>
      <c r="J199" s="15" t="n">
        <v>0.382</v>
      </c>
      <c r="K199" s="11" t="str">
        <f aca="false">IF(I199&lt;J199,"TAK","NIE")</f>
        <v>NIE</v>
      </c>
    </row>
    <row r="200" customFormat="false" ht="15" hidden="false" customHeight="false" outlineLevel="0" collapsed="false">
      <c r="A200" s="5" t="s">
        <v>216</v>
      </c>
      <c r="B200" s="5" t="s">
        <v>36</v>
      </c>
      <c r="C200" s="5" t="n">
        <v>2018</v>
      </c>
      <c r="D200" s="5" t="s">
        <v>37</v>
      </c>
      <c r="E200" s="5" t="s">
        <v>46</v>
      </c>
      <c r="F200" s="5" t="s">
        <v>39</v>
      </c>
      <c r="G200" s="6" t="n">
        <v>545</v>
      </c>
      <c r="H200" s="6" t="n">
        <v>219</v>
      </c>
      <c r="I200" s="7" t="n">
        <f aca="false">(G200-H200)/G200</f>
        <v>0.598165137614679</v>
      </c>
      <c r="J200" s="15" t="n">
        <v>0.382</v>
      </c>
      <c r="K200" s="11" t="str">
        <f aca="false">IF(I200&lt;J200,"TAK","NIE")</f>
        <v>NIE</v>
      </c>
    </row>
    <row r="201" customFormat="false" ht="15" hidden="false" customHeight="false" outlineLevel="0" collapsed="false">
      <c r="A201" s="5" t="s">
        <v>217</v>
      </c>
      <c r="B201" s="5" t="s">
        <v>36</v>
      </c>
      <c r="C201" s="5" t="n">
        <v>2018</v>
      </c>
      <c r="D201" s="5" t="s">
        <v>37</v>
      </c>
      <c r="E201" s="5" t="s">
        <v>46</v>
      </c>
      <c r="F201" s="5" t="s">
        <v>39</v>
      </c>
      <c r="G201" s="6" t="n">
        <v>604</v>
      </c>
      <c r="H201" s="6" t="n">
        <v>180</v>
      </c>
      <c r="I201" s="7" t="n">
        <f aca="false">(G201-H201)/G201</f>
        <v>0.701986754966887</v>
      </c>
      <c r="J201" s="15" t="n">
        <v>0.382</v>
      </c>
      <c r="K201" s="11" t="str">
        <f aca="false">IF(I201&lt;J201,"TAK","NIE")</f>
        <v>NIE</v>
      </c>
    </row>
    <row r="202" customFormat="false" ht="15" hidden="false" customHeight="false" outlineLevel="0" collapsed="false">
      <c r="A202" s="5" t="s">
        <v>218</v>
      </c>
      <c r="B202" s="5" t="s">
        <v>36</v>
      </c>
      <c r="C202" s="5" t="n">
        <v>2018</v>
      </c>
      <c r="D202" s="5" t="s">
        <v>37</v>
      </c>
      <c r="E202" s="5" t="s">
        <v>46</v>
      </c>
      <c r="F202" s="5" t="s">
        <v>39</v>
      </c>
      <c r="G202" s="6" t="n">
        <v>604</v>
      </c>
      <c r="H202" s="6" t="n">
        <v>95</v>
      </c>
      <c r="I202" s="7" t="n">
        <f aca="false">(G202-H202)/G202</f>
        <v>0.84271523178808</v>
      </c>
      <c r="J202" s="15" t="n">
        <v>0.382</v>
      </c>
      <c r="K202" s="11" t="str">
        <f aca="false">IF(I202&lt;J202,"TAK","NIE")</f>
        <v>NIE</v>
      </c>
    </row>
    <row r="203" customFormat="false" ht="15" hidden="false" customHeight="false" outlineLevel="0" collapsed="false">
      <c r="A203" s="5" t="s">
        <v>193</v>
      </c>
      <c r="B203" s="5" t="s">
        <v>36</v>
      </c>
      <c r="C203" s="5" t="n">
        <v>2018</v>
      </c>
      <c r="D203" s="5" t="s">
        <v>37</v>
      </c>
      <c r="E203" s="5" t="s">
        <v>46</v>
      </c>
      <c r="F203" s="5" t="s">
        <v>40</v>
      </c>
      <c r="G203" s="6" t="n">
        <v>334</v>
      </c>
      <c r="H203" s="6" t="n">
        <v>110</v>
      </c>
      <c r="I203" s="7" t="n">
        <f aca="false">(G203-H203)/G203</f>
        <v>0.670658682634731</v>
      </c>
      <c r="J203" s="15" t="n">
        <v>0.285</v>
      </c>
      <c r="K203" s="11" t="str">
        <f aca="false">IF(I203&lt;J203,"TAK","NIE")</f>
        <v>NIE</v>
      </c>
    </row>
    <row r="204" customFormat="false" ht="15" hidden="false" customHeight="false" outlineLevel="0" collapsed="false">
      <c r="A204" s="5" t="s">
        <v>194</v>
      </c>
      <c r="B204" s="5" t="s">
        <v>36</v>
      </c>
      <c r="C204" s="5" t="n">
        <v>2018</v>
      </c>
      <c r="D204" s="5" t="s">
        <v>37</v>
      </c>
      <c r="E204" s="5" t="s">
        <v>46</v>
      </c>
      <c r="F204" s="5" t="s">
        <v>40</v>
      </c>
      <c r="G204" s="6" t="n">
        <v>335</v>
      </c>
      <c r="H204" s="6" t="n">
        <v>169</v>
      </c>
      <c r="I204" s="7" t="n">
        <f aca="false">(G204-H204)/G204</f>
        <v>0.495522388059702</v>
      </c>
      <c r="J204" s="15" t="n">
        <v>0.285</v>
      </c>
      <c r="K204" s="11" t="str">
        <f aca="false">IF(I204&lt;J204,"TAK","NIE")</f>
        <v>NIE</v>
      </c>
    </row>
    <row r="205" customFormat="false" ht="15" hidden="false" customHeight="false" outlineLevel="0" collapsed="false">
      <c r="A205" s="5" t="s">
        <v>196</v>
      </c>
      <c r="B205" s="5" t="s">
        <v>36</v>
      </c>
      <c r="C205" s="5" t="n">
        <v>2018</v>
      </c>
      <c r="D205" s="5" t="s">
        <v>37</v>
      </c>
      <c r="E205" s="5" t="s">
        <v>46</v>
      </c>
      <c r="F205" s="5" t="s">
        <v>40</v>
      </c>
      <c r="G205" s="6" t="n">
        <v>335</v>
      </c>
      <c r="H205" s="6" t="n">
        <v>150</v>
      </c>
      <c r="I205" s="7" t="n">
        <f aca="false">(G205-H205)/G205</f>
        <v>0.552238805970149</v>
      </c>
      <c r="J205" s="15" t="n">
        <v>0.285</v>
      </c>
      <c r="K205" s="11" t="str">
        <f aca="false">IF(I205&lt;J205,"TAK","NIE")</f>
        <v>NIE</v>
      </c>
    </row>
    <row r="206" customFormat="false" ht="15" hidden="false" customHeight="false" outlineLevel="0" collapsed="false">
      <c r="A206" s="5" t="s">
        <v>197</v>
      </c>
      <c r="B206" s="5" t="s">
        <v>36</v>
      </c>
      <c r="C206" s="5" t="n">
        <v>2018</v>
      </c>
      <c r="D206" s="5" t="s">
        <v>37</v>
      </c>
      <c r="E206" s="5" t="s">
        <v>46</v>
      </c>
      <c r="F206" s="5" t="s">
        <v>40</v>
      </c>
      <c r="G206" s="6" t="n">
        <v>334</v>
      </c>
      <c r="H206" s="6" t="n">
        <v>113</v>
      </c>
      <c r="I206" s="7" t="n">
        <f aca="false">(G206-H206)/G206</f>
        <v>0.661676646706587</v>
      </c>
      <c r="J206" s="15" t="n">
        <v>0.285</v>
      </c>
      <c r="K206" s="11" t="str">
        <f aca="false">IF(I206&lt;J206,"TAK","NIE")</f>
        <v>NIE</v>
      </c>
    </row>
    <row r="207" customFormat="false" ht="15" hidden="false" customHeight="false" outlineLevel="0" collapsed="false">
      <c r="A207" s="5" t="s">
        <v>198</v>
      </c>
      <c r="B207" s="5" t="s">
        <v>36</v>
      </c>
      <c r="C207" s="5" t="n">
        <v>2018</v>
      </c>
      <c r="D207" s="5" t="s">
        <v>37</v>
      </c>
      <c r="E207" s="5" t="s">
        <v>46</v>
      </c>
      <c r="F207" s="5" t="s">
        <v>40</v>
      </c>
      <c r="G207" s="6" t="n">
        <v>334</v>
      </c>
      <c r="H207" s="6" t="n">
        <v>128</v>
      </c>
      <c r="I207" s="7" t="n">
        <f aca="false">(G207-H207)/G207</f>
        <v>0.616766467065868</v>
      </c>
      <c r="J207" s="15" t="n">
        <v>0.285</v>
      </c>
      <c r="K207" s="11" t="str">
        <f aca="false">IF(I207&lt;J207,"TAK","NIE")</f>
        <v>NIE</v>
      </c>
    </row>
    <row r="208" customFormat="false" ht="15" hidden="false" customHeight="false" outlineLevel="0" collapsed="false">
      <c r="A208" s="5" t="s">
        <v>199</v>
      </c>
      <c r="B208" s="5" t="s">
        <v>36</v>
      </c>
      <c r="C208" s="5" t="n">
        <v>2018</v>
      </c>
      <c r="D208" s="5" t="s">
        <v>37</v>
      </c>
      <c r="E208" s="5" t="s">
        <v>46</v>
      </c>
      <c r="F208" s="5" t="s">
        <v>40</v>
      </c>
      <c r="G208" s="6" t="n">
        <v>334</v>
      </c>
      <c r="H208" s="6" t="n">
        <v>190</v>
      </c>
      <c r="I208" s="7" t="n">
        <f aca="false">(G208-H208)/G208</f>
        <v>0.431137724550898</v>
      </c>
      <c r="J208" s="15" t="n">
        <v>0.285</v>
      </c>
      <c r="K208" s="11" t="str">
        <f aca="false">IF(I208&lt;J208,"TAK","NIE")</f>
        <v>NIE</v>
      </c>
    </row>
    <row r="209" customFormat="false" ht="15" hidden="false" customHeight="false" outlineLevel="0" collapsed="false">
      <c r="A209" s="5" t="s">
        <v>200</v>
      </c>
      <c r="B209" s="5" t="s">
        <v>36</v>
      </c>
      <c r="C209" s="5" t="n">
        <v>2018</v>
      </c>
      <c r="D209" s="5" t="s">
        <v>37</v>
      </c>
      <c r="E209" s="5" t="s">
        <v>46</v>
      </c>
      <c r="F209" s="5" t="s">
        <v>40</v>
      </c>
      <c r="G209" s="6" t="n">
        <v>335</v>
      </c>
      <c r="H209" s="6" t="n">
        <v>127</v>
      </c>
      <c r="I209" s="7" t="n">
        <f aca="false">(G209-H209)/G209</f>
        <v>0.62089552238806</v>
      </c>
      <c r="J209" s="15" t="n">
        <v>0.285</v>
      </c>
      <c r="K209" s="11" t="str">
        <f aca="false">IF(I209&lt;J209,"TAK","NIE")</f>
        <v>NIE</v>
      </c>
    </row>
    <row r="210" customFormat="false" ht="15" hidden="false" customHeight="false" outlineLevel="0" collapsed="false">
      <c r="A210" s="5" t="s">
        <v>201</v>
      </c>
      <c r="B210" s="5" t="s">
        <v>36</v>
      </c>
      <c r="C210" s="5" t="n">
        <v>2018</v>
      </c>
      <c r="D210" s="5" t="s">
        <v>37</v>
      </c>
      <c r="E210" s="5" t="s">
        <v>46</v>
      </c>
      <c r="F210" s="5" t="s">
        <v>40</v>
      </c>
      <c r="G210" s="6" t="n">
        <v>334</v>
      </c>
      <c r="H210" s="6" t="n">
        <v>114</v>
      </c>
      <c r="I210" s="7" t="n">
        <f aca="false">(G210-H210)/G210</f>
        <v>0.658682634730539</v>
      </c>
      <c r="J210" s="15" t="n">
        <v>0.285</v>
      </c>
      <c r="K210" s="11" t="str">
        <f aca="false">IF(I210&lt;J210,"TAK","NIE")</f>
        <v>NIE</v>
      </c>
    </row>
    <row r="211" customFormat="false" ht="15" hidden="false" customHeight="false" outlineLevel="0" collapsed="false">
      <c r="A211" s="5" t="s">
        <v>202</v>
      </c>
      <c r="B211" s="5" t="s">
        <v>36</v>
      </c>
      <c r="C211" s="5" t="n">
        <v>2018</v>
      </c>
      <c r="D211" s="5" t="s">
        <v>37</v>
      </c>
      <c r="E211" s="5" t="s">
        <v>46</v>
      </c>
      <c r="F211" s="5" t="s">
        <v>40</v>
      </c>
      <c r="G211" s="6" t="n">
        <v>335</v>
      </c>
      <c r="H211" s="6" t="n">
        <v>95</v>
      </c>
      <c r="I211" s="7" t="n">
        <f aca="false">(G211-H211)/G211</f>
        <v>0.716417910447761</v>
      </c>
      <c r="J211" s="15" t="n">
        <v>0.285</v>
      </c>
      <c r="K211" s="11" t="str">
        <f aca="false">IF(I211&lt;J211,"TAK","NIE")</f>
        <v>NIE</v>
      </c>
    </row>
    <row r="212" customFormat="false" ht="15" hidden="false" customHeight="false" outlineLevel="0" collapsed="false">
      <c r="A212" s="5" t="s">
        <v>203</v>
      </c>
      <c r="B212" s="5" t="s">
        <v>36</v>
      </c>
      <c r="C212" s="5" t="n">
        <v>2018</v>
      </c>
      <c r="D212" s="5" t="s">
        <v>37</v>
      </c>
      <c r="E212" s="5" t="s">
        <v>46</v>
      </c>
      <c r="F212" s="5" t="s">
        <v>40</v>
      </c>
      <c r="G212" s="6" t="n">
        <v>334</v>
      </c>
      <c r="H212" s="6" t="n">
        <v>117</v>
      </c>
      <c r="I212" s="7" t="n">
        <f aca="false">(G212-H212)/G212</f>
        <v>0.649700598802395</v>
      </c>
      <c r="J212" s="15" t="n">
        <v>0.285</v>
      </c>
      <c r="K212" s="11" t="str">
        <f aca="false">IF(I212&lt;J212,"TAK","NIE")</f>
        <v>NIE</v>
      </c>
    </row>
    <row r="213" customFormat="false" ht="15" hidden="false" customHeight="false" outlineLevel="0" collapsed="false">
      <c r="A213" s="5" t="s">
        <v>204</v>
      </c>
      <c r="B213" s="5" t="s">
        <v>36</v>
      </c>
      <c r="C213" s="5" t="n">
        <v>2018</v>
      </c>
      <c r="D213" s="5" t="s">
        <v>37</v>
      </c>
      <c r="E213" s="5" t="s">
        <v>46</v>
      </c>
      <c r="F213" s="5" t="s">
        <v>40</v>
      </c>
      <c r="G213" s="6" t="n">
        <v>334</v>
      </c>
      <c r="H213" s="6" t="n">
        <v>198</v>
      </c>
      <c r="I213" s="7" t="n">
        <f aca="false">(G213-H213)/G213</f>
        <v>0.407185628742515</v>
      </c>
      <c r="J213" s="15" t="n">
        <v>0.285</v>
      </c>
      <c r="K213" s="11" t="str">
        <f aca="false">IF(I213&lt;J213,"TAK","NIE")</f>
        <v>NIE</v>
      </c>
    </row>
    <row r="214" customFormat="false" ht="15" hidden="false" customHeight="false" outlineLevel="0" collapsed="false">
      <c r="A214" s="5" t="s">
        <v>205</v>
      </c>
      <c r="B214" s="5" t="s">
        <v>36</v>
      </c>
      <c r="C214" s="5" t="n">
        <v>2018</v>
      </c>
      <c r="D214" s="5" t="s">
        <v>37</v>
      </c>
      <c r="E214" s="5" t="s">
        <v>46</v>
      </c>
      <c r="F214" s="5" t="s">
        <v>40</v>
      </c>
      <c r="G214" s="6" t="n">
        <v>334</v>
      </c>
      <c r="H214" s="6" t="n">
        <v>112</v>
      </c>
      <c r="I214" s="7" t="n">
        <f aca="false">(G214-H214)/G214</f>
        <v>0.664670658682635</v>
      </c>
      <c r="J214" s="15" t="n">
        <v>0.285</v>
      </c>
      <c r="K214" s="11" t="str">
        <f aca="false">IF(I214&lt;J214,"TAK","NIE")</f>
        <v>NIE</v>
      </c>
    </row>
    <row r="215" customFormat="false" ht="15" hidden="false" customHeight="false" outlineLevel="0" collapsed="false">
      <c r="A215" s="5" t="s">
        <v>206</v>
      </c>
      <c r="B215" s="5" t="s">
        <v>36</v>
      </c>
      <c r="C215" s="5" t="n">
        <v>2018</v>
      </c>
      <c r="D215" s="5" t="s">
        <v>37</v>
      </c>
      <c r="E215" s="5" t="s">
        <v>46</v>
      </c>
      <c r="F215" s="5" t="s">
        <v>40</v>
      </c>
      <c r="G215" s="6" t="n">
        <v>335</v>
      </c>
      <c r="H215" s="6" t="n">
        <v>145</v>
      </c>
      <c r="I215" s="7" t="n">
        <f aca="false">(G215-H215)/G215</f>
        <v>0.567164179104478</v>
      </c>
      <c r="J215" s="15" t="n">
        <v>0.285</v>
      </c>
      <c r="K215" s="11" t="str">
        <f aca="false">IF(I215&lt;J215,"TAK","NIE")</f>
        <v>NIE</v>
      </c>
    </row>
    <row r="216" customFormat="false" ht="15" hidden="false" customHeight="false" outlineLevel="0" collapsed="false">
      <c r="A216" s="5" t="s">
        <v>207</v>
      </c>
      <c r="B216" s="5" t="s">
        <v>36</v>
      </c>
      <c r="C216" s="5" t="n">
        <v>2018</v>
      </c>
      <c r="D216" s="5" t="s">
        <v>37</v>
      </c>
      <c r="E216" s="5" t="s">
        <v>46</v>
      </c>
      <c r="F216" s="5" t="s">
        <v>40</v>
      </c>
      <c r="G216" s="6" t="n">
        <v>335</v>
      </c>
      <c r="H216" s="6" t="n">
        <v>200</v>
      </c>
      <c r="I216" s="7" t="n">
        <f aca="false">(G216-H216)/G216</f>
        <v>0.402985074626866</v>
      </c>
      <c r="J216" s="15" t="n">
        <v>0.285</v>
      </c>
      <c r="K216" s="11" t="str">
        <f aca="false">IF(I216&lt;J216,"TAK","NIE")</f>
        <v>NIE</v>
      </c>
    </row>
    <row r="217" customFormat="false" ht="15" hidden="false" customHeight="false" outlineLevel="0" collapsed="false">
      <c r="A217" s="5" t="s">
        <v>208</v>
      </c>
      <c r="B217" s="5" t="s">
        <v>36</v>
      </c>
      <c r="C217" s="5" t="n">
        <v>2018</v>
      </c>
      <c r="D217" s="5" t="s">
        <v>37</v>
      </c>
      <c r="E217" s="5" t="s">
        <v>46</v>
      </c>
      <c r="F217" s="5" t="s">
        <v>40</v>
      </c>
      <c r="G217" s="6" t="n">
        <v>335</v>
      </c>
      <c r="H217" s="6" t="n">
        <v>171</v>
      </c>
      <c r="I217" s="7" t="n">
        <f aca="false">(G217-H217)/G217</f>
        <v>0.48955223880597</v>
      </c>
      <c r="J217" s="15" t="n">
        <v>0.285</v>
      </c>
      <c r="K217" s="11" t="str">
        <f aca="false">IF(I217&lt;J217,"TAK","NIE")</f>
        <v>NIE</v>
      </c>
    </row>
    <row r="218" customFormat="false" ht="15" hidden="false" customHeight="false" outlineLevel="0" collapsed="false">
      <c r="A218" s="5" t="s">
        <v>209</v>
      </c>
      <c r="B218" s="5" t="s">
        <v>36</v>
      </c>
      <c r="C218" s="5" t="n">
        <v>2018</v>
      </c>
      <c r="D218" s="5" t="s">
        <v>37</v>
      </c>
      <c r="E218" s="5" t="s">
        <v>46</v>
      </c>
      <c r="F218" s="5" t="s">
        <v>40</v>
      </c>
      <c r="G218" s="6" t="n">
        <v>334</v>
      </c>
      <c r="H218" s="6" t="n">
        <v>117</v>
      </c>
      <c r="I218" s="7" t="n">
        <f aca="false">(G218-H218)/G218</f>
        <v>0.649700598802395</v>
      </c>
      <c r="J218" s="15" t="n">
        <v>0.285</v>
      </c>
      <c r="K218" s="11" t="str">
        <f aca="false">IF(I218&lt;J218,"TAK","NIE")</f>
        <v>NIE</v>
      </c>
    </row>
    <row r="219" customFormat="false" ht="15" hidden="false" customHeight="false" outlineLevel="0" collapsed="false">
      <c r="A219" s="5" t="s">
        <v>210</v>
      </c>
      <c r="B219" s="5" t="s">
        <v>36</v>
      </c>
      <c r="C219" s="5" t="n">
        <v>2018</v>
      </c>
      <c r="D219" s="5" t="s">
        <v>37</v>
      </c>
      <c r="E219" s="5" t="s">
        <v>46</v>
      </c>
      <c r="F219" s="5" t="s">
        <v>40</v>
      </c>
      <c r="G219" s="6" t="n">
        <v>334</v>
      </c>
      <c r="H219" s="6" t="n">
        <v>129</v>
      </c>
      <c r="I219" s="7" t="n">
        <f aca="false">(G219-H219)/G219</f>
        <v>0.61377245508982</v>
      </c>
      <c r="J219" s="15" t="n">
        <v>0.285</v>
      </c>
      <c r="K219" s="11" t="str">
        <f aca="false">IF(I219&lt;J219,"TAK","NIE")</f>
        <v>NIE</v>
      </c>
    </row>
    <row r="220" customFormat="false" ht="15" hidden="false" customHeight="false" outlineLevel="0" collapsed="false">
      <c r="A220" s="5" t="s">
        <v>211</v>
      </c>
      <c r="B220" s="5" t="s">
        <v>36</v>
      </c>
      <c r="C220" s="5" t="n">
        <v>2018</v>
      </c>
      <c r="D220" s="5" t="s">
        <v>37</v>
      </c>
      <c r="E220" s="5" t="s">
        <v>46</v>
      </c>
      <c r="F220" s="5" t="s">
        <v>40</v>
      </c>
      <c r="G220" s="6" t="n">
        <v>334</v>
      </c>
      <c r="H220" s="6" t="n">
        <v>125</v>
      </c>
      <c r="I220" s="7" t="n">
        <f aca="false">(G220-H220)/G220</f>
        <v>0.625748502994012</v>
      </c>
      <c r="J220" s="15" t="n">
        <v>0.285</v>
      </c>
      <c r="K220" s="11" t="str">
        <f aca="false">IF(I220&lt;J220,"TAK","NIE")</f>
        <v>NIE</v>
      </c>
    </row>
    <row r="221" customFormat="false" ht="15" hidden="false" customHeight="false" outlineLevel="0" collapsed="false">
      <c r="A221" s="5" t="s">
        <v>212</v>
      </c>
      <c r="B221" s="5" t="s">
        <v>36</v>
      </c>
      <c r="C221" s="5" t="n">
        <v>2018</v>
      </c>
      <c r="D221" s="5" t="s">
        <v>37</v>
      </c>
      <c r="E221" s="5" t="s">
        <v>46</v>
      </c>
      <c r="F221" s="5" t="s">
        <v>40</v>
      </c>
      <c r="G221" s="6" t="n">
        <v>335</v>
      </c>
      <c r="H221" s="6" t="n">
        <v>166</v>
      </c>
      <c r="I221" s="7" t="n">
        <f aca="false">(G221-H221)/G221</f>
        <v>0.504477611940299</v>
      </c>
      <c r="J221" s="15" t="n">
        <v>0.285</v>
      </c>
      <c r="K221" s="11" t="str">
        <f aca="false">IF(I221&lt;J221,"TAK","NIE")</f>
        <v>NIE</v>
      </c>
    </row>
    <row r="222" customFormat="false" ht="15" hidden="false" customHeight="false" outlineLevel="0" collapsed="false">
      <c r="A222" s="5" t="s">
        <v>213</v>
      </c>
      <c r="B222" s="5" t="s">
        <v>36</v>
      </c>
      <c r="C222" s="5" t="n">
        <v>2018</v>
      </c>
      <c r="D222" s="5" t="s">
        <v>37</v>
      </c>
      <c r="E222" s="5" t="s">
        <v>46</v>
      </c>
      <c r="F222" s="5" t="s">
        <v>40</v>
      </c>
      <c r="G222" s="6" t="n">
        <v>334</v>
      </c>
      <c r="H222" s="6" t="n">
        <v>138</v>
      </c>
      <c r="I222" s="7" t="n">
        <f aca="false">(G222-H222)/G222</f>
        <v>0.586826347305389</v>
      </c>
      <c r="J222" s="15" t="n">
        <v>0.285</v>
      </c>
      <c r="K222" s="11" t="str">
        <f aca="false">IF(I222&lt;J222,"TAK","NIE")</f>
        <v>NIE</v>
      </c>
    </row>
    <row r="223" customFormat="false" ht="15" hidden="false" customHeight="false" outlineLevel="0" collapsed="false">
      <c r="A223" s="5" t="s">
        <v>214</v>
      </c>
      <c r="B223" s="5" t="s">
        <v>36</v>
      </c>
      <c r="C223" s="5" t="n">
        <v>2018</v>
      </c>
      <c r="D223" s="5" t="s">
        <v>37</v>
      </c>
      <c r="E223" s="5" t="s">
        <v>46</v>
      </c>
      <c r="F223" s="5" t="s">
        <v>40</v>
      </c>
      <c r="G223" s="6" t="n">
        <v>334</v>
      </c>
      <c r="H223" s="6" t="n">
        <v>121</v>
      </c>
      <c r="I223" s="7" t="n">
        <f aca="false">(G223-H223)/G223</f>
        <v>0.637724550898204</v>
      </c>
      <c r="J223" s="15" t="n">
        <v>0.285</v>
      </c>
      <c r="K223" s="11" t="str">
        <f aca="false">IF(I223&lt;J223,"TAK","NIE")</f>
        <v>NIE</v>
      </c>
    </row>
    <row r="224" customFormat="false" ht="15" hidden="false" customHeight="false" outlineLevel="0" collapsed="false">
      <c r="A224" s="5" t="s">
        <v>215</v>
      </c>
      <c r="B224" s="5" t="s">
        <v>36</v>
      </c>
      <c r="C224" s="5" t="n">
        <v>2018</v>
      </c>
      <c r="D224" s="5" t="s">
        <v>37</v>
      </c>
      <c r="E224" s="5" t="s">
        <v>46</v>
      </c>
      <c r="F224" s="5" t="s">
        <v>40</v>
      </c>
      <c r="G224" s="6" t="n">
        <v>334</v>
      </c>
      <c r="H224" s="6" t="n">
        <v>128</v>
      </c>
      <c r="I224" s="7" t="n">
        <f aca="false">(G224-H224)/G224</f>
        <v>0.616766467065868</v>
      </c>
      <c r="J224" s="15" t="n">
        <v>0.285</v>
      </c>
      <c r="K224" s="11" t="str">
        <f aca="false">IF(I224&lt;J224,"TAK","NIE")</f>
        <v>NIE</v>
      </c>
    </row>
    <row r="225" customFormat="false" ht="15" hidden="false" customHeight="false" outlineLevel="0" collapsed="false">
      <c r="A225" s="5" t="s">
        <v>216</v>
      </c>
      <c r="B225" s="5" t="s">
        <v>36</v>
      </c>
      <c r="C225" s="5" t="n">
        <v>2018</v>
      </c>
      <c r="D225" s="5" t="s">
        <v>37</v>
      </c>
      <c r="E225" s="5" t="s">
        <v>46</v>
      </c>
      <c r="F225" s="5" t="s">
        <v>40</v>
      </c>
      <c r="G225" s="6" t="n">
        <v>335</v>
      </c>
      <c r="H225" s="6" t="n">
        <v>214</v>
      </c>
      <c r="I225" s="7" t="n">
        <f aca="false">(G225-H225)/G225</f>
        <v>0.361194029850746</v>
      </c>
      <c r="J225" s="15" t="n">
        <v>0.285</v>
      </c>
      <c r="K225" s="11" t="str">
        <f aca="false">IF(I225&lt;J225,"TAK","NIE")</f>
        <v>NIE</v>
      </c>
    </row>
    <row r="226" customFormat="false" ht="15" hidden="false" customHeight="false" outlineLevel="0" collapsed="false">
      <c r="A226" s="5" t="s">
        <v>217</v>
      </c>
      <c r="B226" s="5" t="s">
        <v>36</v>
      </c>
      <c r="C226" s="5" t="n">
        <v>2018</v>
      </c>
      <c r="D226" s="5" t="s">
        <v>37</v>
      </c>
      <c r="E226" s="5" t="s">
        <v>46</v>
      </c>
      <c r="F226" s="5" t="s">
        <v>40</v>
      </c>
      <c r="G226" s="6" t="n">
        <v>334</v>
      </c>
      <c r="H226" s="6" t="n">
        <v>130</v>
      </c>
      <c r="I226" s="7" t="n">
        <f aca="false">(G226-H226)/G226</f>
        <v>0.610778443113773</v>
      </c>
      <c r="J226" s="15" t="n">
        <v>0.285</v>
      </c>
      <c r="K226" s="11" t="str">
        <f aca="false">IF(I226&lt;J226,"TAK","NIE")</f>
        <v>NIE</v>
      </c>
    </row>
    <row r="227" customFormat="false" ht="15" hidden="false" customHeight="false" outlineLevel="0" collapsed="false">
      <c r="A227" s="5" t="s">
        <v>218</v>
      </c>
      <c r="B227" s="5" t="s">
        <v>36</v>
      </c>
      <c r="C227" s="5" t="n">
        <v>2018</v>
      </c>
      <c r="D227" s="5" t="s">
        <v>37</v>
      </c>
      <c r="E227" s="5" t="s">
        <v>46</v>
      </c>
      <c r="F227" s="5" t="s">
        <v>40</v>
      </c>
      <c r="G227" s="6" t="n">
        <v>334</v>
      </c>
      <c r="H227" s="6" t="n">
        <v>109</v>
      </c>
      <c r="I227" s="7" t="n">
        <f aca="false">(G227-H227)/G227</f>
        <v>0.673652694610779</v>
      </c>
      <c r="J227" s="15" t="n">
        <v>0.285</v>
      </c>
      <c r="K227" s="11" t="str">
        <f aca="false">IF(I227&lt;J227,"TAK","NIE")</f>
        <v>NIE</v>
      </c>
    </row>
    <row r="228" customFormat="false" ht="15" hidden="false" customHeight="false" outlineLevel="0" collapsed="false">
      <c r="A228" s="5" t="s">
        <v>219</v>
      </c>
      <c r="B228" s="5" t="s">
        <v>47</v>
      </c>
      <c r="C228" s="5" t="n">
        <v>2018</v>
      </c>
      <c r="D228" s="5" t="s">
        <v>42</v>
      </c>
      <c r="E228" s="5" t="s">
        <v>38</v>
      </c>
      <c r="F228" s="5" t="s">
        <v>39</v>
      </c>
      <c r="G228" s="6" t="n">
        <v>474</v>
      </c>
      <c r="H228" s="6" t="n">
        <v>107</v>
      </c>
      <c r="I228" s="7" t="n">
        <f aca="false">(G228-H228)/G228</f>
        <v>0.774261603375527</v>
      </c>
      <c r="J228" s="15" t="n">
        <v>0.5198</v>
      </c>
      <c r="K228" s="11" t="str">
        <f aca="false">IF(I228&lt;J228,"TAK","NIE")</f>
        <v>NIE</v>
      </c>
    </row>
    <row r="229" customFormat="false" ht="15" hidden="false" customHeight="false" outlineLevel="0" collapsed="false">
      <c r="A229" s="5" t="s">
        <v>220</v>
      </c>
      <c r="B229" s="5" t="s">
        <v>47</v>
      </c>
      <c r="C229" s="5" t="n">
        <v>2018</v>
      </c>
      <c r="D229" s="5" t="s">
        <v>42</v>
      </c>
      <c r="E229" s="5" t="s">
        <v>38</v>
      </c>
      <c r="F229" s="5" t="s">
        <v>39</v>
      </c>
      <c r="G229" s="6" t="n">
        <v>474</v>
      </c>
      <c r="H229" s="6" t="n">
        <v>43</v>
      </c>
      <c r="I229" s="7" t="n">
        <f aca="false">(G229-H229)/G229</f>
        <v>0.909282700421941</v>
      </c>
      <c r="J229" s="15" t="n">
        <v>0.5198</v>
      </c>
      <c r="K229" s="11" t="str">
        <f aca="false">IF(I229&lt;J229,"TAK","NIE")</f>
        <v>NIE</v>
      </c>
    </row>
    <row r="230" customFormat="false" ht="15" hidden="false" customHeight="false" outlineLevel="0" collapsed="false">
      <c r="A230" s="5" t="s">
        <v>221</v>
      </c>
      <c r="B230" s="5" t="s">
        <v>47</v>
      </c>
      <c r="C230" s="5" t="n">
        <v>2018</v>
      </c>
      <c r="D230" s="5" t="s">
        <v>42</v>
      </c>
      <c r="E230" s="5" t="s">
        <v>38</v>
      </c>
      <c r="F230" s="5" t="s">
        <v>39</v>
      </c>
      <c r="G230" s="6" t="n">
        <v>461</v>
      </c>
      <c r="H230" s="6" t="n">
        <v>28</v>
      </c>
      <c r="I230" s="7" t="n">
        <f aca="false">(G230-H230)/G230</f>
        <v>0.939262472885033</v>
      </c>
      <c r="J230" s="15" t="n">
        <v>0.5198</v>
      </c>
      <c r="K230" s="11" t="str">
        <f aca="false">IF(I230&lt;J230,"TAK","NIE")</f>
        <v>NIE</v>
      </c>
    </row>
    <row r="231" customFormat="false" ht="15" hidden="false" customHeight="false" outlineLevel="0" collapsed="false">
      <c r="A231" s="5" t="s">
        <v>222</v>
      </c>
      <c r="B231" s="5" t="s">
        <v>47</v>
      </c>
      <c r="C231" s="5" t="n">
        <v>2018</v>
      </c>
      <c r="D231" s="5" t="s">
        <v>42</v>
      </c>
      <c r="E231" s="5" t="s">
        <v>38</v>
      </c>
      <c r="F231" s="5" t="s">
        <v>39</v>
      </c>
      <c r="G231" s="6" t="n">
        <v>457</v>
      </c>
      <c r="H231" s="6" t="n">
        <v>6</v>
      </c>
      <c r="I231" s="7" t="n">
        <f aca="false">(G231-H231)/G231</f>
        <v>0.986870897155361</v>
      </c>
      <c r="J231" s="15" t="n">
        <v>0.5198</v>
      </c>
      <c r="K231" s="11" t="str">
        <f aca="false">IF(I231&lt;J231,"TAK","NIE")</f>
        <v>NIE</v>
      </c>
    </row>
    <row r="232" customFormat="false" ht="15" hidden="false" customHeight="false" outlineLevel="0" collapsed="false">
      <c r="A232" s="5" t="s">
        <v>223</v>
      </c>
      <c r="B232" s="5" t="s">
        <v>47</v>
      </c>
      <c r="C232" s="5" t="n">
        <v>2018</v>
      </c>
      <c r="D232" s="5" t="s">
        <v>42</v>
      </c>
      <c r="E232" s="5" t="s">
        <v>38</v>
      </c>
      <c r="F232" s="5" t="s">
        <v>39</v>
      </c>
      <c r="G232" s="6" t="n">
        <v>474</v>
      </c>
      <c r="H232" s="6" t="n">
        <v>6</v>
      </c>
      <c r="I232" s="7" t="n">
        <f aca="false">(G232-H232)/G232</f>
        <v>0.987341772151899</v>
      </c>
      <c r="J232" s="15" t="n">
        <v>0.5198</v>
      </c>
      <c r="K232" s="11" t="str">
        <f aca="false">IF(I232&lt;J232,"TAK","NIE")</f>
        <v>NIE</v>
      </c>
    </row>
    <row r="233" customFormat="false" ht="15" hidden="false" customHeight="false" outlineLevel="0" collapsed="false">
      <c r="A233" s="5" t="s">
        <v>224</v>
      </c>
      <c r="B233" s="5" t="s">
        <v>47</v>
      </c>
      <c r="C233" s="5" t="n">
        <v>2018</v>
      </c>
      <c r="D233" s="5" t="s">
        <v>42</v>
      </c>
      <c r="E233" s="5" t="s">
        <v>38</v>
      </c>
      <c r="F233" s="5" t="s">
        <v>39</v>
      </c>
      <c r="G233" s="6" t="n">
        <v>461</v>
      </c>
      <c r="H233" s="6" t="n">
        <v>76</v>
      </c>
      <c r="I233" s="7" t="n">
        <f aca="false">(G233-H233)/G233</f>
        <v>0.835140997830803</v>
      </c>
      <c r="J233" s="15" t="n">
        <v>0.5198</v>
      </c>
      <c r="K233" s="11" t="str">
        <f aca="false">IF(I233&lt;J233,"TAK","NIE")</f>
        <v>NIE</v>
      </c>
    </row>
    <row r="234" customFormat="false" ht="15" hidden="false" customHeight="false" outlineLevel="0" collapsed="false">
      <c r="A234" s="5" t="s">
        <v>225</v>
      </c>
      <c r="B234" s="5" t="s">
        <v>47</v>
      </c>
      <c r="C234" s="5" t="n">
        <v>2018</v>
      </c>
      <c r="D234" s="5" t="s">
        <v>42</v>
      </c>
      <c r="E234" s="5" t="s">
        <v>38</v>
      </c>
      <c r="F234" s="5" t="s">
        <v>39</v>
      </c>
      <c r="G234" s="6" t="n">
        <v>474</v>
      </c>
      <c r="H234" s="6" t="n">
        <v>62</v>
      </c>
      <c r="I234" s="7" t="n">
        <f aca="false">(G234-H234)/G234</f>
        <v>0.869198312236287</v>
      </c>
      <c r="J234" s="15" t="n">
        <v>0.5198</v>
      </c>
      <c r="K234" s="11" t="str">
        <f aca="false">IF(I234&lt;J234,"TAK","NIE")</f>
        <v>NIE</v>
      </c>
    </row>
    <row r="235" customFormat="false" ht="15" hidden="false" customHeight="false" outlineLevel="0" collapsed="false">
      <c r="A235" s="5" t="s">
        <v>226</v>
      </c>
      <c r="B235" s="5" t="s">
        <v>47</v>
      </c>
      <c r="C235" s="5" t="n">
        <v>2018</v>
      </c>
      <c r="D235" s="5" t="s">
        <v>42</v>
      </c>
      <c r="E235" s="5" t="s">
        <v>38</v>
      </c>
      <c r="F235" s="5" t="s">
        <v>39</v>
      </c>
      <c r="G235" s="6" t="n">
        <v>474</v>
      </c>
      <c r="H235" s="6" t="n">
        <v>113</v>
      </c>
      <c r="I235" s="7" t="n">
        <f aca="false">(G235-H235)/G235</f>
        <v>0.761603375527426</v>
      </c>
      <c r="J235" s="15" t="n">
        <v>0.5198</v>
      </c>
      <c r="K235" s="11" t="str">
        <f aca="false">IF(I235&lt;J235,"TAK","NIE")</f>
        <v>NIE</v>
      </c>
    </row>
    <row r="236" customFormat="false" ht="15" hidden="false" customHeight="false" outlineLevel="0" collapsed="false">
      <c r="A236" s="5" t="s">
        <v>227</v>
      </c>
      <c r="B236" s="5" t="s">
        <v>47</v>
      </c>
      <c r="C236" s="5" t="n">
        <v>2018</v>
      </c>
      <c r="D236" s="5" t="s">
        <v>42</v>
      </c>
      <c r="E236" s="5" t="s">
        <v>38</v>
      </c>
      <c r="F236" s="5" t="s">
        <v>39</v>
      </c>
      <c r="G236" s="6" t="n">
        <v>457</v>
      </c>
      <c r="H236" s="6" t="n">
        <v>134</v>
      </c>
      <c r="I236" s="7" t="n">
        <f aca="false">(G236-H236)/G236</f>
        <v>0.706783369803063</v>
      </c>
      <c r="J236" s="15" t="n">
        <v>0.5198</v>
      </c>
      <c r="K236" s="11" t="str">
        <f aca="false">IF(I236&lt;J236,"TAK","NIE")</f>
        <v>NIE</v>
      </c>
    </row>
    <row r="237" customFormat="false" ht="15" hidden="false" customHeight="false" outlineLevel="0" collapsed="false">
      <c r="A237" s="5" t="s">
        <v>228</v>
      </c>
      <c r="B237" s="5" t="s">
        <v>47</v>
      </c>
      <c r="C237" s="5" t="n">
        <v>2018</v>
      </c>
      <c r="D237" s="5" t="s">
        <v>42</v>
      </c>
      <c r="E237" s="5" t="s">
        <v>38</v>
      </c>
      <c r="F237" s="5" t="s">
        <v>39</v>
      </c>
      <c r="G237" s="6" t="n">
        <v>474</v>
      </c>
      <c r="H237" s="6" t="n">
        <v>108</v>
      </c>
      <c r="I237" s="7" t="n">
        <f aca="false">(G237-H237)/G237</f>
        <v>0.772151898734177</v>
      </c>
      <c r="J237" s="15" t="n">
        <v>0.5198</v>
      </c>
      <c r="K237" s="11" t="str">
        <f aca="false">IF(I237&lt;J237,"TAK","NIE")</f>
        <v>NIE</v>
      </c>
    </row>
    <row r="238" customFormat="false" ht="15" hidden="false" customHeight="false" outlineLevel="0" collapsed="false">
      <c r="A238" s="5" t="s">
        <v>229</v>
      </c>
      <c r="B238" s="5" t="s">
        <v>47</v>
      </c>
      <c r="C238" s="5" t="n">
        <v>2018</v>
      </c>
      <c r="D238" s="5" t="s">
        <v>42</v>
      </c>
      <c r="E238" s="5" t="s">
        <v>38</v>
      </c>
      <c r="F238" s="5" t="s">
        <v>39</v>
      </c>
      <c r="G238" s="6" t="n">
        <v>474</v>
      </c>
      <c r="H238" s="6" t="n">
        <v>211</v>
      </c>
      <c r="I238" s="7" t="n">
        <f aca="false">(G238-H238)/G238</f>
        <v>0.554852320675106</v>
      </c>
      <c r="J238" s="15" t="n">
        <v>0.5198</v>
      </c>
      <c r="K238" s="11" t="str">
        <f aca="false">IF(I238&lt;J238,"TAK","NIE")</f>
        <v>NIE</v>
      </c>
    </row>
    <row r="239" customFormat="false" ht="15" hidden="false" customHeight="false" outlineLevel="0" collapsed="false">
      <c r="A239" s="5" t="s">
        <v>230</v>
      </c>
      <c r="B239" s="5" t="s">
        <v>47</v>
      </c>
      <c r="C239" s="5" t="n">
        <v>2018</v>
      </c>
      <c r="D239" s="5" t="s">
        <v>42</v>
      </c>
      <c r="E239" s="5" t="s">
        <v>38</v>
      </c>
      <c r="F239" s="5" t="s">
        <v>39</v>
      </c>
      <c r="G239" s="6" t="n">
        <v>461</v>
      </c>
      <c r="H239" s="6" t="n">
        <v>35</v>
      </c>
      <c r="I239" s="7" t="n">
        <f aca="false">(G239-H239)/G239</f>
        <v>0.924078091106291</v>
      </c>
      <c r="J239" s="15" t="n">
        <v>0.5198</v>
      </c>
      <c r="K239" s="11" t="str">
        <f aca="false">IF(I239&lt;J239,"TAK","NIE")</f>
        <v>NIE</v>
      </c>
    </row>
    <row r="240" customFormat="false" ht="15" hidden="false" customHeight="false" outlineLevel="0" collapsed="false">
      <c r="A240" s="5" t="s">
        <v>231</v>
      </c>
      <c r="B240" s="5" t="s">
        <v>47</v>
      </c>
      <c r="C240" s="5" t="n">
        <v>2018</v>
      </c>
      <c r="D240" s="5" t="s">
        <v>42</v>
      </c>
      <c r="E240" s="5" t="s">
        <v>38</v>
      </c>
      <c r="F240" s="5" t="s">
        <v>39</v>
      </c>
      <c r="G240" s="6" t="n">
        <v>461</v>
      </c>
      <c r="H240" s="6" t="n">
        <v>23</v>
      </c>
      <c r="I240" s="7" t="n">
        <f aca="false">(G240-H240)/G240</f>
        <v>0.950108459869848</v>
      </c>
      <c r="J240" s="15" t="n">
        <v>0.5198</v>
      </c>
      <c r="K240" s="11" t="str">
        <f aca="false">IF(I240&lt;J240,"TAK","NIE")</f>
        <v>NIE</v>
      </c>
    </row>
    <row r="241" customFormat="false" ht="15" hidden="false" customHeight="false" outlineLevel="0" collapsed="false">
      <c r="A241" s="5" t="s">
        <v>232</v>
      </c>
      <c r="B241" s="5" t="s">
        <v>47</v>
      </c>
      <c r="C241" s="5" t="n">
        <v>2018</v>
      </c>
      <c r="D241" s="5" t="s">
        <v>42</v>
      </c>
      <c r="E241" s="5" t="s">
        <v>38</v>
      </c>
      <c r="F241" s="5" t="s">
        <v>39</v>
      </c>
      <c r="G241" s="6" t="n">
        <v>474</v>
      </c>
      <c r="H241" s="6" t="n">
        <v>40</v>
      </c>
      <c r="I241" s="7" t="n">
        <f aca="false">(G241-H241)/G241</f>
        <v>0.915611814345992</v>
      </c>
      <c r="J241" s="15" t="n">
        <v>0.5198</v>
      </c>
      <c r="K241" s="11" t="str">
        <f aca="false">IF(I241&lt;J241,"TAK","NIE")</f>
        <v>NIE</v>
      </c>
    </row>
    <row r="242" customFormat="false" ht="15" hidden="false" customHeight="false" outlineLevel="0" collapsed="false">
      <c r="A242" s="5" t="s">
        <v>233</v>
      </c>
      <c r="B242" s="5" t="s">
        <v>47</v>
      </c>
      <c r="C242" s="5" t="n">
        <v>2018</v>
      </c>
      <c r="D242" s="5" t="s">
        <v>42</v>
      </c>
      <c r="E242" s="5" t="s">
        <v>38</v>
      </c>
      <c r="F242" s="5" t="s">
        <v>39</v>
      </c>
      <c r="G242" s="6" t="n">
        <v>457</v>
      </c>
      <c r="H242" s="6" t="n">
        <v>119</v>
      </c>
      <c r="I242" s="7" t="n">
        <f aca="false">(G242-H242)/G242</f>
        <v>0.739606126914661</v>
      </c>
      <c r="J242" s="15" t="n">
        <v>0.5198</v>
      </c>
      <c r="K242" s="11" t="str">
        <f aca="false">IF(I242&lt;J242,"TAK","NIE")</f>
        <v>NIE</v>
      </c>
    </row>
    <row r="243" customFormat="false" ht="15" hidden="false" customHeight="false" outlineLevel="0" collapsed="false">
      <c r="A243" s="5" t="s">
        <v>234</v>
      </c>
      <c r="B243" s="5" t="s">
        <v>47</v>
      </c>
      <c r="C243" s="5" t="n">
        <v>2018</v>
      </c>
      <c r="D243" s="5" t="s">
        <v>42</v>
      </c>
      <c r="E243" s="5" t="s">
        <v>38</v>
      </c>
      <c r="F243" s="5" t="s">
        <v>39</v>
      </c>
      <c r="G243" s="6" t="n">
        <v>474</v>
      </c>
      <c r="H243" s="6" t="n">
        <v>107</v>
      </c>
      <c r="I243" s="7" t="n">
        <f aca="false">(G243-H243)/G243</f>
        <v>0.774261603375527</v>
      </c>
      <c r="J243" s="15" t="n">
        <v>0.5198</v>
      </c>
      <c r="K243" s="11" t="str">
        <f aca="false">IF(I243&lt;J243,"TAK","NIE")</f>
        <v>NIE</v>
      </c>
    </row>
    <row r="244" customFormat="false" ht="15" hidden="false" customHeight="false" outlineLevel="0" collapsed="false">
      <c r="A244" s="5" t="s">
        <v>235</v>
      </c>
      <c r="B244" s="5" t="s">
        <v>47</v>
      </c>
      <c r="C244" s="5" t="n">
        <v>2018</v>
      </c>
      <c r="D244" s="5" t="s">
        <v>42</v>
      </c>
      <c r="E244" s="5" t="s">
        <v>38</v>
      </c>
      <c r="F244" s="5" t="s">
        <v>39</v>
      </c>
      <c r="G244" s="6" t="n">
        <v>461</v>
      </c>
      <c r="H244" s="6" t="n">
        <v>30</v>
      </c>
      <c r="I244" s="7" t="n">
        <f aca="false">(G244-H244)/G244</f>
        <v>0.934924078091106</v>
      </c>
      <c r="J244" s="15" t="n">
        <v>0.5198</v>
      </c>
      <c r="K244" s="11" t="str">
        <f aca="false">IF(I244&lt;J244,"TAK","NIE")</f>
        <v>NIE</v>
      </c>
    </row>
    <row r="245" customFormat="false" ht="15" hidden="false" customHeight="false" outlineLevel="0" collapsed="false">
      <c r="A245" s="5" t="s">
        <v>236</v>
      </c>
      <c r="B245" s="5" t="s">
        <v>47</v>
      </c>
      <c r="C245" s="5" t="n">
        <v>2018</v>
      </c>
      <c r="D245" s="5" t="s">
        <v>42</v>
      </c>
      <c r="E245" s="5" t="s">
        <v>38</v>
      </c>
      <c r="F245" s="5" t="s">
        <v>39</v>
      </c>
      <c r="G245" s="6" t="n">
        <v>474</v>
      </c>
      <c r="H245" s="6" t="n">
        <v>67</v>
      </c>
      <c r="I245" s="7" t="n">
        <f aca="false">(G245-H245)/G245</f>
        <v>0.858649789029536</v>
      </c>
      <c r="J245" s="15" t="n">
        <v>0.5198</v>
      </c>
      <c r="K245" s="11" t="str">
        <f aca="false">IF(I245&lt;J245,"TAK","NIE")</f>
        <v>NIE</v>
      </c>
    </row>
    <row r="246" customFormat="false" ht="15" hidden="false" customHeight="false" outlineLevel="0" collapsed="false">
      <c r="A246" s="5" t="s">
        <v>237</v>
      </c>
      <c r="B246" s="5" t="s">
        <v>47</v>
      </c>
      <c r="C246" s="5" t="n">
        <v>2018</v>
      </c>
      <c r="D246" s="5" t="s">
        <v>42</v>
      </c>
      <c r="E246" s="5" t="s">
        <v>38</v>
      </c>
      <c r="F246" s="5" t="s">
        <v>39</v>
      </c>
      <c r="G246" s="6" t="n">
        <v>461</v>
      </c>
      <c r="H246" s="6" t="n">
        <v>26</v>
      </c>
      <c r="I246" s="7" t="n">
        <f aca="false">(G246-H246)/G246</f>
        <v>0.943600867678959</v>
      </c>
      <c r="J246" s="15" t="n">
        <v>0.5198</v>
      </c>
      <c r="K246" s="11" t="str">
        <f aca="false">IF(I246&lt;J246,"TAK","NIE")</f>
        <v>NIE</v>
      </c>
    </row>
    <row r="247" customFormat="false" ht="15" hidden="false" customHeight="false" outlineLevel="0" collapsed="false">
      <c r="A247" s="5" t="s">
        <v>238</v>
      </c>
      <c r="B247" s="5" t="s">
        <v>47</v>
      </c>
      <c r="C247" s="5" t="n">
        <v>2018</v>
      </c>
      <c r="D247" s="5" t="s">
        <v>42</v>
      </c>
      <c r="E247" s="5" t="s">
        <v>38</v>
      </c>
      <c r="F247" s="5" t="s">
        <v>39</v>
      </c>
      <c r="G247" s="6" t="n">
        <v>461</v>
      </c>
      <c r="H247" s="6" t="n">
        <v>147</v>
      </c>
      <c r="I247" s="7" t="n">
        <f aca="false">(G247-H247)/G247</f>
        <v>0.681127982646421</v>
      </c>
      <c r="J247" s="15" t="n">
        <v>0.5198</v>
      </c>
      <c r="K247" s="11" t="str">
        <f aca="false">IF(I247&lt;J247,"TAK","NIE")</f>
        <v>NIE</v>
      </c>
    </row>
    <row r="248" customFormat="false" ht="15" hidden="false" customHeight="false" outlineLevel="0" collapsed="false">
      <c r="A248" s="5" t="s">
        <v>219</v>
      </c>
      <c r="B248" s="5" t="s">
        <v>47</v>
      </c>
      <c r="C248" s="5" t="n">
        <v>2018</v>
      </c>
      <c r="D248" s="5" t="s">
        <v>42</v>
      </c>
      <c r="E248" s="5" t="s">
        <v>38</v>
      </c>
      <c r="F248" s="5" t="s">
        <v>40</v>
      </c>
      <c r="G248" s="6" t="n">
        <v>735</v>
      </c>
      <c r="H248" s="6" t="n">
        <v>193</v>
      </c>
      <c r="I248" s="7" t="n">
        <f aca="false">(G248-H248)/G248</f>
        <v>0.737414965986395</v>
      </c>
      <c r="J248" s="15" t="n">
        <v>0.5699</v>
      </c>
      <c r="K248" s="11" t="str">
        <f aca="false">IF(I248&lt;J248,"TAK","NIE")</f>
        <v>NIE</v>
      </c>
    </row>
    <row r="249" customFormat="false" ht="15" hidden="false" customHeight="false" outlineLevel="0" collapsed="false">
      <c r="A249" s="5" t="s">
        <v>220</v>
      </c>
      <c r="B249" s="5" t="s">
        <v>47</v>
      </c>
      <c r="C249" s="5" t="n">
        <v>2018</v>
      </c>
      <c r="D249" s="5" t="s">
        <v>42</v>
      </c>
      <c r="E249" s="5" t="s">
        <v>38</v>
      </c>
      <c r="F249" s="5" t="s">
        <v>40</v>
      </c>
      <c r="G249" s="6" t="n">
        <v>735</v>
      </c>
      <c r="H249" s="6" t="n">
        <v>103</v>
      </c>
      <c r="I249" s="7" t="n">
        <f aca="false">(G249-H249)/G249</f>
        <v>0.859863945578231</v>
      </c>
      <c r="J249" s="15" t="n">
        <v>0.5699</v>
      </c>
      <c r="K249" s="11" t="str">
        <f aca="false">IF(I249&lt;J249,"TAK","NIE")</f>
        <v>NIE</v>
      </c>
    </row>
    <row r="250" customFormat="false" ht="15" hidden="false" customHeight="false" outlineLevel="0" collapsed="false">
      <c r="A250" s="5" t="s">
        <v>221</v>
      </c>
      <c r="B250" s="5" t="s">
        <v>47</v>
      </c>
      <c r="C250" s="5" t="n">
        <v>2018</v>
      </c>
      <c r="D250" s="5" t="s">
        <v>42</v>
      </c>
      <c r="E250" s="5" t="s">
        <v>38</v>
      </c>
      <c r="F250" s="5" t="s">
        <v>40</v>
      </c>
      <c r="G250" s="6" t="n">
        <v>678</v>
      </c>
      <c r="H250" s="6" t="n">
        <v>16</v>
      </c>
      <c r="I250" s="7" t="n">
        <f aca="false">(G250-H250)/G250</f>
        <v>0.976401179941003</v>
      </c>
      <c r="J250" s="15" t="n">
        <v>0.5699</v>
      </c>
      <c r="K250" s="11" t="str">
        <f aca="false">IF(I250&lt;J250,"TAK","NIE")</f>
        <v>NIE</v>
      </c>
    </row>
    <row r="251" customFormat="false" ht="15" hidden="false" customHeight="false" outlineLevel="0" collapsed="false">
      <c r="A251" s="5" t="s">
        <v>222</v>
      </c>
      <c r="B251" s="5" t="s">
        <v>47</v>
      </c>
      <c r="C251" s="5" t="n">
        <v>2018</v>
      </c>
      <c r="D251" s="5" t="s">
        <v>42</v>
      </c>
      <c r="E251" s="5" t="s">
        <v>38</v>
      </c>
      <c r="F251" s="5" t="s">
        <v>40</v>
      </c>
      <c r="G251" s="6" t="n">
        <v>678</v>
      </c>
      <c r="H251" s="6" t="n">
        <v>76</v>
      </c>
      <c r="I251" s="7" t="n">
        <f aca="false">(G251-H251)/G251</f>
        <v>0.887905604719764</v>
      </c>
      <c r="J251" s="15" t="n">
        <v>0.5699</v>
      </c>
      <c r="K251" s="11" t="str">
        <f aca="false">IF(I251&lt;J251,"TAK","NIE")</f>
        <v>NIE</v>
      </c>
    </row>
    <row r="252" customFormat="false" ht="15" hidden="false" customHeight="false" outlineLevel="0" collapsed="false">
      <c r="A252" s="5" t="s">
        <v>223</v>
      </c>
      <c r="B252" s="5" t="s">
        <v>47</v>
      </c>
      <c r="C252" s="5" t="n">
        <v>2018</v>
      </c>
      <c r="D252" s="5" t="s">
        <v>42</v>
      </c>
      <c r="E252" s="5" t="s">
        <v>38</v>
      </c>
      <c r="F252" s="5" t="s">
        <v>40</v>
      </c>
      <c r="G252" s="6" t="n">
        <v>678</v>
      </c>
      <c r="H252" s="6" t="n">
        <v>52</v>
      </c>
      <c r="I252" s="7" t="n">
        <f aca="false">(G252-H252)/G252</f>
        <v>0.92330383480826</v>
      </c>
      <c r="J252" s="15" t="n">
        <v>0.5699</v>
      </c>
      <c r="K252" s="11" t="str">
        <f aca="false">IF(I252&lt;J252,"TAK","NIE")</f>
        <v>NIE</v>
      </c>
    </row>
    <row r="253" customFormat="false" ht="15" hidden="false" customHeight="false" outlineLevel="0" collapsed="false">
      <c r="A253" s="5" t="s">
        <v>224</v>
      </c>
      <c r="B253" s="5" t="s">
        <v>47</v>
      </c>
      <c r="C253" s="5" t="n">
        <v>2018</v>
      </c>
      <c r="D253" s="5" t="s">
        <v>42</v>
      </c>
      <c r="E253" s="5" t="s">
        <v>38</v>
      </c>
      <c r="F253" s="5" t="s">
        <v>40</v>
      </c>
      <c r="G253" s="6" t="n">
        <v>735</v>
      </c>
      <c r="H253" s="6" t="n">
        <v>154</v>
      </c>
      <c r="I253" s="7" t="n">
        <f aca="false">(G253-H253)/G253</f>
        <v>0.79047619047619</v>
      </c>
      <c r="J253" s="15" t="n">
        <v>0.5699</v>
      </c>
      <c r="K253" s="11" t="str">
        <f aca="false">IF(I253&lt;J253,"TAK","NIE")</f>
        <v>NIE</v>
      </c>
    </row>
    <row r="254" customFormat="false" ht="15" hidden="false" customHeight="false" outlineLevel="0" collapsed="false">
      <c r="A254" s="5" t="s">
        <v>225</v>
      </c>
      <c r="B254" s="5" t="s">
        <v>47</v>
      </c>
      <c r="C254" s="5" t="n">
        <v>2018</v>
      </c>
      <c r="D254" s="5" t="s">
        <v>42</v>
      </c>
      <c r="E254" s="5" t="s">
        <v>38</v>
      </c>
      <c r="F254" s="5" t="s">
        <v>40</v>
      </c>
      <c r="G254" s="6" t="n">
        <v>735</v>
      </c>
      <c r="H254" s="6" t="n">
        <v>263</v>
      </c>
      <c r="I254" s="7" t="n">
        <f aca="false">(G254-H254)/G254</f>
        <v>0.642176870748299</v>
      </c>
      <c r="J254" s="15" t="n">
        <v>0.5699</v>
      </c>
      <c r="K254" s="11" t="str">
        <f aca="false">IF(I254&lt;J254,"TAK","NIE")</f>
        <v>NIE</v>
      </c>
    </row>
    <row r="255" customFormat="false" ht="15" hidden="false" customHeight="false" outlineLevel="0" collapsed="false">
      <c r="A255" s="5" t="s">
        <v>226</v>
      </c>
      <c r="B255" s="5" t="s">
        <v>47</v>
      </c>
      <c r="C255" s="5" t="n">
        <v>2018</v>
      </c>
      <c r="D255" s="5" t="s">
        <v>42</v>
      </c>
      <c r="E255" s="5" t="s">
        <v>38</v>
      </c>
      <c r="F255" s="5" t="s">
        <v>40</v>
      </c>
      <c r="G255" s="6" t="n">
        <v>735</v>
      </c>
      <c r="H255" s="6" t="n">
        <v>163</v>
      </c>
      <c r="I255" s="7" t="n">
        <f aca="false">(G255-H255)/G255</f>
        <v>0.778231292517007</v>
      </c>
      <c r="J255" s="15" t="n">
        <v>0.5699</v>
      </c>
      <c r="K255" s="11" t="str">
        <f aca="false">IF(I255&lt;J255,"TAK","NIE")</f>
        <v>NIE</v>
      </c>
    </row>
    <row r="256" customFormat="false" ht="15" hidden="false" customHeight="false" outlineLevel="0" collapsed="false">
      <c r="A256" s="5" t="s">
        <v>227</v>
      </c>
      <c r="B256" s="5" t="s">
        <v>47</v>
      </c>
      <c r="C256" s="5" t="n">
        <v>2018</v>
      </c>
      <c r="D256" s="5" t="s">
        <v>42</v>
      </c>
      <c r="E256" s="5" t="s">
        <v>38</v>
      </c>
      <c r="F256" s="5" t="s">
        <v>40</v>
      </c>
      <c r="G256" s="6" t="n">
        <v>735</v>
      </c>
      <c r="H256" s="6" t="n">
        <v>117</v>
      </c>
      <c r="I256" s="7" t="n">
        <f aca="false">(G256-H256)/G256</f>
        <v>0.840816326530612</v>
      </c>
      <c r="J256" s="15" t="n">
        <v>0.5699</v>
      </c>
      <c r="K256" s="11" t="str">
        <f aca="false">IF(I256&lt;J256,"TAK","NIE")</f>
        <v>NIE</v>
      </c>
    </row>
    <row r="257" customFormat="false" ht="15" hidden="false" customHeight="false" outlineLevel="0" collapsed="false">
      <c r="A257" s="5" t="s">
        <v>228</v>
      </c>
      <c r="B257" s="5" t="s">
        <v>47</v>
      </c>
      <c r="C257" s="5" t="n">
        <v>2018</v>
      </c>
      <c r="D257" s="5" t="s">
        <v>42</v>
      </c>
      <c r="E257" s="5" t="s">
        <v>38</v>
      </c>
      <c r="F257" s="5" t="s">
        <v>40</v>
      </c>
      <c r="G257" s="6" t="n">
        <v>735</v>
      </c>
      <c r="H257" s="6" t="n">
        <v>185</v>
      </c>
      <c r="I257" s="7" t="n">
        <f aca="false">(G257-H257)/G257</f>
        <v>0.748299319727891</v>
      </c>
      <c r="J257" s="15" t="n">
        <v>0.5699</v>
      </c>
      <c r="K257" s="11" t="str">
        <f aca="false">IF(I257&lt;J257,"TAK","NIE")</f>
        <v>NIE</v>
      </c>
    </row>
    <row r="258" customFormat="false" ht="15" hidden="false" customHeight="false" outlineLevel="0" collapsed="false">
      <c r="A258" s="5" t="s">
        <v>229</v>
      </c>
      <c r="B258" s="5" t="s">
        <v>47</v>
      </c>
      <c r="C258" s="5" t="n">
        <v>2018</v>
      </c>
      <c r="D258" s="5" t="s">
        <v>42</v>
      </c>
      <c r="E258" s="5" t="s">
        <v>38</v>
      </c>
      <c r="F258" s="5" t="s">
        <v>40</v>
      </c>
      <c r="G258" s="6" t="n">
        <v>735</v>
      </c>
      <c r="H258" s="6" t="n">
        <v>160</v>
      </c>
      <c r="I258" s="7" t="n">
        <f aca="false">(G258-H258)/G258</f>
        <v>0.782312925170068</v>
      </c>
      <c r="J258" s="15" t="n">
        <v>0.5699</v>
      </c>
      <c r="K258" s="11" t="str">
        <f aca="false">IF(I258&lt;J258,"TAK","NIE")</f>
        <v>NIE</v>
      </c>
    </row>
    <row r="259" customFormat="false" ht="15" hidden="false" customHeight="false" outlineLevel="0" collapsed="false">
      <c r="A259" s="5" t="s">
        <v>230</v>
      </c>
      <c r="B259" s="5" t="s">
        <v>47</v>
      </c>
      <c r="C259" s="5" t="n">
        <v>2018</v>
      </c>
      <c r="D259" s="5" t="s">
        <v>42</v>
      </c>
      <c r="E259" s="5" t="s">
        <v>38</v>
      </c>
      <c r="F259" s="5" t="s">
        <v>40</v>
      </c>
      <c r="G259" s="6" t="n">
        <v>735</v>
      </c>
      <c r="H259" s="6" t="n">
        <v>29</v>
      </c>
      <c r="I259" s="7" t="n">
        <f aca="false">(G259-H259)/G259</f>
        <v>0.960544217687075</v>
      </c>
      <c r="J259" s="15" t="n">
        <v>0.5699</v>
      </c>
      <c r="K259" s="11" t="str">
        <f aca="false">IF(I259&lt;J259,"TAK","NIE")</f>
        <v>NIE</v>
      </c>
    </row>
    <row r="260" customFormat="false" ht="15" hidden="false" customHeight="false" outlineLevel="0" collapsed="false">
      <c r="A260" s="5" t="s">
        <v>231</v>
      </c>
      <c r="B260" s="5" t="s">
        <v>47</v>
      </c>
      <c r="C260" s="5" t="n">
        <v>2018</v>
      </c>
      <c r="D260" s="5" t="s">
        <v>42</v>
      </c>
      <c r="E260" s="5" t="s">
        <v>38</v>
      </c>
      <c r="F260" s="5" t="s">
        <v>40</v>
      </c>
      <c r="G260" s="6" t="n">
        <v>678</v>
      </c>
      <c r="H260" s="6" t="n">
        <v>55</v>
      </c>
      <c r="I260" s="7" t="n">
        <f aca="false">(G260-H260)/G260</f>
        <v>0.918879056047198</v>
      </c>
      <c r="J260" s="15" t="n">
        <v>0.5699</v>
      </c>
      <c r="K260" s="11" t="str">
        <f aca="false">IF(I260&lt;J260,"TAK","NIE")</f>
        <v>NIE</v>
      </c>
    </row>
    <row r="261" customFormat="false" ht="15" hidden="false" customHeight="false" outlineLevel="0" collapsed="false">
      <c r="A261" s="5" t="s">
        <v>232</v>
      </c>
      <c r="B261" s="5" t="s">
        <v>47</v>
      </c>
      <c r="C261" s="5" t="n">
        <v>2018</v>
      </c>
      <c r="D261" s="5" t="s">
        <v>42</v>
      </c>
      <c r="E261" s="5" t="s">
        <v>38</v>
      </c>
      <c r="F261" s="5" t="s">
        <v>40</v>
      </c>
      <c r="G261" s="6" t="n">
        <v>735</v>
      </c>
      <c r="H261" s="6" t="n">
        <v>92</v>
      </c>
      <c r="I261" s="7" t="n">
        <f aca="false">(G261-H261)/G261</f>
        <v>0.874829931972789</v>
      </c>
      <c r="J261" s="15" t="n">
        <v>0.5699</v>
      </c>
      <c r="K261" s="11" t="str">
        <f aca="false">IF(I261&lt;J261,"TAK","NIE")</f>
        <v>NIE</v>
      </c>
    </row>
    <row r="262" customFormat="false" ht="15" hidden="false" customHeight="false" outlineLevel="0" collapsed="false">
      <c r="A262" s="5" t="s">
        <v>233</v>
      </c>
      <c r="B262" s="5" t="s">
        <v>47</v>
      </c>
      <c r="C262" s="5" t="n">
        <v>2018</v>
      </c>
      <c r="D262" s="5" t="s">
        <v>42</v>
      </c>
      <c r="E262" s="5" t="s">
        <v>38</v>
      </c>
      <c r="F262" s="5" t="s">
        <v>40</v>
      </c>
      <c r="G262" s="6" t="n">
        <v>735</v>
      </c>
      <c r="H262" s="6" t="n">
        <v>206</v>
      </c>
      <c r="I262" s="7" t="n">
        <f aca="false">(G262-H262)/G262</f>
        <v>0.719727891156463</v>
      </c>
      <c r="J262" s="15" t="n">
        <v>0.5699</v>
      </c>
      <c r="K262" s="11" t="str">
        <f aca="false">IF(I262&lt;J262,"TAK","NIE")</f>
        <v>NIE</v>
      </c>
    </row>
    <row r="263" customFormat="false" ht="15" hidden="false" customHeight="false" outlineLevel="0" collapsed="false">
      <c r="A263" s="5" t="s">
        <v>234</v>
      </c>
      <c r="B263" s="5" t="s">
        <v>47</v>
      </c>
      <c r="C263" s="5" t="n">
        <v>2018</v>
      </c>
      <c r="D263" s="5" t="s">
        <v>42</v>
      </c>
      <c r="E263" s="5" t="s">
        <v>38</v>
      </c>
      <c r="F263" s="5" t="s">
        <v>40</v>
      </c>
      <c r="G263" s="6" t="n">
        <v>735</v>
      </c>
      <c r="H263" s="6" t="n">
        <v>163</v>
      </c>
      <c r="I263" s="7" t="n">
        <f aca="false">(G263-H263)/G263</f>
        <v>0.778231292517007</v>
      </c>
      <c r="J263" s="15" t="n">
        <v>0.5699</v>
      </c>
      <c r="K263" s="11" t="str">
        <f aca="false">IF(I263&lt;J263,"TAK","NIE")</f>
        <v>NIE</v>
      </c>
    </row>
    <row r="264" customFormat="false" ht="15" hidden="false" customHeight="false" outlineLevel="0" collapsed="false">
      <c r="A264" s="5" t="s">
        <v>235</v>
      </c>
      <c r="B264" s="5" t="s">
        <v>47</v>
      </c>
      <c r="C264" s="5" t="n">
        <v>2018</v>
      </c>
      <c r="D264" s="5" t="s">
        <v>42</v>
      </c>
      <c r="E264" s="5" t="s">
        <v>38</v>
      </c>
      <c r="F264" s="5" t="s">
        <v>40</v>
      </c>
      <c r="G264" s="6" t="n">
        <v>678</v>
      </c>
      <c r="H264" s="6" t="n">
        <v>70</v>
      </c>
      <c r="I264" s="7" t="n">
        <f aca="false">(G264-H264)/G264</f>
        <v>0.896755162241888</v>
      </c>
      <c r="J264" s="15" t="n">
        <v>0.5699</v>
      </c>
      <c r="K264" s="11" t="str">
        <f aca="false">IF(I264&lt;J264,"TAK","NIE")</f>
        <v>NIE</v>
      </c>
    </row>
    <row r="265" customFormat="false" ht="15" hidden="false" customHeight="false" outlineLevel="0" collapsed="false">
      <c r="A265" s="5" t="s">
        <v>236</v>
      </c>
      <c r="B265" s="5" t="s">
        <v>47</v>
      </c>
      <c r="C265" s="5" t="n">
        <v>2018</v>
      </c>
      <c r="D265" s="5" t="s">
        <v>42</v>
      </c>
      <c r="E265" s="5" t="s">
        <v>38</v>
      </c>
      <c r="F265" s="5" t="s">
        <v>40</v>
      </c>
      <c r="G265" s="6" t="n">
        <v>735</v>
      </c>
      <c r="H265" s="6" t="n">
        <v>62</v>
      </c>
      <c r="I265" s="7" t="n">
        <f aca="false">(G265-H265)/G265</f>
        <v>0.915646258503401</v>
      </c>
      <c r="J265" s="15" t="n">
        <v>0.5699</v>
      </c>
      <c r="K265" s="11" t="str">
        <f aca="false">IF(I265&lt;J265,"TAK","NIE")</f>
        <v>NIE</v>
      </c>
    </row>
    <row r="266" customFormat="false" ht="15" hidden="false" customHeight="false" outlineLevel="0" collapsed="false">
      <c r="A266" s="5" t="s">
        <v>237</v>
      </c>
      <c r="B266" s="5" t="s">
        <v>47</v>
      </c>
      <c r="C266" s="5" t="n">
        <v>2018</v>
      </c>
      <c r="D266" s="5" t="s">
        <v>42</v>
      </c>
      <c r="E266" s="5" t="s">
        <v>38</v>
      </c>
      <c r="F266" s="5" t="s">
        <v>40</v>
      </c>
      <c r="G266" s="6" t="n">
        <v>678</v>
      </c>
      <c r="H266" s="6" t="n">
        <v>16</v>
      </c>
      <c r="I266" s="7" t="n">
        <f aca="false">(G266-H266)/G266</f>
        <v>0.976401179941003</v>
      </c>
      <c r="J266" s="15" t="n">
        <v>0.5699</v>
      </c>
      <c r="K266" s="11" t="str">
        <f aca="false">IF(I266&lt;J266,"TAK","NIE")</f>
        <v>NIE</v>
      </c>
    </row>
    <row r="267" customFormat="false" ht="15" hidden="false" customHeight="false" outlineLevel="0" collapsed="false">
      <c r="A267" s="5" t="s">
        <v>238</v>
      </c>
      <c r="B267" s="5" t="s">
        <v>47</v>
      </c>
      <c r="C267" s="5" t="n">
        <v>2018</v>
      </c>
      <c r="D267" s="5" t="s">
        <v>42</v>
      </c>
      <c r="E267" s="5" t="s">
        <v>38</v>
      </c>
      <c r="F267" s="5" t="s">
        <v>40</v>
      </c>
      <c r="G267" s="6" t="n">
        <v>735</v>
      </c>
      <c r="H267" s="6" t="n">
        <v>140</v>
      </c>
      <c r="I267" s="7" t="n">
        <f aca="false">(G267-H267)/G267</f>
        <v>0.80952380952381</v>
      </c>
      <c r="J267" s="15" t="n">
        <v>0.5699</v>
      </c>
      <c r="K267" s="11" t="str">
        <f aca="false">IF(I267&lt;J267,"TAK","NIE")</f>
        <v>NIE</v>
      </c>
    </row>
    <row r="268" customFormat="false" ht="15" hidden="false" customHeight="false" outlineLevel="0" collapsed="false">
      <c r="A268" s="5" t="s">
        <v>219</v>
      </c>
      <c r="B268" s="5" t="s">
        <v>41</v>
      </c>
      <c r="C268" s="5" t="n">
        <v>2018</v>
      </c>
      <c r="D268" s="5" t="s">
        <v>42</v>
      </c>
      <c r="E268" s="5" t="s">
        <v>46</v>
      </c>
      <c r="F268" s="5" t="s">
        <v>39</v>
      </c>
      <c r="G268" s="6" t="n">
        <v>592</v>
      </c>
      <c r="H268" s="6" t="n">
        <v>234</v>
      </c>
      <c r="I268" s="7" t="n">
        <f aca="false">(G268-H268)/G268</f>
        <v>0.60472972972973</v>
      </c>
      <c r="J268" s="15" t="n">
        <v>0.3147</v>
      </c>
      <c r="K268" s="11" t="str">
        <f aca="false">IF(I268&lt;J268,"TAK","NIE")</f>
        <v>NIE</v>
      </c>
    </row>
    <row r="269" customFormat="false" ht="15" hidden="false" customHeight="false" outlineLevel="0" collapsed="false">
      <c r="A269" s="5" t="s">
        <v>220</v>
      </c>
      <c r="B269" s="5" t="s">
        <v>41</v>
      </c>
      <c r="C269" s="5" t="n">
        <v>2018</v>
      </c>
      <c r="D269" s="5" t="s">
        <v>42</v>
      </c>
      <c r="E269" s="5" t="s">
        <v>46</v>
      </c>
      <c r="F269" s="5" t="s">
        <v>39</v>
      </c>
      <c r="G269" s="6" t="n">
        <v>592</v>
      </c>
      <c r="H269" s="6" t="n">
        <v>133</v>
      </c>
      <c r="I269" s="7" t="n">
        <f aca="false">(G269-H269)/G269</f>
        <v>0.775337837837838</v>
      </c>
      <c r="J269" s="15" t="n">
        <v>0.3147</v>
      </c>
      <c r="K269" s="11" t="str">
        <f aca="false">IF(I269&lt;J269,"TAK","NIE")</f>
        <v>NIE</v>
      </c>
    </row>
    <row r="270" customFormat="false" ht="15" hidden="false" customHeight="false" outlineLevel="0" collapsed="false">
      <c r="A270" s="5" t="s">
        <v>221</v>
      </c>
      <c r="B270" s="5" t="s">
        <v>41</v>
      </c>
      <c r="C270" s="5" t="n">
        <v>2018</v>
      </c>
      <c r="D270" s="5" t="s">
        <v>42</v>
      </c>
      <c r="E270" s="5" t="s">
        <v>46</v>
      </c>
      <c r="F270" s="5" t="s">
        <v>39</v>
      </c>
      <c r="G270" s="6" t="n">
        <v>592</v>
      </c>
      <c r="H270" s="6" t="n">
        <v>31</v>
      </c>
      <c r="I270" s="7" t="n">
        <f aca="false">(G270-H270)/G270</f>
        <v>0.947635135135135</v>
      </c>
      <c r="J270" s="15" t="n">
        <v>0.3147</v>
      </c>
      <c r="K270" s="11" t="str">
        <f aca="false">IF(I270&lt;J270,"TAK","NIE")</f>
        <v>NIE</v>
      </c>
    </row>
    <row r="271" customFormat="false" ht="15" hidden="false" customHeight="false" outlineLevel="0" collapsed="false">
      <c r="A271" s="5" t="s">
        <v>222</v>
      </c>
      <c r="B271" s="5" t="s">
        <v>41</v>
      </c>
      <c r="C271" s="5" t="n">
        <v>2018</v>
      </c>
      <c r="D271" s="5" t="s">
        <v>42</v>
      </c>
      <c r="E271" s="5" t="s">
        <v>46</v>
      </c>
      <c r="F271" s="5" t="s">
        <v>39</v>
      </c>
      <c r="G271" s="6" t="n">
        <v>592</v>
      </c>
      <c r="H271" s="6" t="n">
        <v>21</v>
      </c>
      <c r="I271" s="7" t="n">
        <f aca="false">(G271-H271)/G271</f>
        <v>0.964527027027027</v>
      </c>
      <c r="J271" s="15" t="n">
        <v>0.3147</v>
      </c>
      <c r="K271" s="11" t="str">
        <f aca="false">IF(I271&lt;J271,"TAK","NIE")</f>
        <v>NIE</v>
      </c>
    </row>
    <row r="272" customFormat="false" ht="15" hidden="false" customHeight="false" outlineLevel="0" collapsed="false">
      <c r="A272" s="5" t="s">
        <v>223</v>
      </c>
      <c r="B272" s="5" t="s">
        <v>41</v>
      </c>
      <c r="C272" s="5" t="n">
        <v>2018</v>
      </c>
      <c r="D272" s="5" t="s">
        <v>42</v>
      </c>
      <c r="E272" s="5" t="s">
        <v>46</v>
      </c>
      <c r="F272" s="5" t="s">
        <v>39</v>
      </c>
      <c r="G272" s="6" t="n">
        <v>559</v>
      </c>
      <c r="H272" s="6" t="n">
        <v>68</v>
      </c>
      <c r="I272" s="7" t="n">
        <f aca="false">(G272-H272)/G272</f>
        <v>0.878354203935599</v>
      </c>
      <c r="J272" s="15" t="n">
        <v>0.3147</v>
      </c>
      <c r="K272" s="11" t="str">
        <f aca="false">IF(I272&lt;J272,"TAK","NIE")</f>
        <v>NIE</v>
      </c>
    </row>
    <row r="273" customFormat="false" ht="15" hidden="false" customHeight="false" outlineLevel="0" collapsed="false">
      <c r="A273" s="5" t="s">
        <v>224</v>
      </c>
      <c r="B273" s="5" t="s">
        <v>41</v>
      </c>
      <c r="C273" s="5" t="n">
        <v>2018</v>
      </c>
      <c r="D273" s="5" t="s">
        <v>42</v>
      </c>
      <c r="E273" s="5" t="s">
        <v>46</v>
      </c>
      <c r="F273" s="5" t="s">
        <v>39</v>
      </c>
      <c r="G273" s="6" t="n">
        <v>592</v>
      </c>
      <c r="H273" s="6" t="n">
        <v>195</v>
      </c>
      <c r="I273" s="7" t="n">
        <f aca="false">(G273-H273)/G273</f>
        <v>0.670608108108108</v>
      </c>
      <c r="J273" s="15" t="n">
        <v>0.3147</v>
      </c>
      <c r="K273" s="11" t="str">
        <f aca="false">IF(I273&lt;J273,"TAK","NIE")</f>
        <v>NIE</v>
      </c>
    </row>
    <row r="274" customFormat="false" ht="15" hidden="false" customHeight="false" outlineLevel="0" collapsed="false">
      <c r="A274" s="5" t="s">
        <v>225</v>
      </c>
      <c r="B274" s="5" t="s">
        <v>41</v>
      </c>
      <c r="C274" s="5" t="n">
        <v>2018</v>
      </c>
      <c r="D274" s="5" t="s">
        <v>42</v>
      </c>
      <c r="E274" s="5" t="s">
        <v>46</v>
      </c>
      <c r="F274" s="5" t="s">
        <v>39</v>
      </c>
      <c r="G274" s="6" t="n">
        <v>592</v>
      </c>
      <c r="H274" s="6" t="n">
        <v>408</v>
      </c>
      <c r="I274" s="7" t="n">
        <f aca="false">(G274-H274)/G274</f>
        <v>0.310810810810811</v>
      </c>
      <c r="J274" s="15" t="n">
        <v>0.3147</v>
      </c>
      <c r="K274" s="11" t="str">
        <f aca="false">IF(I274&lt;J274,"TAK","NIE")</f>
        <v>TAK</v>
      </c>
    </row>
    <row r="275" customFormat="false" ht="15" hidden="false" customHeight="false" outlineLevel="0" collapsed="false">
      <c r="A275" s="5" t="s">
        <v>226</v>
      </c>
      <c r="B275" s="5" t="s">
        <v>41</v>
      </c>
      <c r="C275" s="5" t="n">
        <v>2018</v>
      </c>
      <c r="D275" s="5" t="s">
        <v>42</v>
      </c>
      <c r="E275" s="5" t="s">
        <v>46</v>
      </c>
      <c r="F275" s="5" t="s">
        <v>39</v>
      </c>
      <c r="G275" s="6" t="n">
        <v>585</v>
      </c>
      <c r="H275" s="6" t="n">
        <v>194</v>
      </c>
      <c r="I275" s="7" t="n">
        <f aca="false">(G275-H275)/G275</f>
        <v>0.668376068376068</v>
      </c>
      <c r="J275" s="15" t="n">
        <v>0.3147</v>
      </c>
      <c r="K275" s="11" t="str">
        <f aca="false">IF(I275&lt;J275,"TAK","NIE")</f>
        <v>NIE</v>
      </c>
    </row>
    <row r="276" customFormat="false" ht="15" hidden="false" customHeight="false" outlineLevel="0" collapsed="false">
      <c r="A276" s="5" t="s">
        <v>227</v>
      </c>
      <c r="B276" s="5" t="s">
        <v>41</v>
      </c>
      <c r="C276" s="5" t="n">
        <v>2018</v>
      </c>
      <c r="D276" s="5" t="s">
        <v>42</v>
      </c>
      <c r="E276" s="5" t="s">
        <v>46</v>
      </c>
      <c r="F276" s="5" t="s">
        <v>39</v>
      </c>
      <c r="G276" s="6" t="n">
        <v>592</v>
      </c>
      <c r="H276" s="6" t="n">
        <v>136</v>
      </c>
      <c r="I276" s="7" t="n">
        <f aca="false">(G276-H276)/G276</f>
        <v>0.77027027027027</v>
      </c>
      <c r="J276" s="15" t="n">
        <v>0.3147</v>
      </c>
      <c r="K276" s="11" t="str">
        <f aca="false">IF(I276&lt;J276,"TAK","NIE")</f>
        <v>NIE</v>
      </c>
    </row>
    <row r="277" customFormat="false" ht="15" hidden="false" customHeight="false" outlineLevel="0" collapsed="false">
      <c r="A277" s="5" t="s">
        <v>228</v>
      </c>
      <c r="B277" s="5" t="s">
        <v>41</v>
      </c>
      <c r="C277" s="5" t="n">
        <v>2018</v>
      </c>
      <c r="D277" s="5" t="s">
        <v>42</v>
      </c>
      <c r="E277" s="5" t="s">
        <v>46</v>
      </c>
      <c r="F277" s="5" t="s">
        <v>39</v>
      </c>
      <c r="G277" s="6" t="n">
        <v>592</v>
      </c>
      <c r="H277" s="6" t="n">
        <v>182</v>
      </c>
      <c r="I277" s="7" t="n">
        <f aca="false">(G277-H277)/G277</f>
        <v>0.692567567567568</v>
      </c>
      <c r="J277" s="15" t="n">
        <v>0.3147</v>
      </c>
      <c r="K277" s="11" t="str">
        <f aca="false">IF(I277&lt;J277,"TAK","NIE")</f>
        <v>NIE</v>
      </c>
    </row>
    <row r="278" customFormat="false" ht="15" hidden="false" customHeight="false" outlineLevel="0" collapsed="false">
      <c r="A278" s="5" t="s">
        <v>229</v>
      </c>
      <c r="B278" s="5" t="s">
        <v>41</v>
      </c>
      <c r="C278" s="5" t="n">
        <v>2018</v>
      </c>
      <c r="D278" s="5" t="s">
        <v>42</v>
      </c>
      <c r="E278" s="5" t="s">
        <v>46</v>
      </c>
      <c r="F278" s="5" t="s">
        <v>39</v>
      </c>
      <c r="G278" s="6" t="n">
        <v>585</v>
      </c>
      <c r="H278" s="6" t="n">
        <v>283</v>
      </c>
      <c r="I278" s="7" t="n">
        <f aca="false">(G278-H278)/G278</f>
        <v>0.516239316239316</v>
      </c>
      <c r="J278" s="15" t="n">
        <v>0.3147</v>
      </c>
      <c r="K278" s="11" t="str">
        <f aca="false">IF(I278&lt;J278,"TAK","NIE")</f>
        <v>NIE</v>
      </c>
    </row>
    <row r="279" customFormat="false" ht="15" hidden="false" customHeight="false" outlineLevel="0" collapsed="false">
      <c r="A279" s="5" t="s">
        <v>230</v>
      </c>
      <c r="B279" s="5" t="s">
        <v>41</v>
      </c>
      <c r="C279" s="5" t="n">
        <v>2018</v>
      </c>
      <c r="D279" s="5" t="s">
        <v>42</v>
      </c>
      <c r="E279" s="5" t="s">
        <v>46</v>
      </c>
      <c r="F279" s="5" t="s">
        <v>39</v>
      </c>
      <c r="G279" s="6" t="n">
        <v>592</v>
      </c>
      <c r="H279" s="6" t="n">
        <v>51</v>
      </c>
      <c r="I279" s="7" t="n">
        <f aca="false">(G279-H279)/G279</f>
        <v>0.913851351351351</v>
      </c>
      <c r="J279" s="15" t="n">
        <v>0.3147</v>
      </c>
      <c r="K279" s="11" t="str">
        <f aca="false">IF(I279&lt;J279,"TAK","NIE")</f>
        <v>NIE</v>
      </c>
    </row>
    <row r="280" customFormat="false" ht="15" hidden="false" customHeight="false" outlineLevel="0" collapsed="false">
      <c r="A280" s="5" t="s">
        <v>231</v>
      </c>
      <c r="B280" s="5" t="s">
        <v>41</v>
      </c>
      <c r="C280" s="5" t="n">
        <v>2018</v>
      </c>
      <c r="D280" s="5" t="s">
        <v>42</v>
      </c>
      <c r="E280" s="5" t="s">
        <v>46</v>
      </c>
      <c r="F280" s="5" t="s">
        <v>39</v>
      </c>
      <c r="G280" s="6" t="n">
        <v>592</v>
      </c>
      <c r="H280" s="6" t="n">
        <v>106</v>
      </c>
      <c r="I280" s="7" t="n">
        <f aca="false">(G280-H280)/G280</f>
        <v>0.820945945945946</v>
      </c>
      <c r="J280" s="15" t="n">
        <v>0.3147</v>
      </c>
      <c r="K280" s="11" t="str">
        <f aca="false">IF(I280&lt;J280,"TAK","NIE")</f>
        <v>NIE</v>
      </c>
    </row>
    <row r="281" customFormat="false" ht="15" hidden="false" customHeight="false" outlineLevel="0" collapsed="false">
      <c r="A281" s="5" t="s">
        <v>232</v>
      </c>
      <c r="B281" s="5" t="s">
        <v>41</v>
      </c>
      <c r="C281" s="5" t="n">
        <v>2018</v>
      </c>
      <c r="D281" s="5" t="s">
        <v>42</v>
      </c>
      <c r="E281" s="5" t="s">
        <v>46</v>
      </c>
      <c r="F281" s="5" t="s">
        <v>39</v>
      </c>
      <c r="G281" s="6" t="n">
        <v>592</v>
      </c>
      <c r="H281" s="6" t="n">
        <v>70</v>
      </c>
      <c r="I281" s="7" t="n">
        <f aca="false">(G281-H281)/G281</f>
        <v>0.881756756756757</v>
      </c>
      <c r="J281" s="15" t="n">
        <v>0.3147</v>
      </c>
      <c r="K281" s="11" t="str">
        <f aca="false">IF(I281&lt;J281,"TAK","NIE")</f>
        <v>NIE</v>
      </c>
    </row>
    <row r="282" customFormat="false" ht="15" hidden="false" customHeight="false" outlineLevel="0" collapsed="false">
      <c r="A282" s="5" t="s">
        <v>233</v>
      </c>
      <c r="B282" s="5" t="s">
        <v>41</v>
      </c>
      <c r="C282" s="5" t="n">
        <v>2018</v>
      </c>
      <c r="D282" s="5" t="s">
        <v>42</v>
      </c>
      <c r="E282" s="5" t="s">
        <v>46</v>
      </c>
      <c r="F282" s="5" t="s">
        <v>39</v>
      </c>
      <c r="G282" s="6" t="n">
        <v>592</v>
      </c>
      <c r="H282" s="6" t="n">
        <v>56</v>
      </c>
      <c r="I282" s="7" t="n">
        <f aca="false">(G282-H282)/G282</f>
        <v>0.905405405405405</v>
      </c>
      <c r="J282" s="15" t="n">
        <v>0.3147</v>
      </c>
      <c r="K282" s="11" t="str">
        <f aca="false">IF(I282&lt;J282,"TAK","NIE")</f>
        <v>NIE</v>
      </c>
    </row>
    <row r="283" customFormat="false" ht="15" hidden="false" customHeight="false" outlineLevel="0" collapsed="false">
      <c r="A283" s="5" t="s">
        <v>234</v>
      </c>
      <c r="B283" s="5" t="s">
        <v>41</v>
      </c>
      <c r="C283" s="5" t="n">
        <v>2018</v>
      </c>
      <c r="D283" s="5" t="s">
        <v>42</v>
      </c>
      <c r="E283" s="5" t="s">
        <v>46</v>
      </c>
      <c r="F283" s="5" t="s">
        <v>39</v>
      </c>
      <c r="G283" s="6" t="n">
        <v>592</v>
      </c>
      <c r="H283" s="6" t="n">
        <v>110</v>
      </c>
      <c r="I283" s="7" t="n">
        <f aca="false">(G283-H283)/G283</f>
        <v>0.814189189189189</v>
      </c>
      <c r="J283" s="15" t="n">
        <v>0.3147</v>
      </c>
      <c r="K283" s="11" t="str">
        <f aca="false">IF(I283&lt;J283,"TAK","NIE")</f>
        <v>NIE</v>
      </c>
    </row>
    <row r="284" customFormat="false" ht="15" hidden="false" customHeight="false" outlineLevel="0" collapsed="false">
      <c r="A284" s="5" t="s">
        <v>235</v>
      </c>
      <c r="B284" s="5" t="s">
        <v>41</v>
      </c>
      <c r="C284" s="5" t="n">
        <v>2018</v>
      </c>
      <c r="D284" s="5" t="s">
        <v>42</v>
      </c>
      <c r="E284" s="5" t="s">
        <v>46</v>
      </c>
      <c r="F284" s="5" t="s">
        <v>39</v>
      </c>
      <c r="G284" s="6" t="n">
        <v>592</v>
      </c>
      <c r="H284" s="6" t="n">
        <v>85</v>
      </c>
      <c r="I284" s="7" t="n">
        <f aca="false">(G284-H284)/G284</f>
        <v>0.856418918918919</v>
      </c>
      <c r="J284" s="15" t="n">
        <v>0.3147</v>
      </c>
      <c r="K284" s="11" t="str">
        <f aca="false">IF(I284&lt;J284,"TAK","NIE")</f>
        <v>NIE</v>
      </c>
    </row>
    <row r="285" customFormat="false" ht="15" hidden="false" customHeight="false" outlineLevel="0" collapsed="false">
      <c r="A285" s="5" t="s">
        <v>236</v>
      </c>
      <c r="B285" s="5" t="s">
        <v>41</v>
      </c>
      <c r="C285" s="5" t="n">
        <v>2018</v>
      </c>
      <c r="D285" s="5" t="s">
        <v>42</v>
      </c>
      <c r="E285" s="5" t="s">
        <v>46</v>
      </c>
      <c r="F285" s="5" t="s">
        <v>39</v>
      </c>
      <c r="G285" s="6" t="n">
        <v>592</v>
      </c>
      <c r="H285" s="6" t="n">
        <v>39</v>
      </c>
      <c r="I285" s="7" t="n">
        <f aca="false">(G285-H285)/G285</f>
        <v>0.934121621621622</v>
      </c>
      <c r="J285" s="15" t="n">
        <v>0.3147</v>
      </c>
      <c r="K285" s="11" t="str">
        <f aca="false">IF(I285&lt;J285,"TAK","NIE")</f>
        <v>NIE</v>
      </c>
    </row>
    <row r="286" customFormat="false" ht="15" hidden="false" customHeight="false" outlineLevel="0" collapsed="false">
      <c r="A286" s="5" t="s">
        <v>237</v>
      </c>
      <c r="B286" s="5" t="s">
        <v>41</v>
      </c>
      <c r="C286" s="5" t="n">
        <v>2018</v>
      </c>
      <c r="D286" s="5" t="s">
        <v>42</v>
      </c>
      <c r="E286" s="5" t="s">
        <v>46</v>
      </c>
      <c r="F286" s="5" t="s">
        <v>39</v>
      </c>
      <c r="G286" s="6" t="n">
        <v>592</v>
      </c>
      <c r="H286" s="6" t="n">
        <v>31</v>
      </c>
      <c r="I286" s="7" t="n">
        <f aca="false">(G286-H286)/G286</f>
        <v>0.947635135135135</v>
      </c>
      <c r="J286" s="15" t="n">
        <v>0.3147</v>
      </c>
      <c r="K286" s="11" t="str">
        <f aca="false">IF(I286&lt;J286,"TAK","NIE")</f>
        <v>NIE</v>
      </c>
    </row>
    <row r="287" customFormat="false" ht="15" hidden="false" customHeight="false" outlineLevel="0" collapsed="false">
      <c r="A287" s="5" t="s">
        <v>238</v>
      </c>
      <c r="B287" s="5" t="s">
        <v>41</v>
      </c>
      <c r="C287" s="5" t="n">
        <v>2018</v>
      </c>
      <c r="D287" s="5" t="s">
        <v>42</v>
      </c>
      <c r="E287" s="5" t="s">
        <v>46</v>
      </c>
      <c r="F287" s="5" t="s">
        <v>39</v>
      </c>
      <c r="G287" s="6" t="n">
        <v>585</v>
      </c>
      <c r="H287" s="6" t="n">
        <v>228</v>
      </c>
      <c r="I287" s="7" t="n">
        <f aca="false">(G287-H287)/G287</f>
        <v>0.61025641025641</v>
      </c>
      <c r="J287" s="15" t="n">
        <v>0.3147</v>
      </c>
      <c r="K287" s="11" t="str">
        <f aca="false">IF(I287&lt;J287,"TAK","NIE")</f>
        <v>NIE</v>
      </c>
    </row>
    <row r="288" customFormat="false" ht="15" hidden="false" customHeight="false" outlineLevel="0" collapsed="false">
      <c r="A288" s="5" t="s">
        <v>219</v>
      </c>
      <c r="B288" s="5" t="s">
        <v>41</v>
      </c>
      <c r="C288" s="5" t="n">
        <v>2018</v>
      </c>
      <c r="D288" s="5" t="s">
        <v>42</v>
      </c>
      <c r="E288" s="5" t="s">
        <v>46</v>
      </c>
      <c r="F288" s="5" t="s">
        <v>40</v>
      </c>
      <c r="G288" s="6" t="n">
        <v>356</v>
      </c>
      <c r="H288" s="6" t="n">
        <v>120</v>
      </c>
      <c r="I288" s="7" t="n">
        <f aca="false">(G288-H288)/G288</f>
        <v>0.662921348314607</v>
      </c>
      <c r="J288" s="15" t="n">
        <v>0.3348</v>
      </c>
      <c r="K288" s="11" t="str">
        <f aca="false">IF(I288&lt;J288,"TAK","NIE")</f>
        <v>NIE</v>
      </c>
    </row>
    <row r="289" customFormat="false" ht="15" hidden="false" customHeight="false" outlineLevel="0" collapsed="false">
      <c r="A289" s="5" t="s">
        <v>220</v>
      </c>
      <c r="B289" s="5" t="s">
        <v>41</v>
      </c>
      <c r="C289" s="5" t="n">
        <v>2018</v>
      </c>
      <c r="D289" s="5" t="s">
        <v>42</v>
      </c>
      <c r="E289" s="5" t="s">
        <v>46</v>
      </c>
      <c r="F289" s="5" t="s">
        <v>40</v>
      </c>
      <c r="G289" s="6" t="n">
        <v>356</v>
      </c>
      <c r="H289" s="6" t="n">
        <v>104</v>
      </c>
      <c r="I289" s="7" t="n">
        <f aca="false">(G289-H289)/G289</f>
        <v>0.707865168539326</v>
      </c>
      <c r="J289" s="15" t="n">
        <v>0.3348</v>
      </c>
      <c r="K289" s="11" t="str">
        <f aca="false">IF(I289&lt;J289,"TAK","NIE")</f>
        <v>NIE</v>
      </c>
    </row>
    <row r="290" customFormat="false" ht="15" hidden="false" customHeight="false" outlineLevel="0" collapsed="false">
      <c r="A290" s="5" t="s">
        <v>221</v>
      </c>
      <c r="B290" s="5" t="s">
        <v>41</v>
      </c>
      <c r="C290" s="5" t="n">
        <v>2018</v>
      </c>
      <c r="D290" s="5" t="s">
        <v>42</v>
      </c>
      <c r="E290" s="5" t="s">
        <v>46</v>
      </c>
      <c r="F290" s="5" t="s">
        <v>40</v>
      </c>
      <c r="G290" s="6" t="n">
        <v>356</v>
      </c>
      <c r="H290" s="6" t="n">
        <v>63</v>
      </c>
      <c r="I290" s="7" t="n">
        <f aca="false">(G290-H290)/G290</f>
        <v>0.823033707865169</v>
      </c>
      <c r="J290" s="15" t="n">
        <v>0.3348</v>
      </c>
      <c r="K290" s="11" t="str">
        <f aca="false">IF(I290&lt;J290,"TAK","NIE")</f>
        <v>NIE</v>
      </c>
    </row>
    <row r="291" customFormat="false" ht="15" hidden="false" customHeight="false" outlineLevel="0" collapsed="false">
      <c r="A291" s="5" t="s">
        <v>222</v>
      </c>
      <c r="B291" s="5" t="s">
        <v>41</v>
      </c>
      <c r="C291" s="5" t="n">
        <v>2018</v>
      </c>
      <c r="D291" s="5" t="s">
        <v>42</v>
      </c>
      <c r="E291" s="5" t="s">
        <v>46</v>
      </c>
      <c r="F291" s="5" t="s">
        <v>40</v>
      </c>
      <c r="G291" s="6" t="n">
        <v>356</v>
      </c>
      <c r="H291" s="6" t="n">
        <v>67</v>
      </c>
      <c r="I291" s="7" t="n">
        <f aca="false">(G291-H291)/G291</f>
        <v>0.811797752808989</v>
      </c>
      <c r="J291" s="15" t="n">
        <v>0.3348</v>
      </c>
      <c r="K291" s="11" t="str">
        <f aca="false">IF(I291&lt;J291,"TAK","NIE")</f>
        <v>NIE</v>
      </c>
    </row>
    <row r="292" customFormat="false" ht="15" hidden="false" customHeight="false" outlineLevel="0" collapsed="false">
      <c r="A292" s="5" t="s">
        <v>223</v>
      </c>
      <c r="B292" s="5" t="s">
        <v>41</v>
      </c>
      <c r="C292" s="5" t="n">
        <v>2018</v>
      </c>
      <c r="D292" s="5" t="s">
        <v>42</v>
      </c>
      <c r="E292" s="5" t="s">
        <v>46</v>
      </c>
      <c r="F292" s="5" t="s">
        <v>40</v>
      </c>
      <c r="G292" s="6" t="n">
        <v>341</v>
      </c>
      <c r="H292" s="6" t="n">
        <v>106</v>
      </c>
      <c r="I292" s="7" t="n">
        <f aca="false">(G292-H292)/G292</f>
        <v>0.689149560117302</v>
      </c>
      <c r="J292" s="15" t="n">
        <v>0.3348</v>
      </c>
      <c r="K292" s="11" t="str">
        <f aca="false">IF(I292&lt;J292,"TAK","NIE")</f>
        <v>NIE</v>
      </c>
    </row>
    <row r="293" customFormat="false" ht="15" hidden="false" customHeight="false" outlineLevel="0" collapsed="false">
      <c r="A293" s="5" t="s">
        <v>224</v>
      </c>
      <c r="B293" s="5" t="s">
        <v>41</v>
      </c>
      <c r="C293" s="5" t="n">
        <v>2018</v>
      </c>
      <c r="D293" s="5" t="s">
        <v>42</v>
      </c>
      <c r="E293" s="5" t="s">
        <v>46</v>
      </c>
      <c r="F293" s="5" t="s">
        <v>40</v>
      </c>
      <c r="G293" s="6" t="n">
        <v>356</v>
      </c>
      <c r="H293" s="6" t="n">
        <v>79</v>
      </c>
      <c r="I293" s="7" t="n">
        <f aca="false">(G293-H293)/G293</f>
        <v>0.778089887640449</v>
      </c>
      <c r="J293" s="15" t="n">
        <v>0.3348</v>
      </c>
      <c r="K293" s="11" t="str">
        <f aca="false">IF(I293&lt;J293,"TAK","NIE")</f>
        <v>NIE</v>
      </c>
    </row>
    <row r="294" customFormat="false" ht="15" hidden="false" customHeight="false" outlineLevel="0" collapsed="false">
      <c r="A294" s="5" t="s">
        <v>225</v>
      </c>
      <c r="B294" s="5" t="s">
        <v>41</v>
      </c>
      <c r="C294" s="5" t="n">
        <v>2018</v>
      </c>
      <c r="D294" s="5" t="s">
        <v>42</v>
      </c>
      <c r="E294" s="5" t="s">
        <v>46</v>
      </c>
      <c r="F294" s="5" t="s">
        <v>40</v>
      </c>
      <c r="G294" s="6" t="n">
        <v>173</v>
      </c>
      <c r="H294" s="6" t="n">
        <v>173</v>
      </c>
      <c r="I294" s="7" t="n">
        <f aca="false">(G294-H294)/G294</f>
        <v>0</v>
      </c>
      <c r="J294" s="15" t="n">
        <v>0.3348</v>
      </c>
      <c r="K294" s="11" t="str">
        <f aca="false">IF(I294&lt;J294,"TAK","NIE")</f>
        <v>TAK</v>
      </c>
    </row>
    <row r="295" customFormat="false" ht="15" hidden="false" customHeight="false" outlineLevel="0" collapsed="false">
      <c r="A295" s="5" t="s">
        <v>226</v>
      </c>
      <c r="B295" s="5" t="s">
        <v>41</v>
      </c>
      <c r="C295" s="5" t="n">
        <v>2018</v>
      </c>
      <c r="D295" s="5" t="s">
        <v>42</v>
      </c>
      <c r="E295" s="5" t="s">
        <v>46</v>
      </c>
      <c r="F295" s="5" t="s">
        <v>40</v>
      </c>
      <c r="G295" s="6" t="n">
        <v>356</v>
      </c>
      <c r="H295" s="6" t="n">
        <v>143</v>
      </c>
      <c r="I295" s="7" t="n">
        <f aca="false">(G295-H295)/G295</f>
        <v>0.598314606741573</v>
      </c>
      <c r="J295" s="15" t="n">
        <v>0.3348</v>
      </c>
      <c r="K295" s="11" t="str">
        <f aca="false">IF(I295&lt;J295,"TAK","NIE")</f>
        <v>NIE</v>
      </c>
    </row>
    <row r="296" customFormat="false" ht="15" hidden="false" customHeight="false" outlineLevel="0" collapsed="false">
      <c r="A296" s="5" t="s">
        <v>227</v>
      </c>
      <c r="B296" s="5" t="s">
        <v>41</v>
      </c>
      <c r="C296" s="5" t="n">
        <v>2018</v>
      </c>
      <c r="D296" s="5" t="s">
        <v>42</v>
      </c>
      <c r="E296" s="5" t="s">
        <v>46</v>
      </c>
      <c r="F296" s="5" t="s">
        <v>40</v>
      </c>
      <c r="G296" s="6" t="n">
        <v>356</v>
      </c>
      <c r="H296" s="6" t="n">
        <v>142</v>
      </c>
      <c r="I296" s="7" t="n">
        <f aca="false">(G296-H296)/G296</f>
        <v>0.601123595505618</v>
      </c>
      <c r="J296" s="15" t="n">
        <v>0.3348</v>
      </c>
      <c r="K296" s="11" t="str">
        <f aca="false">IF(I296&lt;J296,"TAK","NIE")</f>
        <v>NIE</v>
      </c>
    </row>
    <row r="297" customFormat="false" ht="15" hidden="false" customHeight="false" outlineLevel="0" collapsed="false">
      <c r="A297" s="5" t="s">
        <v>228</v>
      </c>
      <c r="B297" s="5" t="s">
        <v>41</v>
      </c>
      <c r="C297" s="5" t="n">
        <v>2018</v>
      </c>
      <c r="D297" s="5" t="s">
        <v>42</v>
      </c>
      <c r="E297" s="5" t="s">
        <v>46</v>
      </c>
      <c r="F297" s="5" t="s">
        <v>40</v>
      </c>
      <c r="G297" s="6" t="n">
        <v>356</v>
      </c>
      <c r="H297" s="6" t="n">
        <v>183</v>
      </c>
      <c r="I297" s="7" t="n">
        <f aca="false">(G297-H297)/G297</f>
        <v>0.485955056179775</v>
      </c>
      <c r="J297" s="15" t="n">
        <v>0.3348</v>
      </c>
      <c r="K297" s="11" t="str">
        <f aca="false">IF(I297&lt;J297,"TAK","NIE")</f>
        <v>NIE</v>
      </c>
    </row>
    <row r="298" customFormat="false" ht="15" hidden="false" customHeight="false" outlineLevel="0" collapsed="false">
      <c r="A298" s="5" t="s">
        <v>229</v>
      </c>
      <c r="B298" s="5" t="s">
        <v>41</v>
      </c>
      <c r="C298" s="5" t="n">
        <v>2018</v>
      </c>
      <c r="D298" s="5" t="s">
        <v>42</v>
      </c>
      <c r="E298" s="5" t="s">
        <v>46</v>
      </c>
      <c r="F298" s="5" t="s">
        <v>40</v>
      </c>
      <c r="G298" s="6" t="n">
        <v>356</v>
      </c>
      <c r="H298" s="6" t="n">
        <v>222</v>
      </c>
      <c r="I298" s="7" t="n">
        <f aca="false">(G298-H298)/G298</f>
        <v>0.376404494382022</v>
      </c>
      <c r="J298" s="15" t="n">
        <v>0.3348</v>
      </c>
      <c r="K298" s="11" t="str">
        <f aca="false">IF(I298&lt;J298,"TAK","NIE")</f>
        <v>NIE</v>
      </c>
    </row>
    <row r="299" customFormat="false" ht="15" hidden="false" customHeight="false" outlineLevel="0" collapsed="false">
      <c r="A299" s="5" t="s">
        <v>230</v>
      </c>
      <c r="B299" s="5" t="s">
        <v>41</v>
      </c>
      <c r="C299" s="5" t="n">
        <v>2018</v>
      </c>
      <c r="D299" s="5" t="s">
        <v>42</v>
      </c>
      <c r="E299" s="5" t="s">
        <v>46</v>
      </c>
      <c r="F299" s="5" t="s">
        <v>40</v>
      </c>
      <c r="G299" s="6" t="n">
        <v>356</v>
      </c>
      <c r="H299" s="6" t="n">
        <v>76</v>
      </c>
      <c r="I299" s="7" t="n">
        <f aca="false">(G299-H299)/G299</f>
        <v>0.786516853932584</v>
      </c>
      <c r="J299" s="15" t="n">
        <v>0.3348</v>
      </c>
      <c r="K299" s="11" t="str">
        <f aca="false">IF(I299&lt;J299,"TAK","NIE")</f>
        <v>NIE</v>
      </c>
    </row>
    <row r="300" customFormat="false" ht="15" hidden="false" customHeight="false" outlineLevel="0" collapsed="false">
      <c r="A300" s="5" t="s">
        <v>231</v>
      </c>
      <c r="B300" s="5" t="s">
        <v>41</v>
      </c>
      <c r="C300" s="5" t="n">
        <v>2018</v>
      </c>
      <c r="D300" s="5" t="s">
        <v>42</v>
      </c>
      <c r="E300" s="5" t="s">
        <v>46</v>
      </c>
      <c r="F300" s="5" t="s">
        <v>40</v>
      </c>
      <c r="G300" s="6" t="n">
        <v>356</v>
      </c>
      <c r="H300" s="6" t="n">
        <v>83</v>
      </c>
      <c r="I300" s="7" t="n">
        <f aca="false">(G300-H300)/G300</f>
        <v>0.76685393258427</v>
      </c>
      <c r="J300" s="15" t="n">
        <v>0.3348</v>
      </c>
      <c r="K300" s="11" t="str">
        <f aca="false">IF(I300&lt;J300,"TAK","NIE")</f>
        <v>NIE</v>
      </c>
    </row>
    <row r="301" customFormat="false" ht="15" hidden="false" customHeight="false" outlineLevel="0" collapsed="false">
      <c r="A301" s="5" t="s">
        <v>232</v>
      </c>
      <c r="B301" s="5" t="s">
        <v>41</v>
      </c>
      <c r="C301" s="5" t="n">
        <v>2018</v>
      </c>
      <c r="D301" s="5" t="s">
        <v>42</v>
      </c>
      <c r="E301" s="5" t="s">
        <v>46</v>
      </c>
      <c r="F301" s="5" t="s">
        <v>40</v>
      </c>
      <c r="G301" s="6" t="n">
        <v>356</v>
      </c>
      <c r="H301" s="6" t="n">
        <v>64</v>
      </c>
      <c r="I301" s="7" t="n">
        <f aca="false">(G301-H301)/G301</f>
        <v>0.820224719101124</v>
      </c>
      <c r="J301" s="15" t="n">
        <v>0.3348</v>
      </c>
      <c r="K301" s="11" t="str">
        <f aca="false">IF(I301&lt;J301,"TAK","NIE")</f>
        <v>NIE</v>
      </c>
    </row>
    <row r="302" customFormat="false" ht="15" hidden="false" customHeight="false" outlineLevel="0" collapsed="false">
      <c r="A302" s="5" t="s">
        <v>233</v>
      </c>
      <c r="B302" s="5" t="s">
        <v>41</v>
      </c>
      <c r="C302" s="5" t="n">
        <v>2018</v>
      </c>
      <c r="D302" s="5" t="s">
        <v>42</v>
      </c>
      <c r="E302" s="5" t="s">
        <v>46</v>
      </c>
      <c r="F302" s="5" t="s">
        <v>40</v>
      </c>
      <c r="G302" s="6" t="n">
        <v>356</v>
      </c>
      <c r="H302" s="6" t="n">
        <v>93</v>
      </c>
      <c r="I302" s="7" t="n">
        <f aca="false">(G302-H302)/G302</f>
        <v>0.73876404494382</v>
      </c>
      <c r="J302" s="15" t="n">
        <v>0.3348</v>
      </c>
      <c r="K302" s="11" t="str">
        <f aca="false">IF(I302&lt;J302,"TAK","NIE")</f>
        <v>NIE</v>
      </c>
    </row>
    <row r="303" customFormat="false" ht="15" hidden="false" customHeight="false" outlineLevel="0" collapsed="false">
      <c r="A303" s="5" t="s">
        <v>234</v>
      </c>
      <c r="B303" s="5" t="s">
        <v>41</v>
      </c>
      <c r="C303" s="5" t="n">
        <v>2018</v>
      </c>
      <c r="D303" s="5" t="s">
        <v>42</v>
      </c>
      <c r="E303" s="5" t="s">
        <v>46</v>
      </c>
      <c r="F303" s="5" t="s">
        <v>40</v>
      </c>
      <c r="G303" s="6" t="n">
        <v>356</v>
      </c>
      <c r="H303" s="6" t="n">
        <v>76</v>
      </c>
      <c r="I303" s="7" t="n">
        <f aca="false">(G303-H303)/G303</f>
        <v>0.786516853932584</v>
      </c>
      <c r="J303" s="15" t="n">
        <v>0.3348</v>
      </c>
      <c r="K303" s="11" t="str">
        <f aca="false">IF(I303&lt;J303,"TAK","NIE")</f>
        <v>NIE</v>
      </c>
    </row>
    <row r="304" customFormat="false" ht="15" hidden="false" customHeight="false" outlineLevel="0" collapsed="false">
      <c r="A304" s="5" t="s">
        <v>235</v>
      </c>
      <c r="B304" s="5" t="s">
        <v>41</v>
      </c>
      <c r="C304" s="5" t="n">
        <v>2018</v>
      </c>
      <c r="D304" s="5" t="s">
        <v>42</v>
      </c>
      <c r="E304" s="5" t="s">
        <v>46</v>
      </c>
      <c r="F304" s="5" t="s">
        <v>40</v>
      </c>
      <c r="G304" s="6" t="n">
        <v>356</v>
      </c>
      <c r="H304" s="6" t="n">
        <v>91</v>
      </c>
      <c r="I304" s="7" t="n">
        <f aca="false">(G304-H304)/G304</f>
        <v>0.74438202247191</v>
      </c>
      <c r="J304" s="15" t="n">
        <v>0.3348</v>
      </c>
      <c r="K304" s="11" t="str">
        <f aca="false">IF(I304&lt;J304,"TAK","NIE")</f>
        <v>NIE</v>
      </c>
    </row>
    <row r="305" customFormat="false" ht="15" hidden="false" customHeight="false" outlineLevel="0" collapsed="false">
      <c r="A305" s="5" t="s">
        <v>236</v>
      </c>
      <c r="B305" s="5" t="s">
        <v>41</v>
      </c>
      <c r="C305" s="5" t="n">
        <v>2018</v>
      </c>
      <c r="D305" s="5" t="s">
        <v>42</v>
      </c>
      <c r="E305" s="5" t="s">
        <v>46</v>
      </c>
      <c r="F305" s="5" t="s">
        <v>40</v>
      </c>
      <c r="G305" s="6" t="n">
        <v>356</v>
      </c>
      <c r="H305" s="6" t="n">
        <v>66</v>
      </c>
      <c r="I305" s="7" t="n">
        <f aca="false">(G305-H305)/G305</f>
        <v>0.814606741573034</v>
      </c>
      <c r="J305" s="15" t="n">
        <v>0.3348</v>
      </c>
      <c r="K305" s="11" t="str">
        <f aca="false">IF(I305&lt;J305,"TAK","NIE")</f>
        <v>NIE</v>
      </c>
    </row>
    <row r="306" customFormat="false" ht="15" hidden="false" customHeight="false" outlineLevel="0" collapsed="false">
      <c r="A306" s="5" t="s">
        <v>237</v>
      </c>
      <c r="B306" s="5" t="s">
        <v>41</v>
      </c>
      <c r="C306" s="5" t="n">
        <v>2018</v>
      </c>
      <c r="D306" s="5" t="s">
        <v>42</v>
      </c>
      <c r="E306" s="5" t="s">
        <v>46</v>
      </c>
      <c r="F306" s="5" t="s">
        <v>40</v>
      </c>
      <c r="G306" s="6" t="n">
        <v>356</v>
      </c>
      <c r="H306" s="6" t="n">
        <v>72</v>
      </c>
      <c r="I306" s="7" t="n">
        <f aca="false">(G306-H306)/G306</f>
        <v>0.797752808988764</v>
      </c>
      <c r="J306" s="15" t="n">
        <v>0.3348</v>
      </c>
      <c r="K306" s="11" t="str">
        <f aca="false">IF(I306&lt;J306,"TAK","NIE")</f>
        <v>NIE</v>
      </c>
    </row>
    <row r="307" customFormat="false" ht="15" hidden="false" customHeight="false" outlineLevel="0" collapsed="false">
      <c r="A307" s="5" t="s">
        <v>238</v>
      </c>
      <c r="B307" s="5" t="s">
        <v>41</v>
      </c>
      <c r="C307" s="5" t="n">
        <v>2018</v>
      </c>
      <c r="D307" s="5" t="s">
        <v>42</v>
      </c>
      <c r="E307" s="5" t="s">
        <v>46</v>
      </c>
      <c r="F307" s="5" t="s">
        <v>40</v>
      </c>
      <c r="G307" s="6" t="n">
        <v>356</v>
      </c>
      <c r="H307" s="6" t="n">
        <v>139</v>
      </c>
      <c r="I307" s="7" t="n">
        <f aca="false">(G307-H307)/G307</f>
        <v>0.609550561797753</v>
      </c>
      <c r="J307" s="15" t="n">
        <v>0.3348</v>
      </c>
      <c r="K307" s="11" t="str">
        <f aca="false">IF(I307&lt;J307,"TAK","NIE")</f>
        <v>NIE</v>
      </c>
    </row>
    <row r="308" customFormat="false" ht="15" hidden="false" customHeight="false" outlineLevel="0" collapsed="false">
      <c r="A308" s="5" t="s">
        <v>239</v>
      </c>
      <c r="B308" s="5" t="s">
        <v>48</v>
      </c>
      <c r="C308" s="5" t="n">
        <v>2019</v>
      </c>
      <c r="D308" s="5" t="s">
        <v>49</v>
      </c>
      <c r="E308" s="5" t="s">
        <v>38</v>
      </c>
      <c r="F308" s="5" t="s">
        <v>39</v>
      </c>
      <c r="G308" s="6" t="n">
        <v>522</v>
      </c>
      <c r="H308" s="6" t="n">
        <v>269</v>
      </c>
      <c r="I308" s="7" t="n">
        <f aca="false">(G308-H308)/G308</f>
        <v>0.484674329501916</v>
      </c>
      <c r="J308" s="15" t="n">
        <v>0.2257</v>
      </c>
      <c r="K308" s="11" t="str">
        <f aca="false">IF(I308&lt;J308,"TAK","NIE")</f>
        <v>NIE</v>
      </c>
    </row>
    <row r="309" customFormat="false" ht="15" hidden="false" customHeight="false" outlineLevel="0" collapsed="false">
      <c r="A309" s="5" t="s">
        <v>240</v>
      </c>
      <c r="B309" s="5" t="s">
        <v>48</v>
      </c>
      <c r="C309" s="5" t="n">
        <v>2019</v>
      </c>
      <c r="D309" s="5" t="s">
        <v>49</v>
      </c>
      <c r="E309" s="5" t="s">
        <v>38</v>
      </c>
      <c r="F309" s="5" t="s">
        <v>39</v>
      </c>
      <c r="G309" s="6" t="n">
        <v>522</v>
      </c>
      <c r="H309" s="6" t="n">
        <v>146</v>
      </c>
      <c r="I309" s="7" t="n">
        <f aca="false">(G309-H309)/G309</f>
        <v>0.720306513409962</v>
      </c>
      <c r="J309" s="15" t="n">
        <v>0.2257</v>
      </c>
      <c r="K309" s="11" t="str">
        <f aca="false">IF(I309&lt;J309,"TAK","NIE")</f>
        <v>NIE</v>
      </c>
    </row>
    <row r="310" customFormat="false" ht="15" hidden="false" customHeight="false" outlineLevel="0" collapsed="false">
      <c r="A310" s="5" t="s">
        <v>241</v>
      </c>
      <c r="B310" s="5" t="s">
        <v>48</v>
      </c>
      <c r="C310" s="5" t="n">
        <v>2019</v>
      </c>
      <c r="D310" s="5" t="s">
        <v>49</v>
      </c>
      <c r="E310" s="5" t="s">
        <v>38</v>
      </c>
      <c r="F310" s="5" t="s">
        <v>39</v>
      </c>
      <c r="G310" s="6" t="n">
        <v>224</v>
      </c>
      <c r="H310" s="6" t="n">
        <v>123</v>
      </c>
      <c r="I310" s="7" t="n">
        <f aca="false">(G310-H310)/G310</f>
        <v>0.450892857142857</v>
      </c>
      <c r="J310" s="15" t="n">
        <v>0.2257</v>
      </c>
      <c r="K310" s="11" t="str">
        <f aca="false">IF(I310&lt;J310,"TAK","NIE")</f>
        <v>NIE</v>
      </c>
    </row>
    <row r="311" customFormat="false" ht="15" hidden="false" customHeight="false" outlineLevel="0" collapsed="false">
      <c r="A311" s="5" t="s">
        <v>242</v>
      </c>
      <c r="B311" s="5" t="s">
        <v>48</v>
      </c>
      <c r="C311" s="5" t="n">
        <v>2019</v>
      </c>
      <c r="D311" s="5" t="s">
        <v>49</v>
      </c>
      <c r="E311" s="5" t="s">
        <v>38</v>
      </c>
      <c r="F311" s="5" t="s">
        <v>39</v>
      </c>
      <c r="G311" s="6" t="n">
        <v>522</v>
      </c>
      <c r="H311" s="6" t="n">
        <v>381</v>
      </c>
      <c r="I311" s="7" t="n">
        <f aca="false">(G311-H311)/G311</f>
        <v>0.270114942528736</v>
      </c>
      <c r="J311" s="15" t="n">
        <v>0.2257</v>
      </c>
      <c r="K311" s="11" t="str">
        <f aca="false">IF(I311&lt;J311,"TAK","NIE")</f>
        <v>NIE</v>
      </c>
    </row>
    <row r="312" customFormat="false" ht="15" hidden="false" customHeight="false" outlineLevel="0" collapsed="false">
      <c r="A312" s="5" t="s">
        <v>243</v>
      </c>
      <c r="B312" s="5" t="s">
        <v>48</v>
      </c>
      <c r="C312" s="5" t="n">
        <v>2019</v>
      </c>
      <c r="D312" s="5" t="s">
        <v>49</v>
      </c>
      <c r="E312" s="5" t="s">
        <v>38</v>
      </c>
      <c r="F312" s="5" t="s">
        <v>39</v>
      </c>
      <c r="G312" s="6" t="n">
        <v>522</v>
      </c>
      <c r="H312" s="6" t="n">
        <v>103</v>
      </c>
      <c r="I312" s="7" t="n">
        <f aca="false">(G312-H312)/G312</f>
        <v>0.802681992337165</v>
      </c>
      <c r="J312" s="15" t="n">
        <v>0.2257</v>
      </c>
      <c r="K312" s="11" t="str">
        <f aca="false">IF(I312&lt;J312,"TAK","NIE")</f>
        <v>NIE</v>
      </c>
    </row>
    <row r="313" customFormat="false" ht="15" hidden="false" customHeight="false" outlineLevel="0" collapsed="false">
      <c r="A313" s="5" t="s">
        <v>244</v>
      </c>
      <c r="B313" s="5" t="s">
        <v>48</v>
      </c>
      <c r="C313" s="5" t="n">
        <v>2019</v>
      </c>
      <c r="D313" s="5" t="s">
        <v>49</v>
      </c>
      <c r="E313" s="5" t="s">
        <v>38</v>
      </c>
      <c r="F313" s="5" t="s">
        <v>39</v>
      </c>
      <c r="G313" s="6" t="n">
        <v>224</v>
      </c>
      <c r="H313" s="6" t="n">
        <v>3</v>
      </c>
      <c r="I313" s="7" t="n">
        <f aca="false">(G313-H313)/G313</f>
        <v>0.986607142857143</v>
      </c>
      <c r="J313" s="15" t="n">
        <v>0.2257</v>
      </c>
      <c r="K313" s="11" t="str">
        <f aca="false">IF(I313&lt;J313,"TAK","NIE")</f>
        <v>NIE</v>
      </c>
    </row>
    <row r="314" customFormat="false" ht="15" hidden="false" customHeight="false" outlineLevel="0" collapsed="false">
      <c r="A314" s="5" t="s">
        <v>245</v>
      </c>
      <c r="B314" s="5" t="s">
        <v>48</v>
      </c>
      <c r="C314" s="5" t="n">
        <v>2019</v>
      </c>
      <c r="D314" s="5" t="s">
        <v>49</v>
      </c>
      <c r="E314" s="5" t="s">
        <v>38</v>
      </c>
      <c r="F314" s="5" t="s">
        <v>39</v>
      </c>
      <c r="G314" s="6" t="n">
        <v>522</v>
      </c>
      <c r="H314" s="6" t="n">
        <v>69</v>
      </c>
      <c r="I314" s="7" t="n">
        <f aca="false">(G314-H314)/G314</f>
        <v>0.867816091954023</v>
      </c>
      <c r="J314" s="15" t="n">
        <v>0.2257</v>
      </c>
      <c r="K314" s="11" t="str">
        <f aca="false">IF(I314&lt;J314,"TAK","NIE")</f>
        <v>NIE</v>
      </c>
    </row>
    <row r="315" customFormat="false" ht="15" hidden="false" customHeight="false" outlineLevel="0" collapsed="false">
      <c r="A315" s="5" t="s">
        <v>246</v>
      </c>
      <c r="B315" s="5" t="s">
        <v>48</v>
      </c>
      <c r="C315" s="5" t="n">
        <v>2019</v>
      </c>
      <c r="D315" s="5" t="s">
        <v>49</v>
      </c>
      <c r="E315" s="5" t="s">
        <v>38</v>
      </c>
      <c r="F315" s="5" t="s">
        <v>39</v>
      </c>
      <c r="G315" s="6" t="n">
        <v>513</v>
      </c>
      <c r="H315" s="6" t="n">
        <v>67</v>
      </c>
      <c r="I315" s="7" t="n">
        <f aca="false">(G315-H315)/G315</f>
        <v>0.869395711500975</v>
      </c>
      <c r="J315" s="15" t="n">
        <v>0.2257</v>
      </c>
      <c r="K315" s="11" t="str">
        <f aca="false">IF(I315&lt;J315,"TAK","NIE")</f>
        <v>NIE</v>
      </c>
    </row>
    <row r="316" customFormat="false" ht="15" hidden="false" customHeight="false" outlineLevel="0" collapsed="false">
      <c r="A316" s="5" t="s">
        <v>247</v>
      </c>
      <c r="B316" s="5" t="s">
        <v>48</v>
      </c>
      <c r="C316" s="5" t="n">
        <v>2019</v>
      </c>
      <c r="D316" s="5" t="s">
        <v>49</v>
      </c>
      <c r="E316" s="5" t="s">
        <v>38</v>
      </c>
      <c r="F316" s="5" t="s">
        <v>39</v>
      </c>
      <c r="G316" s="6" t="n">
        <v>218</v>
      </c>
      <c r="H316" s="6" t="n">
        <v>18</v>
      </c>
      <c r="I316" s="7" t="n">
        <f aca="false">(G316-H316)/G316</f>
        <v>0.917431192660551</v>
      </c>
      <c r="J316" s="15" t="n">
        <v>0.2257</v>
      </c>
      <c r="K316" s="11" t="str">
        <f aca="false">IF(I316&lt;J316,"TAK","NIE")</f>
        <v>NIE</v>
      </c>
    </row>
    <row r="317" customFormat="false" ht="15" hidden="false" customHeight="false" outlineLevel="0" collapsed="false">
      <c r="A317" s="5" t="s">
        <v>248</v>
      </c>
      <c r="B317" s="5" t="s">
        <v>48</v>
      </c>
      <c r="C317" s="5" t="n">
        <v>2019</v>
      </c>
      <c r="D317" s="5" t="s">
        <v>49</v>
      </c>
      <c r="E317" s="5" t="s">
        <v>38</v>
      </c>
      <c r="F317" s="5" t="s">
        <v>39</v>
      </c>
      <c r="G317" s="6" t="n">
        <v>522</v>
      </c>
      <c r="H317" s="6" t="n">
        <v>129</v>
      </c>
      <c r="I317" s="7" t="n">
        <f aca="false">(G317-H317)/G317</f>
        <v>0.752873563218391</v>
      </c>
      <c r="J317" s="15" t="n">
        <v>0.2257</v>
      </c>
      <c r="K317" s="11" t="str">
        <f aca="false">IF(I317&lt;J317,"TAK","NIE")</f>
        <v>NIE</v>
      </c>
    </row>
    <row r="318" customFormat="false" ht="15" hidden="false" customHeight="false" outlineLevel="0" collapsed="false">
      <c r="A318" s="5" t="s">
        <v>249</v>
      </c>
      <c r="B318" s="5" t="s">
        <v>48</v>
      </c>
      <c r="C318" s="5" t="n">
        <v>2019</v>
      </c>
      <c r="D318" s="5" t="s">
        <v>49</v>
      </c>
      <c r="E318" s="5" t="s">
        <v>38</v>
      </c>
      <c r="F318" s="5" t="s">
        <v>39</v>
      </c>
      <c r="G318" s="6" t="n">
        <v>224</v>
      </c>
      <c r="H318" s="6" t="n">
        <v>29</v>
      </c>
      <c r="I318" s="7" t="n">
        <f aca="false">(G318-H318)/G318</f>
        <v>0.870535714285714</v>
      </c>
      <c r="J318" s="15" t="n">
        <v>0.2257</v>
      </c>
      <c r="K318" s="11" t="str">
        <f aca="false">IF(I318&lt;J318,"TAK","NIE")</f>
        <v>NIE</v>
      </c>
    </row>
    <row r="319" customFormat="false" ht="15" hidden="false" customHeight="false" outlineLevel="0" collapsed="false">
      <c r="A319" s="5" t="s">
        <v>250</v>
      </c>
      <c r="B319" s="5" t="s">
        <v>48</v>
      </c>
      <c r="C319" s="5" t="n">
        <v>2019</v>
      </c>
      <c r="D319" s="5" t="s">
        <v>49</v>
      </c>
      <c r="E319" s="5" t="s">
        <v>38</v>
      </c>
      <c r="F319" s="5" t="s">
        <v>39</v>
      </c>
      <c r="G319" s="6" t="n">
        <v>218</v>
      </c>
      <c r="H319" s="6" t="n">
        <v>13</v>
      </c>
      <c r="I319" s="7" t="n">
        <f aca="false">(G319-H319)/G319</f>
        <v>0.940366972477064</v>
      </c>
      <c r="J319" s="15" t="n">
        <v>0.2257</v>
      </c>
      <c r="K319" s="11" t="str">
        <f aca="false">IF(I319&lt;J319,"TAK","NIE")</f>
        <v>NIE</v>
      </c>
    </row>
    <row r="320" customFormat="false" ht="15" hidden="false" customHeight="false" outlineLevel="0" collapsed="false">
      <c r="A320" s="5" t="s">
        <v>251</v>
      </c>
      <c r="B320" s="5" t="s">
        <v>48</v>
      </c>
      <c r="C320" s="5" t="n">
        <v>2019</v>
      </c>
      <c r="D320" s="5" t="s">
        <v>49</v>
      </c>
      <c r="E320" s="5" t="s">
        <v>38</v>
      </c>
      <c r="F320" s="5" t="s">
        <v>39</v>
      </c>
      <c r="G320" s="6" t="n">
        <v>522</v>
      </c>
      <c r="H320" s="6" t="n">
        <v>185</v>
      </c>
      <c r="I320" s="7" t="n">
        <f aca="false">(G320-H320)/G320</f>
        <v>0.645593869731801</v>
      </c>
      <c r="J320" s="15" t="n">
        <v>0.2257</v>
      </c>
      <c r="K320" s="11" t="str">
        <f aca="false">IF(I320&lt;J320,"TAK","NIE")</f>
        <v>NIE</v>
      </c>
    </row>
    <row r="321" customFormat="false" ht="15" hidden="false" customHeight="false" outlineLevel="0" collapsed="false">
      <c r="A321" s="5" t="s">
        <v>252</v>
      </c>
      <c r="B321" s="5" t="s">
        <v>48</v>
      </c>
      <c r="C321" s="5" t="n">
        <v>2019</v>
      </c>
      <c r="D321" s="5" t="s">
        <v>49</v>
      </c>
      <c r="E321" s="5" t="s">
        <v>38</v>
      </c>
      <c r="F321" s="5" t="s">
        <v>39</v>
      </c>
      <c r="G321" s="6" t="n">
        <v>224</v>
      </c>
      <c r="H321" s="6" t="n">
        <v>81</v>
      </c>
      <c r="I321" s="7" t="n">
        <f aca="false">(G321-H321)/G321</f>
        <v>0.638392857142857</v>
      </c>
      <c r="J321" s="15" t="n">
        <v>0.2257</v>
      </c>
      <c r="K321" s="11" t="str">
        <f aca="false">IF(I321&lt;J321,"TAK","NIE")</f>
        <v>NIE</v>
      </c>
    </row>
    <row r="322" customFormat="false" ht="15" hidden="false" customHeight="false" outlineLevel="0" collapsed="false">
      <c r="A322" s="5" t="s">
        <v>253</v>
      </c>
      <c r="B322" s="5" t="s">
        <v>48</v>
      </c>
      <c r="C322" s="5" t="n">
        <v>2019</v>
      </c>
      <c r="D322" s="5" t="s">
        <v>49</v>
      </c>
      <c r="E322" s="5" t="s">
        <v>38</v>
      </c>
      <c r="F322" s="5" t="s">
        <v>39</v>
      </c>
      <c r="G322" s="6" t="n">
        <v>224</v>
      </c>
      <c r="H322" s="6" t="n">
        <v>56</v>
      </c>
      <c r="I322" s="7" t="n">
        <f aca="false">(G322-H322)/G322</f>
        <v>0.75</v>
      </c>
      <c r="J322" s="15" t="n">
        <v>0.2257</v>
      </c>
      <c r="K322" s="11" t="str">
        <f aca="false">IF(I322&lt;J322,"TAK","NIE")</f>
        <v>NIE</v>
      </c>
    </row>
    <row r="323" customFormat="false" ht="15" hidden="false" customHeight="false" outlineLevel="0" collapsed="false">
      <c r="A323" s="5" t="s">
        <v>254</v>
      </c>
      <c r="B323" s="5" t="s">
        <v>48</v>
      </c>
      <c r="C323" s="5" t="n">
        <v>2019</v>
      </c>
      <c r="D323" s="5" t="s">
        <v>49</v>
      </c>
      <c r="E323" s="5" t="s">
        <v>38</v>
      </c>
      <c r="F323" s="5" t="s">
        <v>39</v>
      </c>
      <c r="G323" s="6" t="n">
        <v>224</v>
      </c>
      <c r="H323" s="6" t="n">
        <v>2</v>
      </c>
      <c r="I323" s="7" t="n">
        <f aca="false">(G323-H323)/G323</f>
        <v>0.991071428571429</v>
      </c>
      <c r="J323" s="15" t="n">
        <v>0.2257</v>
      </c>
      <c r="K323" s="11" t="str">
        <f aca="false">IF(I323&lt;J323,"TAK","NIE")</f>
        <v>NIE</v>
      </c>
    </row>
    <row r="324" customFormat="false" ht="15" hidden="false" customHeight="false" outlineLevel="0" collapsed="false">
      <c r="A324" s="5" t="s">
        <v>255</v>
      </c>
      <c r="B324" s="5" t="s">
        <v>48</v>
      </c>
      <c r="C324" s="5" t="n">
        <v>2019</v>
      </c>
      <c r="D324" s="5" t="s">
        <v>49</v>
      </c>
      <c r="E324" s="5" t="s">
        <v>38</v>
      </c>
      <c r="F324" s="5" t="s">
        <v>39</v>
      </c>
      <c r="G324" s="6" t="n">
        <v>522</v>
      </c>
      <c r="H324" s="6" t="n">
        <v>243</v>
      </c>
      <c r="I324" s="7" t="n">
        <f aca="false">(G324-H324)/G324</f>
        <v>0.53448275862069</v>
      </c>
      <c r="J324" s="15" t="n">
        <v>0.2257</v>
      </c>
      <c r="K324" s="11" t="str">
        <f aca="false">IF(I324&lt;J324,"TAK","NIE")</f>
        <v>NIE</v>
      </c>
    </row>
    <row r="325" customFormat="false" ht="15" hidden="false" customHeight="false" outlineLevel="0" collapsed="false">
      <c r="A325" s="5" t="s">
        <v>256</v>
      </c>
      <c r="B325" s="5" t="s">
        <v>48</v>
      </c>
      <c r="C325" s="5" t="n">
        <v>2019</v>
      </c>
      <c r="D325" s="5" t="s">
        <v>49</v>
      </c>
      <c r="E325" s="5" t="s">
        <v>38</v>
      </c>
      <c r="F325" s="5" t="s">
        <v>39</v>
      </c>
      <c r="G325" s="6" t="n">
        <v>522</v>
      </c>
      <c r="H325" s="6" t="n">
        <v>136</v>
      </c>
      <c r="I325" s="7" t="n">
        <f aca="false">(G325-H325)/G325</f>
        <v>0.739463601532567</v>
      </c>
      <c r="J325" s="15" t="n">
        <v>0.2257</v>
      </c>
      <c r="K325" s="11" t="str">
        <f aca="false">IF(I325&lt;J325,"TAK","NIE")</f>
        <v>NIE</v>
      </c>
    </row>
    <row r="326" customFormat="false" ht="15" hidden="false" customHeight="false" outlineLevel="0" collapsed="false">
      <c r="A326" s="5" t="s">
        <v>257</v>
      </c>
      <c r="B326" s="5" t="s">
        <v>48</v>
      </c>
      <c r="C326" s="5" t="n">
        <v>2019</v>
      </c>
      <c r="D326" s="5" t="s">
        <v>49</v>
      </c>
      <c r="E326" s="5" t="s">
        <v>38</v>
      </c>
      <c r="F326" s="5" t="s">
        <v>39</v>
      </c>
      <c r="G326" s="6" t="n">
        <v>522</v>
      </c>
      <c r="H326" s="6" t="n">
        <v>82</v>
      </c>
      <c r="I326" s="7" t="n">
        <f aca="false">(G326-H326)/G326</f>
        <v>0.842911877394636</v>
      </c>
      <c r="J326" s="15" t="n">
        <v>0.2257</v>
      </c>
      <c r="K326" s="11" t="str">
        <f aca="false">IF(I326&lt;J326,"TAK","NIE")</f>
        <v>NIE</v>
      </c>
    </row>
    <row r="327" customFormat="false" ht="15" hidden="false" customHeight="false" outlineLevel="0" collapsed="false">
      <c r="A327" s="5" t="s">
        <v>258</v>
      </c>
      <c r="B327" s="5" t="s">
        <v>48</v>
      </c>
      <c r="C327" s="5" t="n">
        <v>2019</v>
      </c>
      <c r="D327" s="5" t="s">
        <v>49</v>
      </c>
      <c r="E327" s="5" t="s">
        <v>38</v>
      </c>
      <c r="F327" s="5" t="s">
        <v>39</v>
      </c>
      <c r="G327" s="6" t="n">
        <v>224</v>
      </c>
      <c r="H327" s="6" t="n">
        <v>39</v>
      </c>
      <c r="I327" s="7" t="n">
        <f aca="false">(G327-H327)/G327</f>
        <v>0.825892857142857</v>
      </c>
      <c r="J327" s="15" t="n">
        <v>0.2257</v>
      </c>
      <c r="K327" s="11" t="str">
        <f aca="false">IF(I327&lt;J327,"TAK","NIE")</f>
        <v>NIE</v>
      </c>
    </row>
    <row r="328" customFormat="false" ht="15" hidden="false" customHeight="false" outlineLevel="0" collapsed="false">
      <c r="A328" s="5" t="s">
        <v>259</v>
      </c>
      <c r="B328" s="5" t="s">
        <v>48</v>
      </c>
      <c r="C328" s="5" t="n">
        <v>2019</v>
      </c>
      <c r="D328" s="5" t="s">
        <v>49</v>
      </c>
      <c r="E328" s="5" t="s">
        <v>38</v>
      </c>
      <c r="F328" s="5" t="s">
        <v>39</v>
      </c>
      <c r="G328" s="6" t="n">
        <v>218</v>
      </c>
      <c r="H328" s="6" t="n">
        <v>46</v>
      </c>
      <c r="I328" s="7" t="n">
        <f aca="false">(G328-H328)/G328</f>
        <v>0.788990825688073</v>
      </c>
      <c r="J328" s="15" t="n">
        <v>0.2257</v>
      </c>
      <c r="K328" s="11" t="str">
        <f aca="false">IF(I328&lt;J328,"TAK","NIE")</f>
        <v>NIE</v>
      </c>
    </row>
    <row r="329" customFormat="false" ht="15" hidden="false" customHeight="false" outlineLevel="0" collapsed="false">
      <c r="A329" s="5" t="s">
        <v>260</v>
      </c>
      <c r="B329" s="5" t="s">
        <v>48</v>
      </c>
      <c r="C329" s="5" t="n">
        <v>2019</v>
      </c>
      <c r="D329" s="5" t="s">
        <v>49</v>
      </c>
      <c r="E329" s="5" t="s">
        <v>38</v>
      </c>
      <c r="F329" s="5" t="s">
        <v>39</v>
      </c>
      <c r="G329" s="6" t="n">
        <v>522</v>
      </c>
      <c r="H329" s="6" t="n">
        <v>299</v>
      </c>
      <c r="I329" s="7" t="n">
        <f aca="false">(G329-H329)/G329</f>
        <v>0.4272030651341</v>
      </c>
      <c r="J329" s="15" t="n">
        <v>0.2257</v>
      </c>
      <c r="K329" s="11" t="str">
        <f aca="false">IF(I329&lt;J329,"TAK","NIE")</f>
        <v>NIE</v>
      </c>
    </row>
    <row r="330" customFormat="false" ht="15" hidden="false" customHeight="false" outlineLevel="0" collapsed="false">
      <c r="A330" s="5" t="s">
        <v>261</v>
      </c>
      <c r="B330" s="5" t="s">
        <v>48</v>
      </c>
      <c r="C330" s="5" t="n">
        <v>2019</v>
      </c>
      <c r="D330" s="5" t="s">
        <v>49</v>
      </c>
      <c r="E330" s="5" t="s">
        <v>38</v>
      </c>
      <c r="F330" s="5" t="s">
        <v>39</v>
      </c>
      <c r="G330" s="6" t="n">
        <v>516</v>
      </c>
      <c r="H330" s="6" t="n">
        <v>255</v>
      </c>
      <c r="I330" s="7" t="n">
        <f aca="false">(G330-H330)/G330</f>
        <v>0.505813953488372</v>
      </c>
      <c r="J330" s="15" t="n">
        <v>0.2257</v>
      </c>
      <c r="K330" s="11" t="str">
        <f aca="false">IF(I330&lt;J330,"TAK","NIE")</f>
        <v>NIE</v>
      </c>
    </row>
    <row r="331" customFormat="false" ht="15" hidden="false" customHeight="false" outlineLevel="0" collapsed="false">
      <c r="A331" s="5" t="s">
        <v>262</v>
      </c>
      <c r="B331" s="5" t="s">
        <v>48</v>
      </c>
      <c r="C331" s="5" t="n">
        <v>2019</v>
      </c>
      <c r="D331" s="5" t="s">
        <v>49</v>
      </c>
      <c r="E331" s="5" t="s">
        <v>38</v>
      </c>
      <c r="F331" s="5" t="s">
        <v>39</v>
      </c>
      <c r="G331" s="6" t="n">
        <v>522</v>
      </c>
      <c r="H331" s="6" t="n">
        <v>42</v>
      </c>
      <c r="I331" s="7" t="n">
        <f aca="false">(G331-H331)/G331</f>
        <v>0.919540229885058</v>
      </c>
      <c r="J331" s="15" t="n">
        <v>0.2257</v>
      </c>
      <c r="K331" s="11" t="str">
        <f aca="false">IF(I331&lt;J331,"TAK","NIE")</f>
        <v>NIE</v>
      </c>
    </row>
    <row r="332" customFormat="false" ht="15" hidden="false" customHeight="false" outlineLevel="0" collapsed="false">
      <c r="A332" s="5" t="s">
        <v>239</v>
      </c>
      <c r="B332" s="5" t="s">
        <v>48</v>
      </c>
      <c r="C332" s="5" t="n">
        <v>2019</v>
      </c>
      <c r="D332" s="5" t="s">
        <v>49</v>
      </c>
      <c r="E332" s="5" t="s">
        <v>38</v>
      </c>
      <c r="F332" s="5" t="s">
        <v>40</v>
      </c>
      <c r="G332" s="6" t="n">
        <v>699</v>
      </c>
      <c r="H332" s="6" t="n">
        <v>308</v>
      </c>
      <c r="I332" s="7" t="n">
        <f aca="false">(G332-H332)/G332</f>
        <v>0.559370529327611</v>
      </c>
      <c r="J332" s="15" t="n">
        <v>0.2446</v>
      </c>
      <c r="K332" s="11" t="str">
        <f aca="false">IF(I332&lt;J332,"TAK","NIE")</f>
        <v>NIE</v>
      </c>
    </row>
    <row r="333" customFormat="false" ht="15" hidden="false" customHeight="false" outlineLevel="0" collapsed="false">
      <c r="A333" s="5" t="s">
        <v>240</v>
      </c>
      <c r="B333" s="5" t="s">
        <v>48</v>
      </c>
      <c r="C333" s="5" t="n">
        <v>2019</v>
      </c>
      <c r="D333" s="5" t="s">
        <v>49</v>
      </c>
      <c r="E333" s="5" t="s">
        <v>38</v>
      </c>
      <c r="F333" s="5" t="s">
        <v>40</v>
      </c>
      <c r="G333" s="6" t="n">
        <v>699</v>
      </c>
      <c r="H333" s="6" t="n">
        <v>253</v>
      </c>
      <c r="I333" s="7" t="n">
        <f aca="false">(G333-H333)/G333</f>
        <v>0.638054363376252</v>
      </c>
      <c r="J333" s="15" t="n">
        <v>0.2446</v>
      </c>
      <c r="K333" s="11" t="str">
        <f aca="false">IF(I333&lt;J333,"TAK","NIE")</f>
        <v>NIE</v>
      </c>
    </row>
    <row r="334" customFormat="false" ht="15" hidden="false" customHeight="false" outlineLevel="0" collapsed="false">
      <c r="A334" s="5" t="s">
        <v>241</v>
      </c>
      <c r="B334" s="5" t="s">
        <v>48</v>
      </c>
      <c r="C334" s="5" t="n">
        <v>2019</v>
      </c>
      <c r="D334" s="5" t="s">
        <v>49</v>
      </c>
      <c r="E334" s="5" t="s">
        <v>38</v>
      </c>
      <c r="F334" s="5" t="s">
        <v>40</v>
      </c>
      <c r="G334" s="6" t="n">
        <v>310</v>
      </c>
      <c r="H334" s="6" t="n">
        <v>125</v>
      </c>
      <c r="I334" s="7" t="n">
        <f aca="false">(G334-H334)/G334</f>
        <v>0.596774193548387</v>
      </c>
      <c r="J334" s="15" t="n">
        <v>0.2446</v>
      </c>
      <c r="K334" s="11" t="str">
        <f aca="false">IF(I334&lt;J334,"TAK","NIE")</f>
        <v>NIE</v>
      </c>
    </row>
    <row r="335" customFormat="false" ht="15" hidden="false" customHeight="false" outlineLevel="0" collapsed="false">
      <c r="A335" s="5" t="s">
        <v>242</v>
      </c>
      <c r="B335" s="5" t="s">
        <v>48</v>
      </c>
      <c r="C335" s="5" t="n">
        <v>2019</v>
      </c>
      <c r="D335" s="5" t="s">
        <v>49</v>
      </c>
      <c r="E335" s="5" t="s">
        <v>38</v>
      </c>
      <c r="F335" s="5" t="s">
        <v>40</v>
      </c>
      <c r="G335" s="6" t="n">
        <v>699</v>
      </c>
      <c r="H335" s="6" t="n">
        <v>687</v>
      </c>
      <c r="I335" s="7" t="n">
        <f aca="false">(G335-H335)/G335</f>
        <v>0.0171673819742489</v>
      </c>
      <c r="J335" s="15" t="n">
        <v>0.2446</v>
      </c>
      <c r="K335" s="11" t="str">
        <f aca="false">IF(I335&lt;J335,"TAK","NIE")</f>
        <v>TAK</v>
      </c>
    </row>
    <row r="336" customFormat="false" ht="15" hidden="false" customHeight="false" outlineLevel="0" collapsed="false">
      <c r="A336" s="5" t="s">
        <v>243</v>
      </c>
      <c r="B336" s="5" t="s">
        <v>48</v>
      </c>
      <c r="C336" s="5" t="n">
        <v>2019</v>
      </c>
      <c r="D336" s="5" t="s">
        <v>49</v>
      </c>
      <c r="E336" s="5" t="s">
        <v>38</v>
      </c>
      <c r="F336" s="5" t="s">
        <v>40</v>
      </c>
      <c r="G336" s="6" t="n">
        <v>699</v>
      </c>
      <c r="H336" s="6" t="n">
        <v>226</v>
      </c>
      <c r="I336" s="7" t="n">
        <f aca="false">(G336-H336)/G336</f>
        <v>0.676680972818312</v>
      </c>
      <c r="J336" s="15" t="n">
        <v>0.2446</v>
      </c>
      <c r="K336" s="11" t="str">
        <f aca="false">IF(I336&lt;J336,"TAK","NIE")</f>
        <v>NIE</v>
      </c>
    </row>
    <row r="337" customFormat="false" ht="15" hidden="false" customHeight="false" outlineLevel="0" collapsed="false">
      <c r="A337" s="5" t="s">
        <v>244</v>
      </c>
      <c r="B337" s="5" t="s">
        <v>48</v>
      </c>
      <c r="C337" s="5" t="n">
        <v>2019</v>
      </c>
      <c r="D337" s="5" t="s">
        <v>49</v>
      </c>
      <c r="E337" s="5" t="s">
        <v>38</v>
      </c>
      <c r="F337" s="5" t="s">
        <v>40</v>
      </c>
      <c r="G337" s="6" t="n">
        <v>310</v>
      </c>
      <c r="H337" s="6" t="n">
        <v>35</v>
      </c>
      <c r="I337" s="7" t="n">
        <f aca="false">(G337-H337)/G337</f>
        <v>0.887096774193548</v>
      </c>
      <c r="J337" s="15" t="n">
        <v>0.2446</v>
      </c>
      <c r="K337" s="11" t="str">
        <f aca="false">IF(I337&lt;J337,"TAK","NIE")</f>
        <v>NIE</v>
      </c>
    </row>
    <row r="338" customFormat="false" ht="15" hidden="false" customHeight="false" outlineLevel="0" collapsed="false">
      <c r="A338" s="5" t="s">
        <v>245</v>
      </c>
      <c r="B338" s="5" t="s">
        <v>48</v>
      </c>
      <c r="C338" s="5" t="n">
        <v>2019</v>
      </c>
      <c r="D338" s="5" t="s">
        <v>49</v>
      </c>
      <c r="E338" s="5" t="s">
        <v>38</v>
      </c>
      <c r="F338" s="5" t="s">
        <v>40</v>
      </c>
      <c r="G338" s="6" t="n">
        <v>699</v>
      </c>
      <c r="H338" s="6" t="n">
        <v>165</v>
      </c>
      <c r="I338" s="7" t="n">
        <f aca="false">(G338-H338)/G338</f>
        <v>0.763948497854077</v>
      </c>
      <c r="J338" s="15" t="n">
        <v>0.2446</v>
      </c>
      <c r="K338" s="11" t="str">
        <f aca="false">IF(I338&lt;J338,"TAK","NIE")</f>
        <v>NIE</v>
      </c>
    </row>
    <row r="339" customFormat="false" ht="15" hidden="false" customHeight="false" outlineLevel="0" collapsed="false">
      <c r="A339" s="5" t="s">
        <v>246</v>
      </c>
      <c r="B339" s="5" t="s">
        <v>48</v>
      </c>
      <c r="C339" s="5" t="n">
        <v>2019</v>
      </c>
      <c r="D339" s="5" t="s">
        <v>49</v>
      </c>
      <c r="E339" s="5" t="s">
        <v>38</v>
      </c>
      <c r="F339" s="5" t="s">
        <v>40</v>
      </c>
      <c r="G339" s="6" t="n">
        <v>699</v>
      </c>
      <c r="H339" s="6" t="n">
        <v>106</v>
      </c>
      <c r="I339" s="7" t="n">
        <f aca="false">(G339-H339)/G339</f>
        <v>0.848354792560801</v>
      </c>
      <c r="J339" s="15" t="n">
        <v>0.2446</v>
      </c>
      <c r="K339" s="11" t="str">
        <f aca="false">IF(I339&lt;J339,"TAK","NIE")</f>
        <v>NIE</v>
      </c>
    </row>
    <row r="340" customFormat="false" ht="15" hidden="false" customHeight="false" outlineLevel="0" collapsed="false">
      <c r="A340" s="5" t="s">
        <v>247</v>
      </c>
      <c r="B340" s="5" t="s">
        <v>48</v>
      </c>
      <c r="C340" s="5" t="n">
        <v>2019</v>
      </c>
      <c r="D340" s="5" t="s">
        <v>49</v>
      </c>
      <c r="E340" s="5" t="s">
        <v>38</v>
      </c>
      <c r="F340" s="5" t="s">
        <v>40</v>
      </c>
      <c r="G340" s="6" t="n">
        <v>310</v>
      </c>
      <c r="H340" s="6" t="n">
        <v>34</v>
      </c>
      <c r="I340" s="7" t="n">
        <f aca="false">(G340-H340)/G340</f>
        <v>0.890322580645161</v>
      </c>
      <c r="J340" s="15" t="n">
        <v>0.2446</v>
      </c>
      <c r="K340" s="11" t="str">
        <f aca="false">IF(I340&lt;J340,"TAK","NIE")</f>
        <v>NIE</v>
      </c>
    </row>
    <row r="341" customFormat="false" ht="15" hidden="false" customHeight="false" outlineLevel="0" collapsed="false">
      <c r="A341" s="5" t="s">
        <v>248</v>
      </c>
      <c r="B341" s="5" t="s">
        <v>48</v>
      </c>
      <c r="C341" s="5" t="n">
        <v>2019</v>
      </c>
      <c r="D341" s="5" t="s">
        <v>49</v>
      </c>
      <c r="E341" s="5" t="s">
        <v>38</v>
      </c>
      <c r="F341" s="5" t="s">
        <v>40</v>
      </c>
      <c r="G341" s="6" t="n">
        <v>699</v>
      </c>
      <c r="H341" s="6" t="n">
        <v>224</v>
      </c>
      <c r="I341" s="7" t="n">
        <f aca="false">(G341-H341)/G341</f>
        <v>0.679542203147353</v>
      </c>
      <c r="J341" s="15" t="n">
        <v>0.2446</v>
      </c>
      <c r="K341" s="11" t="str">
        <f aca="false">IF(I341&lt;J341,"TAK","NIE")</f>
        <v>NIE</v>
      </c>
    </row>
    <row r="342" customFormat="false" ht="15" hidden="false" customHeight="false" outlineLevel="0" collapsed="false">
      <c r="A342" s="5" t="s">
        <v>249</v>
      </c>
      <c r="B342" s="5" t="s">
        <v>48</v>
      </c>
      <c r="C342" s="5" t="n">
        <v>2019</v>
      </c>
      <c r="D342" s="5" t="s">
        <v>49</v>
      </c>
      <c r="E342" s="5" t="s">
        <v>38</v>
      </c>
      <c r="F342" s="5" t="s">
        <v>40</v>
      </c>
      <c r="G342" s="6" t="n">
        <v>310</v>
      </c>
      <c r="H342" s="6" t="n">
        <v>84</v>
      </c>
      <c r="I342" s="7" t="n">
        <f aca="false">(G342-H342)/G342</f>
        <v>0.729032258064516</v>
      </c>
      <c r="J342" s="15" t="n">
        <v>0.2446</v>
      </c>
      <c r="K342" s="11" t="str">
        <f aca="false">IF(I342&lt;J342,"TAK","NIE")</f>
        <v>NIE</v>
      </c>
    </row>
    <row r="343" customFormat="false" ht="15" hidden="false" customHeight="false" outlineLevel="0" collapsed="false">
      <c r="A343" s="5" t="s">
        <v>250</v>
      </c>
      <c r="B343" s="5" t="s">
        <v>48</v>
      </c>
      <c r="C343" s="5" t="n">
        <v>2019</v>
      </c>
      <c r="D343" s="5" t="s">
        <v>49</v>
      </c>
      <c r="E343" s="5" t="s">
        <v>38</v>
      </c>
      <c r="F343" s="5" t="s">
        <v>40</v>
      </c>
      <c r="G343" s="6" t="n">
        <v>310</v>
      </c>
      <c r="H343" s="6" t="n">
        <v>37</v>
      </c>
      <c r="I343" s="7" t="n">
        <f aca="false">(G343-H343)/G343</f>
        <v>0.880645161290323</v>
      </c>
      <c r="J343" s="15" t="n">
        <v>0.2446</v>
      </c>
      <c r="K343" s="11" t="str">
        <f aca="false">IF(I343&lt;J343,"TAK","NIE")</f>
        <v>NIE</v>
      </c>
    </row>
    <row r="344" customFormat="false" ht="15" hidden="false" customHeight="false" outlineLevel="0" collapsed="false">
      <c r="A344" s="5" t="s">
        <v>251</v>
      </c>
      <c r="B344" s="5" t="s">
        <v>48</v>
      </c>
      <c r="C344" s="5" t="n">
        <v>2019</v>
      </c>
      <c r="D344" s="5" t="s">
        <v>49</v>
      </c>
      <c r="E344" s="5" t="s">
        <v>38</v>
      </c>
      <c r="F344" s="5" t="s">
        <v>40</v>
      </c>
      <c r="G344" s="6" t="n">
        <v>699</v>
      </c>
      <c r="H344" s="6" t="n">
        <v>354</v>
      </c>
      <c r="I344" s="7" t="n">
        <f aca="false">(G344-H344)/G344</f>
        <v>0.493562231759657</v>
      </c>
      <c r="J344" s="15" t="n">
        <v>0.2446</v>
      </c>
      <c r="K344" s="11" t="str">
        <f aca="false">IF(I344&lt;J344,"TAK","NIE")</f>
        <v>NIE</v>
      </c>
    </row>
    <row r="345" customFormat="false" ht="15" hidden="false" customHeight="false" outlineLevel="0" collapsed="false">
      <c r="A345" s="5" t="s">
        <v>252</v>
      </c>
      <c r="B345" s="5" t="s">
        <v>48</v>
      </c>
      <c r="C345" s="5" t="n">
        <v>2019</v>
      </c>
      <c r="D345" s="5" t="s">
        <v>49</v>
      </c>
      <c r="E345" s="5" t="s">
        <v>38</v>
      </c>
      <c r="F345" s="5" t="s">
        <v>40</v>
      </c>
      <c r="G345" s="6" t="n">
        <v>310</v>
      </c>
      <c r="H345" s="6" t="n">
        <v>69</v>
      </c>
      <c r="I345" s="7" t="n">
        <f aca="false">(G345-H345)/G345</f>
        <v>0.77741935483871</v>
      </c>
      <c r="J345" s="15" t="n">
        <v>0.2446</v>
      </c>
      <c r="K345" s="11" t="str">
        <f aca="false">IF(I345&lt;J345,"TAK","NIE")</f>
        <v>NIE</v>
      </c>
    </row>
    <row r="346" customFormat="false" ht="15" hidden="false" customHeight="false" outlineLevel="0" collapsed="false">
      <c r="A346" s="5" t="s">
        <v>253</v>
      </c>
      <c r="B346" s="5" t="s">
        <v>48</v>
      </c>
      <c r="C346" s="5" t="n">
        <v>2019</v>
      </c>
      <c r="D346" s="5" t="s">
        <v>49</v>
      </c>
      <c r="E346" s="5" t="s">
        <v>38</v>
      </c>
      <c r="F346" s="5" t="s">
        <v>40</v>
      </c>
      <c r="G346" s="6" t="n">
        <v>310</v>
      </c>
      <c r="H346" s="6" t="n">
        <v>131</v>
      </c>
      <c r="I346" s="7" t="n">
        <f aca="false">(G346-H346)/G346</f>
        <v>0.57741935483871</v>
      </c>
      <c r="J346" s="15" t="n">
        <v>0.2446</v>
      </c>
      <c r="K346" s="11" t="str">
        <f aca="false">IF(I346&lt;J346,"TAK","NIE")</f>
        <v>NIE</v>
      </c>
    </row>
    <row r="347" customFormat="false" ht="15" hidden="false" customHeight="false" outlineLevel="0" collapsed="false">
      <c r="A347" s="5" t="s">
        <v>254</v>
      </c>
      <c r="B347" s="5" t="s">
        <v>48</v>
      </c>
      <c r="C347" s="5" t="n">
        <v>2019</v>
      </c>
      <c r="D347" s="5" t="s">
        <v>49</v>
      </c>
      <c r="E347" s="5" t="s">
        <v>38</v>
      </c>
      <c r="F347" s="5" t="s">
        <v>40</v>
      </c>
      <c r="G347" s="6" t="n">
        <v>310</v>
      </c>
      <c r="H347" s="6" t="n">
        <v>16</v>
      </c>
      <c r="I347" s="7" t="n">
        <f aca="false">(G347-H347)/G347</f>
        <v>0.948387096774194</v>
      </c>
      <c r="J347" s="15" t="n">
        <v>0.2446</v>
      </c>
      <c r="K347" s="11" t="str">
        <f aca="false">IF(I347&lt;J347,"TAK","NIE")</f>
        <v>NIE</v>
      </c>
    </row>
    <row r="348" customFormat="false" ht="15" hidden="false" customHeight="false" outlineLevel="0" collapsed="false">
      <c r="A348" s="5" t="s">
        <v>255</v>
      </c>
      <c r="B348" s="5" t="s">
        <v>48</v>
      </c>
      <c r="C348" s="5" t="n">
        <v>2019</v>
      </c>
      <c r="D348" s="5" t="s">
        <v>49</v>
      </c>
      <c r="E348" s="5" t="s">
        <v>38</v>
      </c>
      <c r="F348" s="5" t="s">
        <v>40</v>
      </c>
      <c r="G348" s="6" t="n">
        <v>699</v>
      </c>
      <c r="H348" s="6" t="n">
        <v>291</v>
      </c>
      <c r="I348" s="7" t="n">
        <f aca="false">(G348-H348)/G348</f>
        <v>0.583690987124464</v>
      </c>
      <c r="J348" s="15" t="n">
        <v>0.2446</v>
      </c>
      <c r="K348" s="11" t="str">
        <f aca="false">IF(I348&lt;J348,"TAK","NIE")</f>
        <v>NIE</v>
      </c>
    </row>
    <row r="349" customFormat="false" ht="15" hidden="false" customHeight="false" outlineLevel="0" collapsed="false">
      <c r="A349" s="5" t="s">
        <v>256</v>
      </c>
      <c r="B349" s="5" t="s">
        <v>48</v>
      </c>
      <c r="C349" s="5" t="n">
        <v>2019</v>
      </c>
      <c r="D349" s="5" t="s">
        <v>49</v>
      </c>
      <c r="E349" s="5" t="s">
        <v>38</v>
      </c>
      <c r="F349" s="5" t="s">
        <v>40</v>
      </c>
      <c r="G349" s="6" t="n">
        <v>699</v>
      </c>
      <c r="H349" s="6" t="n">
        <v>192</v>
      </c>
      <c r="I349" s="7" t="n">
        <f aca="false">(G349-H349)/G349</f>
        <v>0.725321888412017</v>
      </c>
      <c r="J349" s="15" t="n">
        <v>0.2446</v>
      </c>
      <c r="K349" s="11" t="str">
        <f aca="false">IF(I349&lt;J349,"TAK","NIE")</f>
        <v>NIE</v>
      </c>
    </row>
    <row r="350" customFormat="false" ht="15" hidden="false" customHeight="false" outlineLevel="0" collapsed="false">
      <c r="A350" s="5" t="s">
        <v>257</v>
      </c>
      <c r="B350" s="5" t="s">
        <v>48</v>
      </c>
      <c r="C350" s="5" t="n">
        <v>2019</v>
      </c>
      <c r="D350" s="5" t="s">
        <v>49</v>
      </c>
      <c r="E350" s="5" t="s">
        <v>38</v>
      </c>
      <c r="F350" s="5" t="s">
        <v>40</v>
      </c>
      <c r="G350" s="6" t="n">
        <v>699</v>
      </c>
      <c r="H350" s="6" t="n">
        <v>194</v>
      </c>
      <c r="I350" s="7" t="n">
        <f aca="false">(G350-H350)/G350</f>
        <v>0.722460658082976</v>
      </c>
      <c r="J350" s="15" t="n">
        <v>0.2446</v>
      </c>
      <c r="K350" s="11" t="str">
        <f aca="false">IF(I350&lt;J350,"TAK","NIE")</f>
        <v>NIE</v>
      </c>
    </row>
    <row r="351" customFormat="false" ht="15" hidden="false" customHeight="false" outlineLevel="0" collapsed="false">
      <c r="A351" s="5" t="s">
        <v>258</v>
      </c>
      <c r="B351" s="5" t="s">
        <v>48</v>
      </c>
      <c r="C351" s="5" t="n">
        <v>2019</v>
      </c>
      <c r="D351" s="5" t="s">
        <v>49</v>
      </c>
      <c r="E351" s="5" t="s">
        <v>38</v>
      </c>
      <c r="F351" s="5" t="s">
        <v>40</v>
      </c>
      <c r="G351" s="6" t="n">
        <v>310</v>
      </c>
      <c r="H351" s="6" t="n">
        <v>31</v>
      </c>
      <c r="I351" s="7" t="n">
        <f aca="false">(G351-H351)/G351</f>
        <v>0.9</v>
      </c>
      <c r="J351" s="15" t="n">
        <v>0.2446</v>
      </c>
      <c r="K351" s="11" t="str">
        <f aca="false">IF(I351&lt;J351,"TAK","NIE")</f>
        <v>NIE</v>
      </c>
    </row>
    <row r="352" customFormat="false" ht="15" hidden="false" customHeight="false" outlineLevel="0" collapsed="false">
      <c r="A352" s="5" t="s">
        <v>259</v>
      </c>
      <c r="B352" s="5" t="s">
        <v>48</v>
      </c>
      <c r="C352" s="5" t="n">
        <v>2019</v>
      </c>
      <c r="D352" s="5" t="s">
        <v>49</v>
      </c>
      <c r="E352" s="5" t="s">
        <v>38</v>
      </c>
      <c r="F352" s="5" t="s">
        <v>40</v>
      </c>
      <c r="G352" s="6" t="n">
        <v>310</v>
      </c>
      <c r="H352" s="6" t="n">
        <v>73</v>
      </c>
      <c r="I352" s="7" t="n">
        <f aca="false">(G352-H352)/G352</f>
        <v>0.764516129032258</v>
      </c>
      <c r="J352" s="15" t="n">
        <v>0.2446</v>
      </c>
      <c r="K352" s="11" t="str">
        <f aca="false">IF(I352&lt;J352,"TAK","NIE")</f>
        <v>NIE</v>
      </c>
    </row>
    <row r="353" customFormat="false" ht="15" hidden="false" customHeight="false" outlineLevel="0" collapsed="false">
      <c r="A353" s="5" t="s">
        <v>260</v>
      </c>
      <c r="B353" s="5" t="s">
        <v>48</v>
      </c>
      <c r="C353" s="5" t="n">
        <v>2019</v>
      </c>
      <c r="D353" s="5" t="s">
        <v>49</v>
      </c>
      <c r="E353" s="5" t="s">
        <v>38</v>
      </c>
      <c r="F353" s="5" t="s">
        <v>40</v>
      </c>
      <c r="G353" s="6" t="n">
        <v>699</v>
      </c>
      <c r="H353" s="6" t="n">
        <v>285</v>
      </c>
      <c r="I353" s="7" t="n">
        <f aca="false">(G353-H353)/G353</f>
        <v>0.592274678111588</v>
      </c>
      <c r="J353" s="15" t="n">
        <v>0.2446</v>
      </c>
      <c r="K353" s="11" t="str">
        <f aca="false">IF(I353&lt;J353,"TAK","NIE")</f>
        <v>NIE</v>
      </c>
    </row>
    <row r="354" customFormat="false" ht="15" hidden="false" customHeight="false" outlineLevel="0" collapsed="false">
      <c r="A354" s="5" t="s">
        <v>261</v>
      </c>
      <c r="B354" s="5" t="s">
        <v>48</v>
      </c>
      <c r="C354" s="5" t="n">
        <v>2019</v>
      </c>
      <c r="D354" s="5" t="s">
        <v>49</v>
      </c>
      <c r="E354" s="5" t="s">
        <v>38</v>
      </c>
      <c r="F354" s="5" t="s">
        <v>40</v>
      </c>
      <c r="G354" s="6" t="n">
        <v>699</v>
      </c>
      <c r="H354" s="6" t="n">
        <v>341</v>
      </c>
      <c r="I354" s="7" t="n">
        <f aca="false">(G354-H354)/G354</f>
        <v>0.512160228898426</v>
      </c>
      <c r="J354" s="15" t="n">
        <v>0.2446</v>
      </c>
      <c r="K354" s="11" t="str">
        <f aca="false">IF(I354&lt;J354,"TAK","NIE")</f>
        <v>NIE</v>
      </c>
    </row>
    <row r="355" customFormat="false" ht="15" hidden="false" customHeight="false" outlineLevel="0" collapsed="false">
      <c r="A355" s="5" t="s">
        <v>262</v>
      </c>
      <c r="B355" s="5" t="s">
        <v>48</v>
      </c>
      <c r="C355" s="5" t="n">
        <v>2019</v>
      </c>
      <c r="D355" s="5" t="s">
        <v>49</v>
      </c>
      <c r="E355" s="5" t="s">
        <v>38</v>
      </c>
      <c r="F355" s="5" t="s">
        <v>40</v>
      </c>
      <c r="G355" s="6" t="n">
        <v>699</v>
      </c>
      <c r="H355" s="6" t="n">
        <v>132</v>
      </c>
      <c r="I355" s="7" t="n">
        <f aca="false">(G355-H355)/G355</f>
        <v>0.811158798283262</v>
      </c>
      <c r="J355" s="15" t="n">
        <v>0.2446</v>
      </c>
      <c r="K355" s="11" t="str">
        <f aca="false">IF(I355&lt;J355,"TAK","NIE")</f>
        <v>NIE</v>
      </c>
    </row>
    <row r="356" customFormat="false" ht="15" hidden="false" customHeight="false" outlineLevel="0" collapsed="false">
      <c r="A356" s="5" t="s">
        <v>239</v>
      </c>
      <c r="B356" s="5" t="s">
        <v>50</v>
      </c>
      <c r="C356" s="5" t="n">
        <v>2019</v>
      </c>
      <c r="D356" s="5" t="s">
        <v>49</v>
      </c>
      <c r="E356" s="5" t="s">
        <v>46</v>
      </c>
      <c r="F356" s="5" t="s">
        <v>39</v>
      </c>
      <c r="G356" s="6" t="n">
        <v>626</v>
      </c>
      <c r="H356" s="6" t="n">
        <v>580</v>
      </c>
      <c r="I356" s="7" t="n">
        <f aca="false">(G356-H356)/G356</f>
        <v>0.073482428115016</v>
      </c>
      <c r="J356" s="15" t="n">
        <v>0.4</v>
      </c>
      <c r="K356" s="11" t="str">
        <f aca="false">IF(I356&lt;J356,"TAK","NIE")</f>
        <v>TAK</v>
      </c>
    </row>
    <row r="357" customFormat="false" ht="15" hidden="false" customHeight="false" outlineLevel="0" collapsed="false">
      <c r="A357" s="5" t="s">
        <v>240</v>
      </c>
      <c r="B357" s="5" t="s">
        <v>50</v>
      </c>
      <c r="C357" s="5" t="n">
        <v>2019</v>
      </c>
      <c r="D357" s="5" t="s">
        <v>49</v>
      </c>
      <c r="E357" s="5" t="s">
        <v>46</v>
      </c>
      <c r="F357" s="5" t="s">
        <v>39</v>
      </c>
      <c r="G357" s="6" t="n">
        <v>626</v>
      </c>
      <c r="H357" s="6" t="n">
        <v>177</v>
      </c>
      <c r="I357" s="7" t="n">
        <f aca="false">(G357-H357)/G357</f>
        <v>0.717252396166134</v>
      </c>
      <c r="J357" s="15" t="n">
        <v>0.4</v>
      </c>
      <c r="K357" s="11" t="str">
        <f aca="false">IF(I357&lt;J357,"TAK","NIE")</f>
        <v>NIE</v>
      </c>
    </row>
    <row r="358" customFormat="false" ht="15" hidden="false" customHeight="false" outlineLevel="0" collapsed="false">
      <c r="A358" s="5" t="s">
        <v>241</v>
      </c>
      <c r="B358" s="5" t="s">
        <v>50</v>
      </c>
      <c r="C358" s="5" t="n">
        <v>2019</v>
      </c>
      <c r="D358" s="5" t="s">
        <v>49</v>
      </c>
      <c r="E358" s="5" t="s">
        <v>46</v>
      </c>
      <c r="F358" s="5" t="s">
        <v>39</v>
      </c>
      <c r="G358" s="6" t="n">
        <v>237</v>
      </c>
      <c r="H358" s="6" t="n">
        <v>160</v>
      </c>
      <c r="I358" s="7" t="n">
        <f aca="false">(G358-H358)/G358</f>
        <v>0.324894514767932</v>
      </c>
      <c r="J358" s="15" t="n">
        <v>0.4</v>
      </c>
      <c r="K358" s="11" t="str">
        <f aca="false">IF(I358&lt;J358,"TAK","NIE")</f>
        <v>TAK</v>
      </c>
    </row>
    <row r="359" customFormat="false" ht="15" hidden="false" customHeight="false" outlineLevel="0" collapsed="false">
      <c r="A359" s="5" t="s">
        <v>243</v>
      </c>
      <c r="B359" s="5" t="s">
        <v>50</v>
      </c>
      <c r="C359" s="5" t="n">
        <v>2019</v>
      </c>
      <c r="D359" s="5" t="s">
        <v>49</v>
      </c>
      <c r="E359" s="5" t="s">
        <v>46</v>
      </c>
      <c r="F359" s="5" t="s">
        <v>39</v>
      </c>
      <c r="G359" s="6" t="n">
        <v>626</v>
      </c>
      <c r="H359" s="6" t="n">
        <v>178</v>
      </c>
      <c r="I359" s="7" t="n">
        <f aca="false">(G359-H359)/G359</f>
        <v>0.715654952076677</v>
      </c>
      <c r="J359" s="15" t="n">
        <v>0.4</v>
      </c>
      <c r="K359" s="11" t="str">
        <f aca="false">IF(I359&lt;J359,"TAK","NIE")</f>
        <v>NIE</v>
      </c>
    </row>
    <row r="360" customFormat="false" ht="15" hidden="false" customHeight="false" outlineLevel="0" collapsed="false">
      <c r="A360" s="5" t="s">
        <v>244</v>
      </c>
      <c r="B360" s="5" t="s">
        <v>50</v>
      </c>
      <c r="C360" s="5" t="n">
        <v>2019</v>
      </c>
      <c r="D360" s="5" t="s">
        <v>49</v>
      </c>
      <c r="E360" s="5" t="s">
        <v>46</v>
      </c>
      <c r="F360" s="5" t="s">
        <v>39</v>
      </c>
      <c r="G360" s="6" t="n">
        <v>237</v>
      </c>
      <c r="H360" s="6" t="n">
        <v>35</v>
      </c>
      <c r="I360" s="7" t="n">
        <f aca="false">(G360-H360)/G360</f>
        <v>0.852320675105485</v>
      </c>
      <c r="J360" s="15" t="n">
        <v>0.4</v>
      </c>
      <c r="K360" s="11" t="str">
        <f aca="false">IF(I360&lt;J360,"TAK","NIE")</f>
        <v>NIE</v>
      </c>
    </row>
    <row r="361" customFormat="false" ht="15" hidden="false" customHeight="false" outlineLevel="0" collapsed="false">
      <c r="A361" s="5" t="s">
        <v>245</v>
      </c>
      <c r="B361" s="5" t="s">
        <v>50</v>
      </c>
      <c r="C361" s="5" t="n">
        <v>2019</v>
      </c>
      <c r="D361" s="5" t="s">
        <v>49</v>
      </c>
      <c r="E361" s="5" t="s">
        <v>46</v>
      </c>
      <c r="F361" s="5" t="s">
        <v>39</v>
      </c>
      <c r="G361" s="6" t="n">
        <v>626</v>
      </c>
      <c r="H361" s="6" t="n">
        <v>123</v>
      </c>
      <c r="I361" s="7" t="n">
        <f aca="false">(G361-H361)/G361</f>
        <v>0.803514376996805</v>
      </c>
      <c r="J361" s="15" t="n">
        <v>0.4</v>
      </c>
      <c r="K361" s="11" t="str">
        <f aca="false">IF(I361&lt;J361,"TAK","NIE")</f>
        <v>NIE</v>
      </c>
    </row>
    <row r="362" customFormat="false" ht="15" hidden="false" customHeight="false" outlineLevel="0" collapsed="false">
      <c r="A362" s="5" t="s">
        <v>246</v>
      </c>
      <c r="B362" s="5" t="s">
        <v>50</v>
      </c>
      <c r="C362" s="5" t="n">
        <v>2019</v>
      </c>
      <c r="D362" s="5" t="s">
        <v>49</v>
      </c>
      <c r="E362" s="5" t="s">
        <v>46</v>
      </c>
      <c r="F362" s="5" t="s">
        <v>39</v>
      </c>
      <c r="G362" s="6" t="n">
        <v>626</v>
      </c>
      <c r="H362" s="6" t="n">
        <v>118</v>
      </c>
      <c r="I362" s="7" t="n">
        <f aca="false">(G362-H362)/G362</f>
        <v>0.81150159744409</v>
      </c>
      <c r="J362" s="15" t="n">
        <v>0.4</v>
      </c>
      <c r="K362" s="11" t="str">
        <f aca="false">IF(I362&lt;J362,"TAK","NIE")</f>
        <v>NIE</v>
      </c>
    </row>
    <row r="363" customFormat="false" ht="15" hidden="false" customHeight="false" outlineLevel="0" collapsed="false">
      <c r="A363" s="5" t="s">
        <v>247</v>
      </c>
      <c r="B363" s="5" t="s">
        <v>50</v>
      </c>
      <c r="C363" s="5" t="n">
        <v>2019</v>
      </c>
      <c r="D363" s="5" t="s">
        <v>49</v>
      </c>
      <c r="E363" s="5" t="s">
        <v>46</v>
      </c>
      <c r="F363" s="5" t="s">
        <v>39</v>
      </c>
      <c r="G363" s="6" t="n">
        <v>237</v>
      </c>
      <c r="H363" s="6" t="n">
        <v>52</v>
      </c>
      <c r="I363" s="7" t="n">
        <f aca="false">(G363-H363)/G363</f>
        <v>0.780590717299578</v>
      </c>
      <c r="J363" s="15" t="n">
        <v>0.4</v>
      </c>
      <c r="K363" s="11" t="str">
        <f aca="false">IF(I363&lt;J363,"TAK","NIE")</f>
        <v>NIE</v>
      </c>
    </row>
    <row r="364" customFormat="false" ht="15" hidden="false" customHeight="false" outlineLevel="0" collapsed="false">
      <c r="A364" s="5" t="s">
        <v>248</v>
      </c>
      <c r="B364" s="5" t="s">
        <v>50</v>
      </c>
      <c r="C364" s="5" t="n">
        <v>2019</v>
      </c>
      <c r="D364" s="5" t="s">
        <v>49</v>
      </c>
      <c r="E364" s="5" t="s">
        <v>46</v>
      </c>
      <c r="F364" s="5" t="s">
        <v>39</v>
      </c>
      <c r="G364" s="6" t="n">
        <v>626</v>
      </c>
      <c r="H364" s="6" t="n">
        <v>246</v>
      </c>
      <c r="I364" s="7" t="n">
        <f aca="false">(G364-H364)/G364</f>
        <v>0.60702875399361</v>
      </c>
      <c r="J364" s="15" t="n">
        <v>0.4</v>
      </c>
      <c r="K364" s="11" t="str">
        <f aca="false">IF(I364&lt;J364,"TAK","NIE")</f>
        <v>NIE</v>
      </c>
    </row>
    <row r="365" customFormat="false" ht="15" hidden="false" customHeight="false" outlineLevel="0" collapsed="false">
      <c r="A365" s="5" t="s">
        <v>249</v>
      </c>
      <c r="B365" s="5" t="s">
        <v>50</v>
      </c>
      <c r="C365" s="5" t="n">
        <v>2019</v>
      </c>
      <c r="D365" s="5" t="s">
        <v>49</v>
      </c>
      <c r="E365" s="5" t="s">
        <v>46</v>
      </c>
      <c r="F365" s="5" t="s">
        <v>39</v>
      </c>
      <c r="G365" s="6" t="n">
        <v>237</v>
      </c>
      <c r="H365" s="6" t="n">
        <v>59</v>
      </c>
      <c r="I365" s="7" t="n">
        <f aca="false">(G365-H365)/G365</f>
        <v>0.751054852320675</v>
      </c>
      <c r="J365" s="15" t="n">
        <v>0.4</v>
      </c>
      <c r="K365" s="11" t="str">
        <f aca="false">IF(I365&lt;J365,"TAK","NIE")</f>
        <v>NIE</v>
      </c>
    </row>
    <row r="366" customFormat="false" ht="15" hidden="false" customHeight="false" outlineLevel="0" collapsed="false">
      <c r="A366" s="5" t="s">
        <v>250</v>
      </c>
      <c r="B366" s="5" t="s">
        <v>50</v>
      </c>
      <c r="C366" s="5" t="n">
        <v>2019</v>
      </c>
      <c r="D366" s="5" t="s">
        <v>49</v>
      </c>
      <c r="E366" s="5" t="s">
        <v>46</v>
      </c>
      <c r="F366" s="5" t="s">
        <v>39</v>
      </c>
      <c r="G366" s="6" t="n">
        <v>237</v>
      </c>
      <c r="H366" s="6" t="n">
        <v>81</v>
      </c>
      <c r="I366" s="7" t="n">
        <f aca="false">(G366-H366)/G366</f>
        <v>0.658227848101266</v>
      </c>
      <c r="J366" s="15" t="n">
        <v>0.4</v>
      </c>
      <c r="K366" s="11" t="str">
        <f aca="false">IF(I366&lt;J366,"TAK","NIE")</f>
        <v>NIE</v>
      </c>
    </row>
    <row r="367" customFormat="false" ht="15" hidden="false" customHeight="false" outlineLevel="0" collapsed="false">
      <c r="A367" s="5" t="s">
        <v>251</v>
      </c>
      <c r="B367" s="5" t="s">
        <v>50</v>
      </c>
      <c r="C367" s="5" t="n">
        <v>2019</v>
      </c>
      <c r="D367" s="5" t="s">
        <v>49</v>
      </c>
      <c r="E367" s="5" t="s">
        <v>46</v>
      </c>
      <c r="F367" s="5" t="s">
        <v>39</v>
      </c>
      <c r="G367" s="6" t="n">
        <v>626</v>
      </c>
      <c r="H367" s="6" t="n">
        <v>224</v>
      </c>
      <c r="I367" s="7" t="n">
        <f aca="false">(G367-H367)/G367</f>
        <v>0.642172523961661</v>
      </c>
      <c r="J367" s="15" t="n">
        <v>0.4</v>
      </c>
      <c r="K367" s="11" t="str">
        <f aca="false">IF(I367&lt;J367,"TAK","NIE")</f>
        <v>NIE</v>
      </c>
    </row>
    <row r="368" customFormat="false" ht="15" hidden="false" customHeight="false" outlineLevel="0" collapsed="false">
      <c r="A368" s="5" t="s">
        <v>252</v>
      </c>
      <c r="B368" s="5" t="s">
        <v>50</v>
      </c>
      <c r="C368" s="5" t="n">
        <v>2019</v>
      </c>
      <c r="D368" s="5" t="s">
        <v>49</v>
      </c>
      <c r="E368" s="5" t="s">
        <v>46</v>
      </c>
      <c r="F368" s="5" t="s">
        <v>39</v>
      </c>
      <c r="G368" s="6" t="n">
        <v>237</v>
      </c>
      <c r="H368" s="6" t="n">
        <v>193</v>
      </c>
      <c r="I368" s="7" t="n">
        <f aca="false">(G368-H368)/G368</f>
        <v>0.185654008438819</v>
      </c>
      <c r="J368" s="15" t="n">
        <v>0.4</v>
      </c>
      <c r="K368" s="11" t="str">
        <f aca="false">IF(I368&lt;J368,"TAK","NIE")</f>
        <v>TAK</v>
      </c>
    </row>
    <row r="369" customFormat="false" ht="15" hidden="false" customHeight="false" outlineLevel="0" collapsed="false">
      <c r="A369" s="5" t="s">
        <v>253</v>
      </c>
      <c r="B369" s="5" t="s">
        <v>50</v>
      </c>
      <c r="C369" s="5" t="n">
        <v>2019</v>
      </c>
      <c r="D369" s="5" t="s">
        <v>49</v>
      </c>
      <c r="E369" s="5" t="s">
        <v>46</v>
      </c>
      <c r="F369" s="5" t="s">
        <v>39</v>
      </c>
      <c r="G369" s="6" t="n">
        <v>237</v>
      </c>
      <c r="H369" s="6" t="n">
        <v>105</v>
      </c>
      <c r="I369" s="7" t="n">
        <f aca="false">(G369-H369)/G369</f>
        <v>0.556962025316456</v>
      </c>
      <c r="J369" s="15" t="n">
        <v>0.4</v>
      </c>
      <c r="K369" s="11" t="str">
        <f aca="false">IF(I369&lt;J369,"TAK","NIE")</f>
        <v>NIE</v>
      </c>
    </row>
    <row r="370" customFormat="false" ht="15" hidden="false" customHeight="false" outlineLevel="0" collapsed="false">
      <c r="A370" s="5" t="s">
        <v>254</v>
      </c>
      <c r="B370" s="5" t="s">
        <v>50</v>
      </c>
      <c r="C370" s="5" t="n">
        <v>2019</v>
      </c>
      <c r="D370" s="5" t="s">
        <v>49</v>
      </c>
      <c r="E370" s="5" t="s">
        <v>46</v>
      </c>
      <c r="F370" s="5" t="s">
        <v>39</v>
      </c>
      <c r="G370" s="6" t="n">
        <v>237</v>
      </c>
      <c r="H370" s="6" t="n">
        <v>13</v>
      </c>
      <c r="I370" s="7" t="n">
        <f aca="false">(G370-H370)/G370</f>
        <v>0.945147679324895</v>
      </c>
      <c r="J370" s="15" t="n">
        <v>0.4</v>
      </c>
      <c r="K370" s="11" t="str">
        <f aca="false">IF(I370&lt;J370,"TAK","NIE")</f>
        <v>NIE</v>
      </c>
    </row>
    <row r="371" customFormat="false" ht="15" hidden="false" customHeight="false" outlineLevel="0" collapsed="false">
      <c r="A371" s="5" t="s">
        <v>255</v>
      </c>
      <c r="B371" s="5" t="s">
        <v>50</v>
      </c>
      <c r="C371" s="5" t="n">
        <v>2019</v>
      </c>
      <c r="D371" s="5" t="s">
        <v>49</v>
      </c>
      <c r="E371" s="5" t="s">
        <v>46</v>
      </c>
      <c r="F371" s="5" t="s">
        <v>39</v>
      </c>
      <c r="G371" s="6" t="n">
        <v>626</v>
      </c>
      <c r="H371" s="6" t="n">
        <v>173</v>
      </c>
      <c r="I371" s="7" t="n">
        <f aca="false">(G371-H371)/G371</f>
        <v>0.723642172523962</v>
      </c>
      <c r="J371" s="15" t="n">
        <v>0.4</v>
      </c>
      <c r="K371" s="11" t="str">
        <f aca="false">IF(I371&lt;J371,"TAK","NIE")</f>
        <v>NIE</v>
      </c>
    </row>
    <row r="372" customFormat="false" ht="15" hidden="false" customHeight="false" outlineLevel="0" collapsed="false">
      <c r="A372" s="5" t="s">
        <v>256</v>
      </c>
      <c r="B372" s="5" t="s">
        <v>50</v>
      </c>
      <c r="C372" s="5" t="n">
        <v>2019</v>
      </c>
      <c r="D372" s="5" t="s">
        <v>49</v>
      </c>
      <c r="E372" s="5" t="s">
        <v>46</v>
      </c>
      <c r="F372" s="5" t="s">
        <v>39</v>
      </c>
      <c r="G372" s="6" t="n">
        <v>626</v>
      </c>
      <c r="H372" s="6" t="n">
        <v>232</v>
      </c>
      <c r="I372" s="7" t="n">
        <f aca="false">(G372-H372)/G372</f>
        <v>0.629392971246006</v>
      </c>
      <c r="J372" s="15" t="n">
        <v>0.4</v>
      </c>
      <c r="K372" s="11" t="str">
        <f aca="false">IF(I372&lt;J372,"TAK","NIE")</f>
        <v>NIE</v>
      </c>
    </row>
    <row r="373" customFormat="false" ht="15" hidden="false" customHeight="false" outlineLevel="0" collapsed="false">
      <c r="A373" s="5" t="s">
        <v>257</v>
      </c>
      <c r="B373" s="5" t="s">
        <v>50</v>
      </c>
      <c r="C373" s="5" t="n">
        <v>2019</v>
      </c>
      <c r="D373" s="5" t="s">
        <v>49</v>
      </c>
      <c r="E373" s="5" t="s">
        <v>46</v>
      </c>
      <c r="F373" s="5" t="s">
        <v>39</v>
      </c>
      <c r="G373" s="6" t="n">
        <v>626</v>
      </c>
      <c r="H373" s="6" t="n">
        <v>106</v>
      </c>
      <c r="I373" s="7" t="n">
        <f aca="false">(G373-H373)/G373</f>
        <v>0.830670926517572</v>
      </c>
      <c r="J373" s="15" t="n">
        <v>0.4</v>
      </c>
      <c r="K373" s="11" t="str">
        <f aca="false">IF(I373&lt;J373,"TAK","NIE")</f>
        <v>NIE</v>
      </c>
    </row>
    <row r="374" customFormat="false" ht="15" hidden="false" customHeight="false" outlineLevel="0" collapsed="false">
      <c r="A374" s="5" t="s">
        <v>258</v>
      </c>
      <c r="B374" s="5" t="s">
        <v>50</v>
      </c>
      <c r="C374" s="5" t="n">
        <v>2019</v>
      </c>
      <c r="D374" s="5" t="s">
        <v>49</v>
      </c>
      <c r="E374" s="5" t="s">
        <v>46</v>
      </c>
      <c r="F374" s="5" t="s">
        <v>39</v>
      </c>
      <c r="G374" s="6" t="n">
        <v>237</v>
      </c>
      <c r="H374" s="6" t="n">
        <v>67</v>
      </c>
      <c r="I374" s="7" t="n">
        <f aca="false">(G374-H374)/G374</f>
        <v>0.717299578059072</v>
      </c>
      <c r="J374" s="15" t="n">
        <v>0.4</v>
      </c>
      <c r="K374" s="11" t="str">
        <f aca="false">IF(I374&lt;J374,"TAK","NIE")</f>
        <v>NIE</v>
      </c>
    </row>
    <row r="375" customFormat="false" ht="15" hidden="false" customHeight="false" outlineLevel="0" collapsed="false">
      <c r="A375" s="5" t="s">
        <v>259</v>
      </c>
      <c r="B375" s="5" t="s">
        <v>50</v>
      </c>
      <c r="C375" s="5" t="n">
        <v>2019</v>
      </c>
      <c r="D375" s="5" t="s">
        <v>49</v>
      </c>
      <c r="E375" s="5" t="s">
        <v>46</v>
      </c>
      <c r="F375" s="5" t="s">
        <v>39</v>
      </c>
      <c r="G375" s="6" t="n">
        <v>237</v>
      </c>
      <c r="H375" s="6" t="n">
        <v>64</v>
      </c>
      <c r="I375" s="7" t="n">
        <f aca="false">(G375-H375)/G375</f>
        <v>0.729957805907173</v>
      </c>
      <c r="J375" s="15" t="n">
        <v>0.4</v>
      </c>
      <c r="K375" s="11" t="str">
        <f aca="false">IF(I375&lt;J375,"TAK","NIE")</f>
        <v>NIE</v>
      </c>
    </row>
    <row r="376" customFormat="false" ht="15" hidden="false" customHeight="false" outlineLevel="0" collapsed="false">
      <c r="A376" s="5" t="s">
        <v>260</v>
      </c>
      <c r="B376" s="5" t="s">
        <v>50</v>
      </c>
      <c r="C376" s="5" t="n">
        <v>2019</v>
      </c>
      <c r="D376" s="5" t="s">
        <v>49</v>
      </c>
      <c r="E376" s="5" t="s">
        <v>46</v>
      </c>
      <c r="F376" s="5" t="s">
        <v>39</v>
      </c>
      <c r="G376" s="6" t="n">
        <v>626</v>
      </c>
      <c r="H376" s="6" t="n">
        <v>177</v>
      </c>
      <c r="I376" s="7" t="n">
        <f aca="false">(G376-H376)/G376</f>
        <v>0.717252396166134</v>
      </c>
      <c r="J376" s="15" t="n">
        <v>0.4</v>
      </c>
      <c r="K376" s="11" t="str">
        <f aca="false">IF(I376&lt;J376,"TAK","NIE")</f>
        <v>NIE</v>
      </c>
    </row>
    <row r="377" customFormat="false" ht="15" hidden="false" customHeight="false" outlineLevel="0" collapsed="false">
      <c r="A377" s="5" t="s">
        <v>261</v>
      </c>
      <c r="B377" s="5" t="s">
        <v>50</v>
      </c>
      <c r="C377" s="5" t="n">
        <v>2019</v>
      </c>
      <c r="D377" s="5" t="s">
        <v>49</v>
      </c>
      <c r="E377" s="5" t="s">
        <v>46</v>
      </c>
      <c r="F377" s="5" t="s">
        <v>39</v>
      </c>
      <c r="G377" s="6" t="n">
        <v>626</v>
      </c>
      <c r="H377" s="6" t="n">
        <v>181</v>
      </c>
      <c r="I377" s="7" t="n">
        <f aca="false">(G377-H377)/G377</f>
        <v>0.710862619808307</v>
      </c>
      <c r="J377" s="15" t="n">
        <v>0.4</v>
      </c>
      <c r="K377" s="11" t="str">
        <f aca="false">IF(I377&lt;J377,"TAK","NIE")</f>
        <v>NIE</v>
      </c>
    </row>
    <row r="378" customFormat="false" ht="15" hidden="false" customHeight="false" outlineLevel="0" collapsed="false">
      <c r="A378" s="5" t="s">
        <v>262</v>
      </c>
      <c r="B378" s="5" t="s">
        <v>50</v>
      </c>
      <c r="C378" s="5" t="n">
        <v>2019</v>
      </c>
      <c r="D378" s="5" t="s">
        <v>49</v>
      </c>
      <c r="E378" s="5" t="s">
        <v>46</v>
      </c>
      <c r="F378" s="5" t="s">
        <v>39</v>
      </c>
      <c r="G378" s="6" t="n">
        <v>626</v>
      </c>
      <c r="H378" s="6" t="n">
        <v>84</v>
      </c>
      <c r="I378" s="7" t="n">
        <f aca="false">(G378-H378)/G378</f>
        <v>0.865814696485623</v>
      </c>
      <c r="J378" s="15" t="n">
        <v>0.4</v>
      </c>
      <c r="K378" s="11" t="str">
        <f aca="false">IF(I378&lt;J378,"TAK","NIE")</f>
        <v>NIE</v>
      </c>
    </row>
    <row r="379" customFormat="false" ht="15" hidden="false" customHeight="false" outlineLevel="0" collapsed="false">
      <c r="A379" s="5" t="s">
        <v>239</v>
      </c>
      <c r="B379" s="5" t="s">
        <v>50</v>
      </c>
      <c r="C379" s="5" t="n">
        <v>2019</v>
      </c>
      <c r="D379" s="5" t="s">
        <v>49</v>
      </c>
      <c r="E379" s="5" t="s">
        <v>46</v>
      </c>
      <c r="F379" s="5" t="s">
        <v>40</v>
      </c>
      <c r="G379" s="6" t="n">
        <v>568</v>
      </c>
      <c r="H379" s="6" t="n">
        <v>532</v>
      </c>
      <c r="I379" s="7" t="n">
        <f aca="false">(G379-H379)/G379</f>
        <v>0.0633802816901408</v>
      </c>
      <c r="J379" s="15" t="n">
        <v>0.3195</v>
      </c>
      <c r="K379" s="11" t="str">
        <f aca="false">IF(I379&lt;J379,"TAK","NIE")</f>
        <v>TAK</v>
      </c>
    </row>
    <row r="380" customFormat="false" ht="15" hidden="false" customHeight="false" outlineLevel="0" collapsed="false">
      <c r="A380" s="5" t="s">
        <v>240</v>
      </c>
      <c r="B380" s="5" t="s">
        <v>50</v>
      </c>
      <c r="C380" s="5" t="n">
        <v>2019</v>
      </c>
      <c r="D380" s="5" t="s">
        <v>49</v>
      </c>
      <c r="E380" s="5" t="s">
        <v>46</v>
      </c>
      <c r="F380" s="5" t="s">
        <v>40</v>
      </c>
      <c r="G380" s="6" t="n">
        <v>568</v>
      </c>
      <c r="H380" s="6" t="n">
        <v>214</v>
      </c>
      <c r="I380" s="7" t="n">
        <f aca="false">(G380-H380)/G380</f>
        <v>0.623239436619718</v>
      </c>
      <c r="J380" s="15" t="n">
        <v>0.3195</v>
      </c>
      <c r="K380" s="11" t="str">
        <f aca="false">IF(I380&lt;J380,"TAK","NIE")</f>
        <v>NIE</v>
      </c>
    </row>
    <row r="381" customFormat="false" ht="15" hidden="false" customHeight="false" outlineLevel="0" collapsed="false">
      <c r="A381" s="5" t="s">
        <v>241</v>
      </c>
      <c r="B381" s="5" t="s">
        <v>50</v>
      </c>
      <c r="C381" s="5" t="n">
        <v>2019</v>
      </c>
      <c r="D381" s="5" t="s">
        <v>49</v>
      </c>
      <c r="E381" s="5" t="s">
        <v>46</v>
      </c>
      <c r="F381" s="5" t="s">
        <v>40</v>
      </c>
      <c r="G381" s="6" t="n">
        <v>230</v>
      </c>
      <c r="H381" s="6" t="n">
        <v>209</v>
      </c>
      <c r="I381" s="7" t="n">
        <f aca="false">(G381-H381)/G381</f>
        <v>0.091304347826087</v>
      </c>
      <c r="J381" s="15" t="n">
        <v>0.3195</v>
      </c>
      <c r="K381" s="11" t="str">
        <f aca="false">IF(I381&lt;J381,"TAK","NIE")</f>
        <v>TAK</v>
      </c>
    </row>
    <row r="382" customFormat="false" ht="15" hidden="false" customHeight="false" outlineLevel="0" collapsed="false">
      <c r="A382" s="5" t="s">
        <v>243</v>
      </c>
      <c r="B382" s="5" t="s">
        <v>50</v>
      </c>
      <c r="C382" s="5" t="n">
        <v>2019</v>
      </c>
      <c r="D382" s="5" t="s">
        <v>49</v>
      </c>
      <c r="E382" s="5" t="s">
        <v>46</v>
      </c>
      <c r="F382" s="5" t="s">
        <v>40</v>
      </c>
      <c r="G382" s="6" t="n">
        <v>568</v>
      </c>
      <c r="H382" s="6" t="n">
        <v>235</v>
      </c>
      <c r="I382" s="7" t="n">
        <f aca="false">(G382-H382)/G382</f>
        <v>0.586267605633803</v>
      </c>
      <c r="J382" s="15" t="n">
        <v>0.3195</v>
      </c>
      <c r="K382" s="11" t="str">
        <f aca="false">IF(I382&lt;J382,"TAK","NIE")</f>
        <v>NIE</v>
      </c>
    </row>
    <row r="383" customFormat="false" ht="15" hidden="false" customHeight="false" outlineLevel="0" collapsed="false">
      <c r="A383" s="5" t="s">
        <v>244</v>
      </c>
      <c r="B383" s="5" t="s">
        <v>50</v>
      </c>
      <c r="C383" s="5" t="n">
        <v>2019</v>
      </c>
      <c r="D383" s="5" t="s">
        <v>49</v>
      </c>
      <c r="E383" s="5" t="s">
        <v>46</v>
      </c>
      <c r="F383" s="5" t="s">
        <v>40</v>
      </c>
      <c r="G383" s="6" t="n">
        <v>230</v>
      </c>
      <c r="H383" s="6" t="n">
        <v>83</v>
      </c>
      <c r="I383" s="7" t="n">
        <f aca="false">(G383-H383)/G383</f>
        <v>0.639130434782609</v>
      </c>
      <c r="J383" s="15" t="n">
        <v>0.3195</v>
      </c>
      <c r="K383" s="11" t="str">
        <f aca="false">IF(I383&lt;J383,"TAK","NIE")</f>
        <v>NIE</v>
      </c>
    </row>
    <row r="384" customFormat="false" ht="15" hidden="false" customHeight="false" outlineLevel="0" collapsed="false">
      <c r="A384" s="5" t="s">
        <v>245</v>
      </c>
      <c r="B384" s="5" t="s">
        <v>50</v>
      </c>
      <c r="C384" s="5" t="n">
        <v>2019</v>
      </c>
      <c r="D384" s="5" t="s">
        <v>49</v>
      </c>
      <c r="E384" s="5" t="s">
        <v>46</v>
      </c>
      <c r="F384" s="5" t="s">
        <v>40</v>
      </c>
      <c r="G384" s="6" t="n">
        <v>568</v>
      </c>
      <c r="H384" s="6" t="n">
        <v>262</v>
      </c>
      <c r="I384" s="7" t="n">
        <f aca="false">(G384-H384)/G384</f>
        <v>0.538732394366197</v>
      </c>
      <c r="J384" s="15" t="n">
        <v>0.3195</v>
      </c>
      <c r="K384" s="11" t="str">
        <f aca="false">IF(I384&lt;J384,"TAK","NIE")</f>
        <v>NIE</v>
      </c>
    </row>
    <row r="385" customFormat="false" ht="15" hidden="false" customHeight="false" outlineLevel="0" collapsed="false">
      <c r="A385" s="5" t="s">
        <v>246</v>
      </c>
      <c r="B385" s="5" t="s">
        <v>50</v>
      </c>
      <c r="C385" s="5" t="n">
        <v>2019</v>
      </c>
      <c r="D385" s="5" t="s">
        <v>49</v>
      </c>
      <c r="E385" s="5" t="s">
        <v>46</v>
      </c>
      <c r="F385" s="5" t="s">
        <v>40</v>
      </c>
      <c r="G385" s="6" t="n">
        <v>567</v>
      </c>
      <c r="H385" s="6" t="n">
        <v>173</v>
      </c>
      <c r="I385" s="7" t="n">
        <f aca="false">(G385-H385)/G385</f>
        <v>0.694885361552028</v>
      </c>
      <c r="J385" s="15" t="n">
        <v>0.3195</v>
      </c>
      <c r="K385" s="11" t="str">
        <f aca="false">IF(I385&lt;J385,"TAK","NIE")</f>
        <v>NIE</v>
      </c>
    </row>
    <row r="386" customFormat="false" ht="15" hidden="false" customHeight="false" outlineLevel="0" collapsed="false">
      <c r="A386" s="5" t="s">
        <v>247</v>
      </c>
      <c r="B386" s="5" t="s">
        <v>50</v>
      </c>
      <c r="C386" s="5" t="n">
        <v>2019</v>
      </c>
      <c r="D386" s="5" t="s">
        <v>49</v>
      </c>
      <c r="E386" s="5" t="s">
        <v>46</v>
      </c>
      <c r="F386" s="5" t="s">
        <v>40</v>
      </c>
      <c r="G386" s="6" t="n">
        <v>230</v>
      </c>
      <c r="H386" s="6" t="n">
        <v>113</v>
      </c>
      <c r="I386" s="7" t="n">
        <f aca="false">(G386-H386)/G386</f>
        <v>0.508695652173913</v>
      </c>
      <c r="J386" s="15" t="n">
        <v>0.3195</v>
      </c>
      <c r="K386" s="11" t="str">
        <f aca="false">IF(I386&lt;J386,"TAK","NIE")</f>
        <v>NIE</v>
      </c>
    </row>
    <row r="387" customFormat="false" ht="15" hidden="false" customHeight="false" outlineLevel="0" collapsed="false">
      <c r="A387" s="5" t="s">
        <v>248</v>
      </c>
      <c r="B387" s="5" t="s">
        <v>50</v>
      </c>
      <c r="C387" s="5" t="n">
        <v>2019</v>
      </c>
      <c r="D387" s="5" t="s">
        <v>49</v>
      </c>
      <c r="E387" s="5" t="s">
        <v>46</v>
      </c>
      <c r="F387" s="5" t="s">
        <v>40</v>
      </c>
      <c r="G387" s="6" t="n">
        <v>568</v>
      </c>
      <c r="H387" s="6" t="n">
        <v>272</v>
      </c>
      <c r="I387" s="7" t="n">
        <f aca="false">(G387-H387)/G387</f>
        <v>0.52112676056338</v>
      </c>
      <c r="J387" s="15" t="n">
        <v>0.3195</v>
      </c>
      <c r="K387" s="11" t="str">
        <f aca="false">IF(I387&lt;J387,"TAK","NIE")</f>
        <v>NIE</v>
      </c>
    </row>
    <row r="388" customFormat="false" ht="15" hidden="false" customHeight="false" outlineLevel="0" collapsed="false">
      <c r="A388" s="5" t="s">
        <v>249</v>
      </c>
      <c r="B388" s="5" t="s">
        <v>50</v>
      </c>
      <c r="C388" s="5" t="n">
        <v>2019</v>
      </c>
      <c r="D388" s="5" t="s">
        <v>49</v>
      </c>
      <c r="E388" s="5" t="s">
        <v>46</v>
      </c>
      <c r="F388" s="5" t="s">
        <v>40</v>
      </c>
      <c r="G388" s="6" t="n">
        <v>230</v>
      </c>
      <c r="H388" s="6" t="n">
        <v>61</v>
      </c>
      <c r="I388" s="7" t="n">
        <f aca="false">(G388-H388)/G388</f>
        <v>0.734782608695652</v>
      </c>
      <c r="J388" s="15" t="n">
        <v>0.3195</v>
      </c>
      <c r="K388" s="11" t="str">
        <f aca="false">IF(I388&lt;J388,"TAK","NIE")</f>
        <v>NIE</v>
      </c>
    </row>
    <row r="389" customFormat="false" ht="15" hidden="false" customHeight="false" outlineLevel="0" collapsed="false">
      <c r="A389" s="5" t="s">
        <v>250</v>
      </c>
      <c r="B389" s="5" t="s">
        <v>50</v>
      </c>
      <c r="C389" s="5" t="n">
        <v>2019</v>
      </c>
      <c r="D389" s="5" t="s">
        <v>49</v>
      </c>
      <c r="E389" s="5" t="s">
        <v>46</v>
      </c>
      <c r="F389" s="5" t="s">
        <v>40</v>
      </c>
      <c r="G389" s="6" t="n">
        <v>230</v>
      </c>
      <c r="H389" s="6" t="n">
        <v>80</v>
      </c>
      <c r="I389" s="7" t="n">
        <f aca="false">(G389-H389)/G389</f>
        <v>0.652173913043478</v>
      </c>
      <c r="J389" s="15" t="n">
        <v>0.3195</v>
      </c>
      <c r="K389" s="11" t="str">
        <f aca="false">IF(I389&lt;J389,"TAK","NIE")</f>
        <v>NIE</v>
      </c>
    </row>
    <row r="390" customFormat="false" ht="15" hidden="false" customHeight="false" outlineLevel="0" collapsed="false">
      <c r="A390" s="5" t="s">
        <v>251</v>
      </c>
      <c r="B390" s="5" t="s">
        <v>50</v>
      </c>
      <c r="C390" s="5" t="n">
        <v>2019</v>
      </c>
      <c r="D390" s="5" t="s">
        <v>49</v>
      </c>
      <c r="E390" s="5" t="s">
        <v>46</v>
      </c>
      <c r="F390" s="5" t="s">
        <v>40</v>
      </c>
      <c r="G390" s="6" t="n">
        <v>568</v>
      </c>
      <c r="H390" s="6" t="n">
        <v>237</v>
      </c>
      <c r="I390" s="7" t="n">
        <f aca="false">(G390-H390)/G390</f>
        <v>0.582746478873239</v>
      </c>
      <c r="J390" s="15" t="n">
        <v>0.3195</v>
      </c>
      <c r="K390" s="11" t="str">
        <f aca="false">IF(I390&lt;J390,"TAK","NIE")</f>
        <v>NIE</v>
      </c>
    </row>
    <row r="391" customFormat="false" ht="15" hidden="false" customHeight="false" outlineLevel="0" collapsed="false">
      <c r="A391" s="5" t="s">
        <v>252</v>
      </c>
      <c r="B391" s="5" t="s">
        <v>50</v>
      </c>
      <c r="C391" s="5" t="n">
        <v>2019</v>
      </c>
      <c r="D391" s="5" t="s">
        <v>49</v>
      </c>
      <c r="E391" s="5" t="s">
        <v>46</v>
      </c>
      <c r="F391" s="5" t="s">
        <v>40</v>
      </c>
      <c r="G391" s="6" t="n">
        <v>230</v>
      </c>
      <c r="H391" s="6" t="n">
        <v>103</v>
      </c>
      <c r="I391" s="7" t="n">
        <f aca="false">(G391-H391)/G391</f>
        <v>0.552173913043478</v>
      </c>
      <c r="J391" s="15" t="n">
        <v>0.3195</v>
      </c>
      <c r="K391" s="11" t="str">
        <f aca="false">IF(I391&lt;J391,"TAK","NIE")</f>
        <v>NIE</v>
      </c>
    </row>
    <row r="392" customFormat="false" ht="15" hidden="false" customHeight="false" outlineLevel="0" collapsed="false">
      <c r="A392" s="5" t="s">
        <v>253</v>
      </c>
      <c r="B392" s="5" t="s">
        <v>50</v>
      </c>
      <c r="C392" s="5" t="n">
        <v>2019</v>
      </c>
      <c r="D392" s="5" t="s">
        <v>49</v>
      </c>
      <c r="E392" s="5" t="s">
        <v>46</v>
      </c>
      <c r="F392" s="5" t="s">
        <v>40</v>
      </c>
      <c r="G392" s="6" t="n">
        <v>230</v>
      </c>
      <c r="H392" s="6" t="n">
        <v>111</v>
      </c>
      <c r="I392" s="7" t="n">
        <f aca="false">(G392-H392)/G392</f>
        <v>0.517391304347826</v>
      </c>
      <c r="J392" s="15" t="n">
        <v>0.3195</v>
      </c>
      <c r="K392" s="11" t="str">
        <f aca="false">IF(I392&lt;J392,"TAK","NIE")</f>
        <v>NIE</v>
      </c>
    </row>
    <row r="393" customFormat="false" ht="15" hidden="false" customHeight="false" outlineLevel="0" collapsed="false">
      <c r="A393" s="5" t="s">
        <v>254</v>
      </c>
      <c r="B393" s="5" t="s">
        <v>50</v>
      </c>
      <c r="C393" s="5" t="n">
        <v>2019</v>
      </c>
      <c r="D393" s="5" t="s">
        <v>49</v>
      </c>
      <c r="E393" s="5" t="s">
        <v>46</v>
      </c>
      <c r="F393" s="5" t="s">
        <v>40</v>
      </c>
      <c r="G393" s="6" t="n">
        <v>230</v>
      </c>
      <c r="H393" s="6" t="n">
        <v>32</v>
      </c>
      <c r="I393" s="7" t="n">
        <f aca="false">(G393-H393)/G393</f>
        <v>0.860869565217391</v>
      </c>
      <c r="J393" s="15" t="n">
        <v>0.3195</v>
      </c>
      <c r="K393" s="11" t="str">
        <f aca="false">IF(I393&lt;J393,"TAK","NIE")</f>
        <v>NIE</v>
      </c>
    </row>
    <row r="394" customFormat="false" ht="15" hidden="false" customHeight="false" outlineLevel="0" collapsed="false">
      <c r="A394" s="5" t="s">
        <v>255</v>
      </c>
      <c r="B394" s="5" t="s">
        <v>50</v>
      </c>
      <c r="C394" s="5" t="n">
        <v>2019</v>
      </c>
      <c r="D394" s="5" t="s">
        <v>49</v>
      </c>
      <c r="E394" s="5" t="s">
        <v>46</v>
      </c>
      <c r="F394" s="5" t="s">
        <v>40</v>
      </c>
      <c r="G394" s="6" t="n">
        <v>568</v>
      </c>
      <c r="H394" s="6" t="n">
        <v>189</v>
      </c>
      <c r="I394" s="7" t="n">
        <f aca="false">(G394-H394)/G394</f>
        <v>0.667253521126761</v>
      </c>
      <c r="J394" s="15" t="n">
        <v>0.3195</v>
      </c>
      <c r="K394" s="11" t="str">
        <f aca="false">IF(I394&lt;J394,"TAK","NIE")</f>
        <v>NIE</v>
      </c>
    </row>
    <row r="395" customFormat="false" ht="15" hidden="false" customHeight="false" outlineLevel="0" collapsed="false">
      <c r="A395" s="5" t="s">
        <v>256</v>
      </c>
      <c r="B395" s="5" t="s">
        <v>50</v>
      </c>
      <c r="C395" s="5" t="n">
        <v>2019</v>
      </c>
      <c r="D395" s="5" t="s">
        <v>49</v>
      </c>
      <c r="E395" s="5" t="s">
        <v>46</v>
      </c>
      <c r="F395" s="5" t="s">
        <v>40</v>
      </c>
      <c r="G395" s="6" t="n">
        <v>568</v>
      </c>
      <c r="H395" s="6" t="n">
        <v>224</v>
      </c>
      <c r="I395" s="7" t="n">
        <f aca="false">(G395-H395)/G395</f>
        <v>0.605633802816901</v>
      </c>
      <c r="J395" s="15" t="n">
        <v>0.3195</v>
      </c>
      <c r="K395" s="11" t="str">
        <f aca="false">IF(I395&lt;J395,"TAK","NIE")</f>
        <v>NIE</v>
      </c>
    </row>
    <row r="396" customFormat="false" ht="15" hidden="false" customHeight="false" outlineLevel="0" collapsed="false">
      <c r="A396" s="5" t="s">
        <v>257</v>
      </c>
      <c r="B396" s="5" t="s">
        <v>50</v>
      </c>
      <c r="C396" s="5" t="n">
        <v>2019</v>
      </c>
      <c r="D396" s="5" t="s">
        <v>49</v>
      </c>
      <c r="E396" s="5" t="s">
        <v>46</v>
      </c>
      <c r="F396" s="5" t="s">
        <v>40</v>
      </c>
      <c r="G396" s="6" t="n">
        <v>568</v>
      </c>
      <c r="H396" s="6" t="n">
        <v>269</v>
      </c>
      <c r="I396" s="7" t="n">
        <f aca="false">(G396-H396)/G396</f>
        <v>0.526408450704225</v>
      </c>
      <c r="J396" s="15" t="n">
        <v>0.3195</v>
      </c>
      <c r="K396" s="11" t="str">
        <f aca="false">IF(I396&lt;J396,"TAK","NIE")</f>
        <v>NIE</v>
      </c>
    </row>
    <row r="397" customFormat="false" ht="15" hidden="false" customHeight="false" outlineLevel="0" collapsed="false">
      <c r="A397" s="5" t="s">
        <v>258</v>
      </c>
      <c r="B397" s="5" t="s">
        <v>50</v>
      </c>
      <c r="C397" s="5" t="n">
        <v>2019</v>
      </c>
      <c r="D397" s="5" t="s">
        <v>49</v>
      </c>
      <c r="E397" s="5" t="s">
        <v>46</v>
      </c>
      <c r="F397" s="5" t="s">
        <v>40</v>
      </c>
      <c r="G397" s="6" t="n">
        <v>230</v>
      </c>
      <c r="H397" s="6" t="n">
        <v>84</v>
      </c>
      <c r="I397" s="7" t="n">
        <f aca="false">(G397-H397)/G397</f>
        <v>0.634782608695652</v>
      </c>
      <c r="J397" s="15" t="n">
        <v>0.3195</v>
      </c>
      <c r="K397" s="11" t="str">
        <f aca="false">IF(I397&lt;J397,"TAK","NIE")</f>
        <v>NIE</v>
      </c>
    </row>
    <row r="398" customFormat="false" ht="15" hidden="false" customHeight="false" outlineLevel="0" collapsed="false">
      <c r="A398" s="5" t="s">
        <v>259</v>
      </c>
      <c r="B398" s="5" t="s">
        <v>50</v>
      </c>
      <c r="C398" s="5" t="n">
        <v>2019</v>
      </c>
      <c r="D398" s="5" t="s">
        <v>49</v>
      </c>
      <c r="E398" s="5" t="s">
        <v>46</v>
      </c>
      <c r="F398" s="5" t="s">
        <v>40</v>
      </c>
      <c r="G398" s="6" t="n">
        <v>230</v>
      </c>
      <c r="H398" s="6" t="n">
        <v>86</v>
      </c>
      <c r="I398" s="7" t="n">
        <f aca="false">(G398-H398)/G398</f>
        <v>0.626086956521739</v>
      </c>
      <c r="J398" s="15" t="n">
        <v>0.3195</v>
      </c>
      <c r="K398" s="11" t="str">
        <f aca="false">IF(I398&lt;J398,"TAK","NIE")</f>
        <v>NIE</v>
      </c>
    </row>
    <row r="399" customFormat="false" ht="15" hidden="false" customHeight="false" outlineLevel="0" collapsed="false">
      <c r="A399" s="5" t="s">
        <v>260</v>
      </c>
      <c r="B399" s="5" t="s">
        <v>50</v>
      </c>
      <c r="C399" s="5" t="n">
        <v>2019</v>
      </c>
      <c r="D399" s="5" t="s">
        <v>49</v>
      </c>
      <c r="E399" s="5" t="s">
        <v>46</v>
      </c>
      <c r="F399" s="5" t="s">
        <v>40</v>
      </c>
      <c r="G399" s="6" t="n">
        <v>568</v>
      </c>
      <c r="H399" s="6" t="n">
        <v>287</v>
      </c>
      <c r="I399" s="7" t="n">
        <f aca="false">(G399-H399)/G399</f>
        <v>0.494718309859155</v>
      </c>
      <c r="J399" s="15" t="n">
        <v>0.3195</v>
      </c>
      <c r="K399" s="11" t="str">
        <f aca="false">IF(I399&lt;J399,"TAK","NIE")</f>
        <v>NIE</v>
      </c>
    </row>
    <row r="400" customFormat="false" ht="15" hidden="false" customHeight="false" outlineLevel="0" collapsed="false">
      <c r="A400" s="5" t="s">
        <v>261</v>
      </c>
      <c r="B400" s="5" t="s">
        <v>50</v>
      </c>
      <c r="C400" s="5" t="n">
        <v>2019</v>
      </c>
      <c r="D400" s="5" t="s">
        <v>49</v>
      </c>
      <c r="E400" s="5" t="s">
        <v>46</v>
      </c>
      <c r="F400" s="5" t="s">
        <v>40</v>
      </c>
      <c r="G400" s="6" t="n">
        <v>567</v>
      </c>
      <c r="H400" s="6" t="n">
        <v>187</v>
      </c>
      <c r="I400" s="7" t="n">
        <f aca="false">(G400-H400)/G400</f>
        <v>0.670194003527337</v>
      </c>
      <c r="J400" s="15" t="n">
        <v>0.3195</v>
      </c>
      <c r="K400" s="11" t="str">
        <f aca="false">IF(I400&lt;J400,"TAK","NIE")</f>
        <v>NIE</v>
      </c>
    </row>
    <row r="401" customFormat="false" ht="15" hidden="false" customHeight="false" outlineLevel="0" collapsed="false">
      <c r="A401" s="5" t="s">
        <v>262</v>
      </c>
      <c r="B401" s="5" t="s">
        <v>50</v>
      </c>
      <c r="C401" s="5" t="n">
        <v>2019</v>
      </c>
      <c r="D401" s="5" t="s">
        <v>49</v>
      </c>
      <c r="E401" s="5" t="s">
        <v>46</v>
      </c>
      <c r="F401" s="5" t="s">
        <v>40</v>
      </c>
      <c r="G401" s="6" t="n">
        <v>568</v>
      </c>
      <c r="H401" s="6" t="n">
        <v>152</v>
      </c>
      <c r="I401" s="7" t="n">
        <f aca="false">(G401-H401)/G401</f>
        <v>0.732394366197183</v>
      </c>
      <c r="J401" s="15" t="n">
        <v>0.3195</v>
      </c>
      <c r="K401" s="11" t="str">
        <f aca="false">IF(I401&lt;J401,"TAK","NIE")</f>
        <v>NIE</v>
      </c>
    </row>
    <row r="402" customFormat="false" ht="15" hidden="false" customHeight="false" outlineLevel="0" collapsed="false">
      <c r="A402" s="5" t="s">
        <v>263</v>
      </c>
      <c r="B402" s="5" t="s">
        <v>51</v>
      </c>
      <c r="C402" s="5" t="n">
        <v>2019</v>
      </c>
      <c r="D402" s="5" t="s">
        <v>52</v>
      </c>
      <c r="E402" s="5" t="s">
        <v>38</v>
      </c>
      <c r="F402" s="5" t="s">
        <v>39</v>
      </c>
      <c r="G402" s="6" t="n">
        <v>506</v>
      </c>
      <c r="H402" s="6" t="n">
        <v>102</v>
      </c>
      <c r="I402" s="7" t="n">
        <f aca="false">(G402-H402)/G402</f>
        <v>0.798418972332016</v>
      </c>
      <c r="J402" s="15" t="n">
        <v>0.4766</v>
      </c>
      <c r="K402" s="11" t="str">
        <f aca="false">IF(I402&lt;J402,"TAK","NIE")</f>
        <v>NIE</v>
      </c>
    </row>
    <row r="403" customFormat="false" ht="15" hidden="false" customHeight="false" outlineLevel="0" collapsed="false">
      <c r="A403" s="5" t="s">
        <v>264</v>
      </c>
      <c r="B403" s="5" t="s">
        <v>51</v>
      </c>
      <c r="C403" s="5" t="n">
        <v>2019</v>
      </c>
      <c r="D403" s="5" t="s">
        <v>52</v>
      </c>
      <c r="E403" s="5" t="s">
        <v>38</v>
      </c>
      <c r="F403" s="5" t="s">
        <v>39</v>
      </c>
      <c r="G403" s="6" t="n">
        <v>506</v>
      </c>
      <c r="H403" s="6" t="n">
        <v>98</v>
      </c>
      <c r="I403" s="7" t="n">
        <f aca="false">(G403-H403)/G403</f>
        <v>0.806324110671937</v>
      </c>
      <c r="J403" s="15" t="n">
        <v>0.4766</v>
      </c>
      <c r="K403" s="11" t="str">
        <f aca="false">IF(I403&lt;J403,"TAK","NIE")</f>
        <v>NIE</v>
      </c>
    </row>
    <row r="404" customFormat="false" ht="15" hidden="false" customHeight="false" outlineLevel="0" collapsed="false">
      <c r="A404" s="5" t="s">
        <v>265</v>
      </c>
      <c r="B404" s="5" t="s">
        <v>51</v>
      </c>
      <c r="C404" s="5" t="n">
        <v>2019</v>
      </c>
      <c r="D404" s="5" t="s">
        <v>52</v>
      </c>
      <c r="E404" s="5" t="s">
        <v>38</v>
      </c>
      <c r="F404" s="5" t="s">
        <v>39</v>
      </c>
      <c r="G404" s="6" t="n">
        <v>466</v>
      </c>
      <c r="H404" s="6" t="n">
        <v>183</v>
      </c>
      <c r="I404" s="7" t="n">
        <f aca="false">(G404-H404)/G404</f>
        <v>0.607296137339056</v>
      </c>
      <c r="J404" s="15" t="n">
        <v>0.4766</v>
      </c>
      <c r="K404" s="11" t="str">
        <f aca="false">IF(I404&lt;J404,"TAK","NIE")</f>
        <v>NIE</v>
      </c>
    </row>
    <row r="405" customFormat="false" ht="15" hidden="false" customHeight="false" outlineLevel="0" collapsed="false">
      <c r="A405" s="5" t="s">
        <v>266</v>
      </c>
      <c r="B405" s="5" t="s">
        <v>51</v>
      </c>
      <c r="C405" s="5" t="n">
        <v>2019</v>
      </c>
      <c r="D405" s="5" t="s">
        <v>52</v>
      </c>
      <c r="E405" s="5" t="s">
        <v>38</v>
      </c>
      <c r="F405" s="5" t="s">
        <v>39</v>
      </c>
      <c r="G405" s="6" t="n">
        <v>473</v>
      </c>
      <c r="H405" s="6" t="n">
        <v>40</v>
      </c>
      <c r="I405" s="7" t="n">
        <f aca="false">(G405-H405)/G405</f>
        <v>0.915433403805497</v>
      </c>
      <c r="J405" s="15" t="n">
        <v>0.4766</v>
      </c>
      <c r="K405" s="11" t="str">
        <f aca="false">IF(I405&lt;J405,"TAK","NIE")</f>
        <v>NIE</v>
      </c>
    </row>
    <row r="406" customFormat="false" ht="15" hidden="false" customHeight="false" outlineLevel="0" collapsed="false">
      <c r="A406" s="5" t="s">
        <v>267</v>
      </c>
      <c r="B406" s="5" t="s">
        <v>51</v>
      </c>
      <c r="C406" s="5" t="n">
        <v>2019</v>
      </c>
      <c r="D406" s="5" t="s">
        <v>52</v>
      </c>
      <c r="E406" s="5" t="s">
        <v>38</v>
      </c>
      <c r="F406" s="5" t="s">
        <v>39</v>
      </c>
      <c r="G406" s="6" t="n">
        <v>506</v>
      </c>
      <c r="H406" s="6" t="n">
        <v>69</v>
      </c>
      <c r="I406" s="7" t="n">
        <f aca="false">(G406-H406)/G406</f>
        <v>0.863636363636364</v>
      </c>
      <c r="J406" s="15" t="n">
        <v>0.4766</v>
      </c>
      <c r="K406" s="11" t="str">
        <f aca="false">IF(I406&lt;J406,"TAK","NIE")</f>
        <v>NIE</v>
      </c>
    </row>
    <row r="407" customFormat="false" ht="15" hidden="false" customHeight="false" outlineLevel="0" collapsed="false">
      <c r="A407" s="5" t="s">
        <v>268</v>
      </c>
      <c r="B407" s="5" t="s">
        <v>51</v>
      </c>
      <c r="C407" s="5" t="n">
        <v>2019</v>
      </c>
      <c r="D407" s="5" t="s">
        <v>52</v>
      </c>
      <c r="E407" s="5" t="s">
        <v>38</v>
      </c>
      <c r="F407" s="5" t="s">
        <v>39</v>
      </c>
      <c r="G407" s="6" t="n">
        <v>482</v>
      </c>
      <c r="H407" s="6" t="n">
        <v>41</v>
      </c>
      <c r="I407" s="7" t="n">
        <f aca="false">(G407-H407)/G407</f>
        <v>0.9149377593361</v>
      </c>
      <c r="J407" s="15" t="n">
        <v>0.4766</v>
      </c>
      <c r="K407" s="11" t="str">
        <f aca="false">IF(I407&lt;J407,"TAK","NIE")</f>
        <v>NIE</v>
      </c>
    </row>
    <row r="408" customFormat="false" ht="15" hidden="false" customHeight="false" outlineLevel="0" collapsed="false">
      <c r="A408" s="5" t="s">
        <v>269</v>
      </c>
      <c r="B408" s="5" t="s">
        <v>51</v>
      </c>
      <c r="C408" s="5" t="n">
        <v>2019</v>
      </c>
      <c r="D408" s="5" t="s">
        <v>52</v>
      </c>
      <c r="E408" s="5" t="s">
        <v>38</v>
      </c>
      <c r="F408" s="5" t="s">
        <v>39</v>
      </c>
      <c r="G408" s="6" t="n">
        <v>506</v>
      </c>
      <c r="H408" s="6" t="n">
        <v>101</v>
      </c>
      <c r="I408" s="7" t="n">
        <f aca="false">(G408-H408)/G408</f>
        <v>0.800395256916996</v>
      </c>
      <c r="J408" s="15" t="n">
        <v>0.4766</v>
      </c>
      <c r="K408" s="11" t="str">
        <f aca="false">IF(I408&lt;J408,"TAK","NIE")</f>
        <v>NIE</v>
      </c>
    </row>
    <row r="409" customFormat="false" ht="15" hidden="false" customHeight="false" outlineLevel="0" collapsed="false">
      <c r="A409" s="5" t="s">
        <v>270</v>
      </c>
      <c r="B409" s="5" t="s">
        <v>51</v>
      </c>
      <c r="C409" s="5" t="n">
        <v>2019</v>
      </c>
      <c r="D409" s="5" t="s">
        <v>52</v>
      </c>
      <c r="E409" s="5" t="s">
        <v>38</v>
      </c>
      <c r="F409" s="5" t="s">
        <v>39</v>
      </c>
      <c r="G409" s="6" t="n">
        <v>506</v>
      </c>
      <c r="H409" s="6" t="n">
        <v>71</v>
      </c>
      <c r="I409" s="7" t="n">
        <f aca="false">(G409-H409)/G409</f>
        <v>0.859683794466403</v>
      </c>
      <c r="J409" s="15" t="n">
        <v>0.4766</v>
      </c>
      <c r="K409" s="11" t="str">
        <f aca="false">IF(I409&lt;J409,"TAK","NIE")</f>
        <v>NIE</v>
      </c>
    </row>
    <row r="410" customFormat="false" ht="15" hidden="false" customHeight="false" outlineLevel="0" collapsed="false">
      <c r="A410" s="5" t="s">
        <v>271</v>
      </c>
      <c r="B410" s="5" t="s">
        <v>51</v>
      </c>
      <c r="C410" s="5" t="n">
        <v>2019</v>
      </c>
      <c r="D410" s="5" t="s">
        <v>52</v>
      </c>
      <c r="E410" s="5" t="s">
        <v>38</v>
      </c>
      <c r="F410" s="5" t="s">
        <v>39</v>
      </c>
      <c r="G410" s="6" t="n">
        <v>482</v>
      </c>
      <c r="H410" s="6" t="n">
        <v>18</v>
      </c>
      <c r="I410" s="7" t="n">
        <f aca="false">(G410-H410)/G410</f>
        <v>0.962655601659751</v>
      </c>
      <c r="J410" s="15" t="n">
        <v>0.4766</v>
      </c>
      <c r="K410" s="11" t="str">
        <f aca="false">IF(I410&lt;J410,"TAK","NIE")</f>
        <v>NIE</v>
      </c>
    </row>
    <row r="411" customFormat="false" ht="15" hidden="false" customHeight="false" outlineLevel="0" collapsed="false">
      <c r="A411" s="5" t="s">
        <v>272</v>
      </c>
      <c r="B411" s="5" t="s">
        <v>51</v>
      </c>
      <c r="C411" s="5" t="n">
        <v>2019</v>
      </c>
      <c r="D411" s="5" t="s">
        <v>52</v>
      </c>
      <c r="E411" s="5" t="s">
        <v>38</v>
      </c>
      <c r="F411" s="5" t="s">
        <v>39</v>
      </c>
      <c r="G411" s="6" t="n">
        <v>482</v>
      </c>
      <c r="H411" s="6" t="n">
        <v>58</v>
      </c>
      <c r="I411" s="7" t="n">
        <f aca="false">(G411-H411)/G411</f>
        <v>0.879668049792531</v>
      </c>
      <c r="J411" s="15" t="n">
        <v>0.4766</v>
      </c>
      <c r="K411" s="11" t="str">
        <f aca="false">IF(I411&lt;J411,"TAK","NIE")</f>
        <v>NIE</v>
      </c>
    </row>
    <row r="412" customFormat="false" ht="15" hidden="false" customHeight="false" outlineLevel="0" collapsed="false">
      <c r="A412" s="5" t="s">
        <v>273</v>
      </c>
      <c r="B412" s="5" t="s">
        <v>51</v>
      </c>
      <c r="C412" s="5" t="n">
        <v>2019</v>
      </c>
      <c r="D412" s="5" t="s">
        <v>52</v>
      </c>
      <c r="E412" s="5" t="s">
        <v>38</v>
      </c>
      <c r="F412" s="5" t="s">
        <v>39</v>
      </c>
      <c r="G412" s="6" t="n">
        <v>506</v>
      </c>
      <c r="H412" s="6" t="n">
        <v>27</v>
      </c>
      <c r="I412" s="7" t="n">
        <f aca="false">(G412-H412)/G412</f>
        <v>0.946640316205534</v>
      </c>
      <c r="J412" s="15" t="n">
        <v>0.4766</v>
      </c>
      <c r="K412" s="11" t="str">
        <f aca="false">IF(I412&lt;J412,"TAK","NIE")</f>
        <v>NIE</v>
      </c>
    </row>
    <row r="413" customFormat="false" ht="15" hidden="false" customHeight="false" outlineLevel="0" collapsed="false">
      <c r="A413" s="5" t="s">
        <v>274</v>
      </c>
      <c r="B413" s="5" t="s">
        <v>51</v>
      </c>
      <c r="C413" s="5" t="n">
        <v>2019</v>
      </c>
      <c r="D413" s="5" t="s">
        <v>52</v>
      </c>
      <c r="E413" s="5" t="s">
        <v>38</v>
      </c>
      <c r="F413" s="5" t="s">
        <v>39</v>
      </c>
      <c r="G413" s="6" t="n">
        <v>482</v>
      </c>
      <c r="H413" s="6" t="n">
        <v>9</v>
      </c>
      <c r="I413" s="7" t="n">
        <f aca="false">(G413-H413)/G413</f>
        <v>0.981327800829876</v>
      </c>
      <c r="J413" s="15" t="n">
        <v>0.4766</v>
      </c>
      <c r="K413" s="11" t="str">
        <f aca="false">IF(I413&lt;J413,"TAK","NIE")</f>
        <v>NIE</v>
      </c>
    </row>
    <row r="414" customFormat="false" ht="15" hidden="false" customHeight="false" outlineLevel="0" collapsed="false">
      <c r="A414" s="5" t="s">
        <v>275</v>
      </c>
      <c r="B414" s="5" t="s">
        <v>51</v>
      </c>
      <c r="C414" s="5" t="n">
        <v>2019</v>
      </c>
      <c r="D414" s="5" t="s">
        <v>52</v>
      </c>
      <c r="E414" s="5" t="s">
        <v>38</v>
      </c>
      <c r="F414" s="5" t="s">
        <v>39</v>
      </c>
      <c r="G414" s="6" t="n">
        <v>482</v>
      </c>
      <c r="H414" s="6" t="n">
        <v>121</v>
      </c>
      <c r="I414" s="7" t="n">
        <f aca="false">(G414-H414)/G414</f>
        <v>0.74896265560166</v>
      </c>
      <c r="J414" s="15" t="n">
        <v>0.4766</v>
      </c>
      <c r="K414" s="11" t="str">
        <f aca="false">IF(I414&lt;J414,"TAK","NIE")</f>
        <v>NIE</v>
      </c>
    </row>
    <row r="415" customFormat="false" ht="15" hidden="false" customHeight="false" outlineLevel="0" collapsed="false">
      <c r="A415" s="5" t="s">
        <v>276</v>
      </c>
      <c r="B415" s="5" t="s">
        <v>51</v>
      </c>
      <c r="C415" s="5" t="n">
        <v>2019</v>
      </c>
      <c r="D415" s="5" t="s">
        <v>52</v>
      </c>
      <c r="E415" s="5" t="s">
        <v>38</v>
      </c>
      <c r="F415" s="5" t="s">
        <v>39</v>
      </c>
      <c r="G415" s="6" t="n">
        <v>482</v>
      </c>
      <c r="H415" s="6" t="n">
        <v>141</v>
      </c>
      <c r="I415" s="7" t="n">
        <f aca="false">(G415-H415)/G415</f>
        <v>0.70746887966805</v>
      </c>
      <c r="J415" s="15" t="n">
        <v>0.4766</v>
      </c>
      <c r="K415" s="11" t="str">
        <f aca="false">IF(I415&lt;J415,"TAK","NIE")</f>
        <v>NIE</v>
      </c>
    </row>
    <row r="416" customFormat="false" ht="15" hidden="false" customHeight="false" outlineLevel="0" collapsed="false">
      <c r="A416" s="5" t="s">
        <v>277</v>
      </c>
      <c r="B416" s="5" t="s">
        <v>51</v>
      </c>
      <c r="C416" s="5" t="n">
        <v>2019</v>
      </c>
      <c r="D416" s="5" t="s">
        <v>52</v>
      </c>
      <c r="E416" s="5" t="s">
        <v>38</v>
      </c>
      <c r="F416" s="5" t="s">
        <v>39</v>
      </c>
      <c r="G416" s="6" t="n">
        <v>482</v>
      </c>
      <c r="H416" s="6" t="n">
        <v>126</v>
      </c>
      <c r="I416" s="7" t="n">
        <f aca="false">(G416-H416)/G416</f>
        <v>0.738589211618257</v>
      </c>
      <c r="J416" s="15" t="n">
        <v>0.4766</v>
      </c>
      <c r="K416" s="11" t="str">
        <f aca="false">IF(I416&lt;J416,"TAK","NIE")</f>
        <v>NIE</v>
      </c>
    </row>
    <row r="417" customFormat="false" ht="15" hidden="false" customHeight="false" outlineLevel="0" collapsed="false">
      <c r="A417" s="5" t="s">
        <v>278</v>
      </c>
      <c r="B417" s="5" t="s">
        <v>51</v>
      </c>
      <c r="C417" s="5" t="n">
        <v>2019</v>
      </c>
      <c r="D417" s="5" t="s">
        <v>52</v>
      </c>
      <c r="E417" s="5" t="s">
        <v>38</v>
      </c>
      <c r="F417" s="5" t="s">
        <v>39</v>
      </c>
      <c r="G417" s="6" t="n">
        <v>506</v>
      </c>
      <c r="H417" s="6" t="n">
        <v>118</v>
      </c>
      <c r="I417" s="7" t="n">
        <f aca="false">(G417-H417)/G417</f>
        <v>0.766798418972332</v>
      </c>
      <c r="J417" s="15" t="n">
        <v>0.4766</v>
      </c>
      <c r="K417" s="11" t="str">
        <f aca="false">IF(I417&lt;J417,"TAK","NIE")</f>
        <v>NIE</v>
      </c>
    </row>
    <row r="418" customFormat="false" ht="15" hidden="false" customHeight="false" outlineLevel="0" collapsed="false">
      <c r="A418" s="5" t="s">
        <v>279</v>
      </c>
      <c r="B418" s="5" t="s">
        <v>51</v>
      </c>
      <c r="C418" s="5" t="n">
        <v>2019</v>
      </c>
      <c r="D418" s="5" t="s">
        <v>52</v>
      </c>
      <c r="E418" s="5" t="s">
        <v>38</v>
      </c>
      <c r="F418" s="5" t="s">
        <v>39</v>
      </c>
      <c r="G418" s="6" t="n">
        <v>466</v>
      </c>
      <c r="H418" s="6" t="n">
        <v>43</v>
      </c>
      <c r="I418" s="7" t="n">
        <f aca="false">(G418-H418)/G418</f>
        <v>0.907725321888412</v>
      </c>
      <c r="J418" s="15" t="n">
        <v>0.4766</v>
      </c>
      <c r="K418" s="11" t="str">
        <f aca="false">IF(I418&lt;J418,"TAK","NIE")</f>
        <v>NIE</v>
      </c>
    </row>
    <row r="419" customFormat="false" ht="15" hidden="false" customHeight="false" outlineLevel="0" collapsed="false">
      <c r="A419" s="5" t="s">
        <v>280</v>
      </c>
      <c r="B419" s="5" t="s">
        <v>51</v>
      </c>
      <c r="C419" s="5" t="n">
        <v>2019</v>
      </c>
      <c r="D419" s="5" t="s">
        <v>52</v>
      </c>
      <c r="E419" s="5" t="s">
        <v>38</v>
      </c>
      <c r="F419" s="5" t="s">
        <v>39</v>
      </c>
      <c r="G419" s="6" t="n">
        <v>482</v>
      </c>
      <c r="H419" s="6" t="n">
        <v>169</v>
      </c>
      <c r="I419" s="7" t="n">
        <f aca="false">(G419-H419)/G419</f>
        <v>0.649377593360996</v>
      </c>
      <c r="J419" s="15" t="n">
        <v>0.4766</v>
      </c>
      <c r="K419" s="11" t="str">
        <f aca="false">IF(I419&lt;J419,"TAK","NIE")</f>
        <v>NIE</v>
      </c>
    </row>
    <row r="420" customFormat="false" ht="15" hidden="false" customHeight="false" outlineLevel="0" collapsed="false">
      <c r="A420" s="5" t="s">
        <v>281</v>
      </c>
      <c r="B420" s="5" t="s">
        <v>51</v>
      </c>
      <c r="C420" s="5" t="n">
        <v>2019</v>
      </c>
      <c r="D420" s="5" t="s">
        <v>52</v>
      </c>
      <c r="E420" s="5" t="s">
        <v>38</v>
      </c>
      <c r="F420" s="5" t="s">
        <v>39</v>
      </c>
      <c r="G420" s="6" t="n">
        <v>473</v>
      </c>
      <c r="H420" s="6" t="n">
        <v>14</v>
      </c>
      <c r="I420" s="7" t="n">
        <f aca="false">(G420-H420)/G420</f>
        <v>0.970401691331924</v>
      </c>
      <c r="J420" s="15" t="n">
        <v>0.4766</v>
      </c>
      <c r="K420" s="11" t="str">
        <f aca="false">IF(I420&lt;J420,"TAK","NIE")</f>
        <v>NIE</v>
      </c>
    </row>
    <row r="421" customFormat="false" ht="15" hidden="false" customHeight="false" outlineLevel="0" collapsed="false">
      <c r="A421" s="5" t="s">
        <v>282</v>
      </c>
      <c r="B421" s="5" t="s">
        <v>51</v>
      </c>
      <c r="C421" s="5" t="n">
        <v>2019</v>
      </c>
      <c r="D421" s="5" t="s">
        <v>52</v>
      </c>
      <c r="E421" s="5" t="s">
        <v>38</v>
      </c>
      <c r="F421" s="5" t="s">
        <v>39</v>
      </c>
      <c r="G421" s="6" t="n">
        <v>506</v>
      </c>
      <c r="H421" s="6" t="n">
        <v>29</v>
      </c>
      <c r="I421" s="7" t="n">
        <f aca="false">(G421-H421)/G421</f>
        <v>0.942687747035573</v>
      </c>
      <c r="J421" s="15" t="n">
        <v>0.4766</v>
      </c>
      <c r="K421" s="11" t="str">
        <f aca="false">IF(I421&lt;J421,"TAK","NIE")</f>
        <v>NIE</v>
      </c>
    </row>
    <row r="422" customFormat="false" ht="15" hidden="false" customHeight="false" outlineLevel="0" collapsed="false">
      <c r="A422" s="5" t="s">
        <v>283</v>
      </c>
      <c r="B422" s="5" t="s">
        <v>51</v>
      </c>
      <c r="C422" s="5" t="n">
        <v>2019</v>
      </c>
      <c r="D422" s="5" t="s">
        <v>52</v>
      </c>
      <c r="E422" s="5" t="s">
        <v>38</v>
      </c>
      <c r="F422" s="5" t="s">
        <v>39</v>
      </c>
      <c r="G422" s="6" t="n">
        <v>466</v>
      </c>
      <c r="H422" s="6" t="n">
        <v>40</v>
      </c>
      <c r="I422" s="7" t="n">
        <f aca="false">(G422-H422)/G422</f>
        <v>0.914163090128755</v>
      </c>
      <c r="J422" s="15" t="n">
        <v>0.4766</v>
      </c>
      <c r="K422" s="11" t="str">
        <f aca="false">IF(I422&lt;J422,"TAK","NIE")</f>
        <v>NIE</v>
      </c>
    </row>
    <row r="423" customFormat="false" ht="15" hidden="false" customHeight="false" outlineLevel="0" collapsed="false">
      <c r="A423" s="5" t="s">
        <v>284</v>
      </c>
      <c r="B423" s="5" t="s">
        <v>51</v>
      </c>
      <c r="C423" s="5" t="n">
        <v>2019</v>
      </c>
      <c r="D423" s="5" t="s">
        <v>52</v>
      </c>
      <c r="E423" s="5" t="s">
        <v>38</v>
      </c>
      <c r="F423" s="5" t="s">
        <v>39</v>
      </c>
      <c r="G423" s="6" t="n">
        <v>482</v>
      </c>
      <c r="H423" s="6" t="n">
        <v>16</v>
      </c>
      <c r="I423" s="7" t="n">
        <f aca="false">(G423-H423)/G423</f>
        <v>0.966804979253112</v>
      </c>
      <c r="J423" s="15" t="n">
        <v>0.4766</v>
      </c>
      <c r="K423" s="11" t="str">
        <f aca="false">IF(I423&lt;J423,"TAK","NIE")</f>
        <v>NIE</v>
      </c>
    </row>
    <row r="424" customFormat="false" ht="15" hidden="false" customHeight="false" outlineLevel="0" collapsed="false">
      <c r="A424" s="5" t="s">
        <v>285</v>
      </c>
      <c r="B424" s="5" t="s">
        <v>51</v>
      </c>
      <c r="C424" s="5" t="n">
        <v>2019</v>
      </c>
      <c r="D424" s="5" t="s">
        <v>52</v>
      </c>
      <c r="E424" s="5" t="s">
        <v>38</v>
      </c>
      <c r="F424" s="5" t="s">
        <v>39</v>
      </c>
      <c r="G424" s="6" t="n">
        <v>506</v>
      </c>
      <c r="H424" s="6" t="n">
        <v>141</v>
      </c>
      <c r="I424" s="7" t="n">
        <f aca="false">(G424-H424)/G424</f>
        <v>0.721343873517787</v>
      </c>
      <c r="J424" s="15" t="n">
        <v>0.4766</v>
      </c>
      <c r="K424" s="11" t="str">
        <f aca="false">IF(I424&lt;J424,"TAK","NIE")</f>
        <v>NIE</v>
      </c>
    </row>
    <row r="425" customFormat="false" ht="15" hidden="false" customHeight="false" outlineLevel="0" collapsed="false">
      <c r="A425" s="5" t="s">
        <v>286</v>
      </c>
      <c r="B425" s="5" t="s">
        <v>51</v>
      </c>
      <c r="C425" s="5" t="n">
        <v>2019</v>
      </c>
      <c r="D425" s="5" t="s">
        <v>52</v>
      </c>
      <c r="E425" s="5" t="s">
        <v>38</v>
      </c>
      <c r="F425" s="5" t="s">
        <v>39</v>
      </c>
      <c r="G425" s="6" t="n">
        <v>482</v>
      </c>
      <c r="H425" s="6" t="n">
        <v>157</v>
      </c>
      <c r="I425" s="7" t="n">
        <f aca="false">(G425-H425)/G425</f>
        <v>0.674273858921162</v>
      </c>
      <c r="J425" s="15" t="n">
        <v>0.4766</v>
      </c>
      <c r="K425" s="11" t="str">
        <f aca="false">IF(I425&lt;J425,"TAK","NIE")</f>
        <v>NIE</v>
      </c>
    </row>
    <row r="426" customFormat="false" ht="15" hidden="false" customHeight="false" outlineLevel="0" collapsed="false">
      <c r="A426" s="5" t="s">
        <v>287</v>
      </c>
      <c r="B426" s="5" t="s">
        <v>51</v>
      </c>
      <c r="C426" s="5" t="n">
        <v>2019</v>
      </c>
      <c r="D426" s="5" t="s">
        <v>52</v>
      </c>
      <c r="E426" s="5" t="s">
        <v>38</v>
      </c>
      <c r="F426" s="5" t="s">
        <v>39</v>
      </c>
      <c r="G426" s="6" t="n">
        <v>506</v>
      </c>
      <c r="H426" s="6" t="n">
        <v>88</v>
      </c>
      <c r="I426" s="7" t="n">
        <f aca="false">(G426-H426)/G426</f>
        <v>0.826086956521739</v>
      </c>
      <c r="J426" s="15" t="n">
        <v>0.4766</v>
      </c>
      <c r="K426" s="11" t="str">
        <f aca="false">IF(I426&lt;J426,"TAK","NIE")</f>
        <v>NIE</v>
      </c>
    </row>
    <row r="427" customFormat="false" ht="15" hidden="false" customHeight="false" outlineLevel="0" collapsed="false">
      <c r="A427" s="5" t="s">
        <v>288</v>
      </c>
      <c r="B427" s="5" t="s">
        <v>51</v>
      </c>
      <c r="C427" s="5" t="n">
        <v>2019</v>
      </c>
      <c r="D427" s="5" t="s">
        <v>52</v>
      </c>
      <c r="E427" s="5" t="s">
        <v>38</v>
      </c>
      <c r="F427" s="5" t="s">
        <v>39</v>
      </c>
      <c r="G427" s="6" t="n">
        <v>482</v>
      </c>
      <c r="H427" s="6" t="n">
        <v>100</v>
      </c>
      <c r="I427" s="7" t="n">
        <f aca="false">(G427-H427)/G427</f>
        <v>0.79253112033195</v>
      </c>
      <c r="J427" s="15" t="n">
        <v>0.4766</v>
      </c>
      <c r="K427" s="11" t="str">
        <f aca="false">IF(I427&lt;J427,"TAK","NIE")</f>
        <v>NIE</v>
      </c>
    </row>
    <row r="428" customFormat="false" ht="15" hidden="false" customHeight="false" outlineLevel="0" collapsed="false">
      <c r="A428" s="5" t="s">
        <v>289</v>
      </c>
      <c r="B428" s="5" t="s">
        <v>51</v>
      </c>
      <c r="C428" s="5" t="n">
        <v>2019</v>
      </c>
      <c r="D428" s="5" t="s">
        <v>52</v>
      </c>
      <c r="E428" s="5" t="s">
        <v>38</v>
      </c>
      <c r="F428" s="5" t="s">
        <v>39</v>
      </c>
      <c r="G428" s="6" t="n">
        <v>466</v>
      </c>
      <c r="H428" s="6" t="n">
        <v>56</v>
      </c>
      <c r="I428" s="7" t="n">
        <f aca="false">(G428-H428)/G428</f>
        <v>0.879828326180258</v>
      </c>
      <c r="J428" s="15" t="n">
        <v>0.4766</v>
      </c>
      <c r="K428" s="11" t="str">
        <f aca="false">IF(I428&lt;J428,"TAK","NIE")</f>
        <v>NIE</v>
      </c>
    </row>
    <row r="429" customFormat="false" ht="15" hidden="false" customHeight="false" outlineLevel="0" collapsed="false">
      <c r="A429" s="5" t="s">
        <v>290</v>
      </c>
      <c r="B429" s="5" t="s">
        <v>51</v>
      </c>
      <c r="C429" s="5" t="n">
        <v>2019</v>
      </c>
      <c r="D429" s="5" t="s">
        <v>52</v>
      </c>
      <c r="E429" s="5" t="s">
        <v>38</v>
      </c>
      <c r="F429" s="5" t="s">
        <v>39</v>
      </c>
      <c r="G429" s="6" t="n">
        <v>506</v>
      </c>
      <c r="H429" s="6" t="n">
        <v>131</v>
      </c>
      <c r="I429" s="7" t="n">
        <f aca="false">(G429-H429)/G429</f>
        <v>0.741106719367589</v>
      </c>
      <c r="J429" s="15" t="n">
        <v>0.4766</v>
      </c>
      <c r="K429" s="11" t="str">
        <f aca="false">IF(I429&lt;J429,"TAK","NIE")</f>
        <v>NIE</v>
      </c>
    </row>
    <row r="430" customFormat="false" ht="15" hidden="false" customHeight="false" outlineLevel="0" collapsed="false">
      <c r="A430" s="5" t="s">
        <v>291</v>
      </c>
      <c r="B430" s="5" t="s">
        <v>51</v>
      </c>
      <c r="C430" s="5" t="n">
        <v>2019</v>
      </c>
      <c r="D430" s="5" t="s">
        <v>52</v>
      </c>
      <c r="E430" s="5" t="s">
        <v>38</v>
      </c>
      <c r="F430" s="5" t="s">
        <v>39</v>
      </c>
      <c r="G430" s="6" t="n">
        <v>466</v>
      </c>
      <c r="H430" s="6" t="n">
        <v>151</v>
      </c>
      <c r="I430" s="7" t="n">
        <f aca="false">(G430-H430)/G430</f>
        <v>0.675965665236052</v>
      </c>
      <c r="J430" s="15" t="n">
        <v>0.4766</v>
      </c>
      <c r="K430" s="11" t="str">
        <f aca="false">IF(I430&lt;J430,"TAK","NIE")</f>
        <v>NIE</v>
      </c>
    </row>
    <row r="431" customFormat="false" ht="15" hidden="false" customHeight="false" outlineLevel="0" collapsed="false">
      <c r="A431" s="5" t="s">
        <v>292</v>
      </c>
      <c r="B431" s="5" t="s">
        <v>51</v>
      </c>
      <c r="C431" s="5" t="n">
        <v>2019</v>
      </c>
      <c r="D431" s="5" t="s">
        <v>52</v>
      </c>
      <c r="E431" s="5" t="s">
        <v>38</v>
      </c>
      <c r="F431" s="5" t="s">
        <v>39</v>
      </c>
      <c r="G431" s="6" t="n">
        <v>559</v>
      </c>
      <c r="H431" s="6" t="n">
        <v>210</v>
      </c>
      <c r="I431" s="7" t="n">
        <f aca="false">(G431-H431)/G431</f>
        <v>0.62432915921288</v>
      </c>
      <c r="J431" s="15" t="n">
        <v>0.4766</v>
      </c>
      <c r="K431" s="11" t="str">
        <f aca="false">IF(I431&lt;J431,"TAK","NIE")</f>
        <v>NIE</v>
      </c>
    </row>
    <row r="432" customFormat="false" ht="15" hidden="false" customHeight="false" outlineLevel="0" collapsed="false">
      <c r="A432" s="5" t="s">
        <v>263</v>
      </c>
      <c r="B432" s="5" t="s">
        <v>51</v>
      </c>
      <c r="C432" s="5" t="n">
        <v>2019</v>
      </c>
      <c r="D432" s="5" t="s">
        <v>52</v>
      </c>
      <c r="E432" s="5" t="s">
        <v>38</v>
      </c>
      <c r="F432" s="5" t="s">
        <v>40</v>
      </c>
      <c r="G432" s="6" t="n">
        <v>567</v>
      </c>
      <c r="H432" s="6" t="n">
        <v>93</v>
      </c>
      <c r="I432" s="7" t="n">
        <f aca="false">(G432-H432)/G432</f>
        <v>0.835978835978836</v>
      </c>
      <c r="J432" s="15" t="n">
        <v>0.3081</v>
      </c>
      <c r="K432" s="11" t="str">
        <f aca="false">IF(I432&lt;J432,"TAK","NIE")</f>
        <v>NIE</v>
      </c>
    </row>
    <row r="433" customFormat="false" ht="15" hidden="false" customHeight="false" outlineLevel="0" collapsed="false">
      <c r="A433" s="5" t="s">
        <v>264</v>
      </c>
      <c r="B433" s="5" t="s">
        <v>51</v>
      </c>
      <c r="C433" s="5" t="n">
        <v>2019</v>
      </c>
      <c r="D433" s="5" t="s">
        <v>52</v>
      </c>
      <c r="E433" s="5" t="s">
        <v>38</v>
      </c>
      <c r="F433" s="5" t="s">
        <v>40</v>
      </c>
      <c r="G433" s="6" t="n">
        <v>612</v>
      </c>
      <c r="H433" s="6" t="n">
        <v>116</v>
      </c>
      <c r="I433" s="7" t="n">
        <f aca="false">(G433-H433)/G433</f>
        <v>0.810457516339869</v>
      </c>
      <c r="J433" s="15" t="n">
        <v>0.3081</v>
      </c>
      <c r="K433" s="11" t="str">
        <f aca="false">IF(I433&lt;J433,"TAK","NIE")</f>
        <v>NIE</v>
      </c>
    </row>
    <row r="434" customFormat="false" ht="15" hidden="false" customHeight="false" outlineLevel="0" collapsed="false">
      <c r="A434" s="5" t="s">
        <v>265</v>
      </c>
      <c r="B434" s="5" t="s">
        <v>51</v>
      </c>
      <c r="C434" s="5" t="n">
        <v>2019</v>
      </c>
      <c r="D434" s="5" t="s">
        <v>52</v>
      </c>
      <c r="E434" s="5" t="s">
        <v>38</v>
      </c>
      <c r="F434" s="5" t="s">
        <v>40</v>
      </c>
      <c r="G434" s="6" t="n">
        <v>589</v>
      </c>
      <c r="H434" s="6" t="n">
        <v>255</v>
      </c>
      <c r="I434" s="7" t="n">
        <f aca="false">(G434-H434)/G434</f>
        <v>0.567062818336163</v>
      </c>
      <c r="J434" s="15" t="n">
        <v>0.3081</v>
      </c>
      <c r="K434" s="11" t="str">
        <f aca="false">IF(I434&lt;J434,"TAK","NIE")</f>
        <v>NIE</v>
      </c>
    </row>
    <row r="435" customFormat="false" ht="15" hidden="false" customHeight="false" outlineLevel="0" collapsed="false">
      <c r="A435" s="5" t="s">
        <v>266</v>
      </c>
      <c r="B435" s="5" t="s">
        <v>51</v>
      </c>
      <c r="C435" s="5" t="n">
        <v>2019</v>
      </c>
      <c r="D435" s="5" t="s">
        <v>52</v>
      </c>
      <c r="E435" s="5" t="s">
        <v>38</v>
      </c>
      <c r="F435" s="5" t="s">
        <v>40</v>
      </c>
      <c r="G435" s="6" t="n">
        <v>543</v>
      </c>
      <c r="H435" s="6" t="n">
        <v>32</v>
      </c>
      <c r="I435" s="7" t="n">
        <f aca="false">(G435-H435)/G435</f>
        <v>0.941068139963168</v>
      </c>
      <c r="J435" s="15" t="n">
        <v>0.3081</v>
      </c>
      <c r="K435" s="11" t="str">
        <f aca="false">IF(I435&lt;J435,"TAK","NIE")</f>
        <v>NIE</v>
      </c>
    </row>
    <row r="436" customFormat="false" ht="15" hidden="false" customHeight="false" outlineLevel="0" collapsed="false">
      <c r="A436" s="5" t="s">
        <v>267</v>
      </c>
      <c r="B436" s="5" t="s">
        <v>51</v>
      </c>
      <c r="C436" s="5" t="n">
        <v>2019</v>
      </c>
      <c r="D436" s="5" t="s">
        <v>52</v>
      </c>
      <c r="E436" s="5" t="s">
        <v>38</v>
      </c>
      <c r="F436" s="5" t="s">
        <v>40</v>
      </c>
      <c r="G436" s="6" t="n">
        <v>612</v>
      </c>
      <c r="H436" s="6" t="n">
        <v>125</v>
      </c>
      <c r="I436" s="7" t="n">
        <f aca="false">(G436-H436)/G436</f>
        <v>0.795751633986928</v>
      </c>
      <c r="J436" s="15" t="n">
        <v>0.3081</v>
      </c>
      <c r="K436" s="11" t="str">
        <f aca="false">IF(I436&lt;J436,"TAK","NIE")</f>
        <v>NIE</v>
      </c>
    </row>
    <row r="437" customFormat="false" ht="15" hidden="false" customHeight="false" outlineLevel="0" collapsed="false">
      <c r="A437" s="5" t="s">
        <v>268</v>
      </c>
      <c r="B437" s="5" t="s">
        <v>51</v>
      </c>
      <c r="C437" s="5" t="n">
        <v>2019</v>
      </c>
      <c r="D437" s="5" t="s">
        <v>52</v>
      </c>
      <c r="E437" s="5" t="s">
        <v>38</v>
      </c>
      <c r="F437" s="5" t="s">
        <v>40</v>
      </c>
      <c r="G437" s="6" t="n">
        <v>589</v>
      </c>
      <c r="H437" s="6" t="n">
        <v>127</v>
      </c>
      <c r="I437" s="7" t="n">
        <f aca="false">(G437-H437)/G437</f>
        <v>0.784380305602716</v>
      </c>
      <c r="J437" s="15" t="n">
        <v>0.3081</v>
      </c>
      <c r="K437" s="11" t="str">
        <f aca="false">IF(I437&lt;J437,"TAK","NIE")</f>
        <v>NIE</v>
      </c>
    </row>
    <row r="438" customFormat="false" ht="15" hidden="false" customHeight="false" outlineLevel="0" collapsed="false">
      <c r="A438" s="5" t="s">
        <v>269</v>
      </c>
      <c r="B438" s="5" t="s">
        <v>51</v>
      </c>
      <c r="C438" s="5" t="n">
        <v>2019</v>
      </c>
      <c r="D438" s="5" t="s">
        <v>52</v>
      </c>
      <c r="E438" s="5" t="s">
        <v>38</v>
      </c>
      <c r="F438" s="5" t="s">
        <v>40</v>
      </c>
      <c r="G438" s="6" t="n">
        <v>612</v>
      </c>
      <c r="H438" s="6" t="n">
        <v>259</v>
      </c>
      <c r="I438" s="7" t="n">
        <f aca="false">(G438-H438)/G438</f>
        <v>0.576797385620915</v>
      </c>
      <c r="J438" s="15" t="n">
        <v>0.3081</v>
      </c>
      <c r="K438" s="11" t="str">
        <f aca="false">IF(I438&lt;J438,"TAK","NIE")</f>
        <v>NIE</v>
      </c>
    </row>
    <row r="439" customFormat="false" ht="15" hidden="false" customHeight="false" outlineLevel="0" collapsed="false">
      <c r="A439" s="5" t="s">
        <v>270</v>
      </c>
      <c r="B439" s="5" t="s">
        <v>51</v>
      </c>
      <c r="C439" s="5" t="n">
        <v>2019</v>
      </c>
      <c r="D439" s="5" t="s">
        <v>52</v>
      </c>
      <c r="E439" s="5" t="s">
        <v>38</v>
      </c>
      <c r="F439" s="5" t="s">
        <v>40</v>
      </c>
      <c r="G439" s="6" t="n">
        <v>612</v>
      </c>
      <c r="H439" s="6" t="n">
        <v>238</v>
      </c>
      <c r="I439" s="7" t="n">
        <f aca="false">(G439-H439)/G439</f>
        <v>0.611111111111111</v>
      </c>
      <c r="J439" s="15" t="n">
        <v>0.3081</v>
      </c>
      <c r="K439" s="11" t="str">
        <f aca="false">IF(I439&lt;J439,"TAK","NIE")</f>
        <v>NIE</v>
      </c>
    </row>
    <row r="440" customFormat="false" ht="15" hidden="false" customHeight="false" outlineLevel="0" collapsed="false">
      <c r="A440" s="5" t="s">
        <v>271</v>
      </c>
      <c r="B440" s="5" t="s">
        <v>51</v>
      </c>
      <c r="C440" s="5" t="n">
        <v>2019</v>
      </c>
      <c r="D440" s="5" t="s">
        <v>52</v>
      </c>
      <c r="E440" s="5" t="s">
        <v>38</v>
      </c>
      <c r="F440" s="5" t="s">
        <v>40</v>
      </c>
      <c r="G440" s="6" t="n">
        <v>589</v>
      </c>
      <c r="H440" s="6" t="n">
        <v>87</v>
      </c>
      <c r="I440" s="7" t="n">
        <f aca="false">(G440-H440)/G440</f>
        <v>0.852292020373515</v>
      </c>
      <c r="J440" s="15" t="n">
        <v>0.3081</v>
      </c>
      <c r="K440" s="11" t="str">
        <f aca="false">IF(I440&lt;J440,"TAK","NIE")</f>
        <v>NIE</v>
      </c>
    </row>
    <row r="441" customFormat="false" ht="15" hidden="false" customHeight="false" outlineLevel="0" collapsed="false">
      <c r="A441" s="5" t="s">
        <v>272</v>
      </c>
      <c r="B441" s="5" t="s">
        <v>51</v>
      </c>
      <c r="C441" s="5" t="n">
        <v>2019</v>
      </c>
      <c r="D441" s="5" t="s">
        <v>52</v>
      </c>
      <c r="E441" s="5" t="s">
        <v>38</v>
      </c>
      <c r="F441" s="5" t="s">
        <v>40</v>
      </c>
      <c r="G441" s="6" t="n">
        <v>589</v>
      </c>
      <c r="H441" s="6" t="n">
        <v>77</v>
      </c>
      <c r="I441" s="7" t="n">
        <f aca="false">(G441-H441)/G441</f>
        <v>0.869269949066214</v>
      </c>
      <c r="J441" s="15" t="n">
        <v>0.3081</v>
      </c>
      <c r="K441" s="11" t="str">
        <f aca="false">IF(I441&lt;J441,"TAK","NIE")</f>
        <v>NIE</v>
      </c>
    </row>
    <row r="442" customFormat="false" ht="15" hidden="false" customHeight="false" outlineLevel="0" collapsed="false">
      <c r="A442" s="5" t="s">
        <v>273</v>
      </c>
      <c r="B442" s="5" t="s">
        <v>51</v>
      </c>
      <c r="C442" s="5" t="n">
        <v>2019</v>
      </c>
      <c r="D442" s="5" t="s">
        <v>52</v>
      </c>
      <c r="E442" s="5" t="s">
        <v>38</v>
      </c>
      <c r="F442" s="5" t="s">
        <v>40</v>
      </c>
      <c r="G442" s="6" t="n">
        <v>612</v>
      </c>
      <c r="H442" s="6" t="n">
        <v>140</v>
      </c>
      <c r="I442" s="7" t="n">
        <f aca="false">(G442-H442)/G442</f>
        <v>0.77124183006536</v>
      </c>
      <c r="J442" s="15" t="n">
        <v>0.3081</v>
      </c>
      <c r="K442" s="11" t="str">
        <f aca="false">IF(I442&lt;J442,"TAK","NIE")</f>
        <v>NIE</v>
      </c>
    </row>
    <row r="443" customFormat="false" ht="15" hidden="false" customHeight="false" outlineLevel="0" collapsed="false">
      <c r="A443" s="5" t="s">
        <v>274</v>
      </c>
      <c r="B443" s="5" t="s">
        <v>51</v>
      </c>
      <c r="C443" s="5" t="n">
        <v>2019</v>
      </c>
      <c r="D443" s="5" t="s">
        <v>52</v>
      </c>
      <c r="E443" s="5" t="s">
        <v>38</v>
      </c>
      <c r="F443" s="5" t="s">
        <v>40</v>
      </c>
      <c r="G443" s="6" t="n">
        <v>589</v>
      </c>
      <c r="H443" s="6" t="n">
        <v>103</v>
      </c>
      <c r="I443" s="7" t="n">
        <f aca="false">(G443-H443)/G443</f>
        <v>0.825127334465195</v>
      </c>
      <c r="J443" s="15" t="n">
        <v>0.3081</v>
      </c>
      <c r="K443" s="11" t="str">
        <f aca="false">IF(I443&lt;J443,"TAK","NIE")</f>
        <v>NIE</v>
      </c>
    </row>
    <row r="444" customFormat="false" ht="15" hidden="false" customHeight="false" outlineLevel="0" collapsed="false">
      <c r="A444" s="5" t="s">
        <v>275</v>
      </c>
      <c r="B444" s="5" t="s">
        <v>51</v>
      </c>
      <c r="C444" s="5" t="n">
        <v>2019</v>
      </c>
      <c r="D444" s="5" t="s">
        <v>52</v>
      </c>
      <c r="E444" s="5" t="s">
        <v>38</v>
      </c>
      <c r="F444" s="5" t="s">
        <v>40</v>
      </c>
      <c r="G444" s="6" t="n">
        <v>589</v>
      </c>
      <c r="H444" s="6" t="n">
        <v>153</v>
      </c>
      <c r="I444" s="7" t="n">
        <f aca="false">(G444-H444)/G444</f>
        <v>0.740237691001698</v>
      </c>
      <c r="J444" s="15" t="n">
        <v>0.3081</v>
      </c>
      <c r="K444" s="11" t="str">
        <f aca="false">IF(I444&lt;J444,"TAK","NIE")</f>
        <v>NIE</v>
      </c>
    </row>
    <row r="445" customFormat="false" ht="15" hidden="false" customHeight="false" outlineLevel="0" collapsed="false">
      <c r="A445" s="5" t="s">
        <v>276</v>
      </c>
      <c r="B445" s="5" t="s">
        <v>51</v>
      </c>
      <c r="C445" s="5" t="n">
        <v>2019</v>
      </c>
      <c r="D445" s="5" t="s">
        <v>52</v>
      </c>
      <c r="E445" s="5" t="s">
        <v>38</v>
      </c>
      <c r="F445" s="5" t="s">
        <v>40</v>
      </c>
      <c r="G445" s="6" t="n">
        <v>589</v>
      </c>
      <c r="H445" s="6" t="n">
        <v>270</v>
      </c>
      <c r="I445" s="7" t="n">
        <f aca="false">(G445-H445)/G445</f>
        <v>0.541595925297114</v>
      </c>
      <c r="J445" s="15" t="n">
        <v>0.3081</v>
      </c>
      <c r="K445" s="11" t="str">
        <f aca="false">IF(I445&lt;J445,"TAK","NIE")</f>
        <v>NIE</v>
      </c>
    </row>
    <row r="446" customFormat="false" ht="15" hidden="false" customHeight="false" outlineLevel="0" collapsed="false">
      <c r="A446" s="5" t="s">
        <v>277</v>
      </c>
      <c r="B446" s="5" t="s">
        <v>51</v>
      </c>
      <c r="C446" s="5" t="n">
        <v>2019</v>
      </c>
      <c r="D446" s="5" t="s">
        <v>52</v>
      </c>
      <c r="E446" s="5" t="s">
        <v>38</v>
      </c>
      <c r="F446" s="5" t="s">
        <v>40</v>
      </c>
      <c r="G446" s="6" t="n">
        <v>589</v>
      </c>
      <c r="H446" s="6" t="n">
        <v>221</v>
      </c>
      <c r="I446" s="7" t="n">
        <f aca="false">(G446-H446)/G446</f>
        <v>0.624787775891341</v>
      </c>
      <c r="J446" s="15" t="n">
        <v>0.3081</v>
      </c>
      <c r="K446" s="11" t="str">
        <f aca="false">IF(I446&lt;J446,"TAK","NIE")</f>
        <v>NIE</v>
      </c>
    </row>
    <row r="447" customFormat="false" ht="15" hidden="false" customHeight="false" outlineLevel="0" collapsed="false">
      <c r="A447" s="5" t="s">
        <v>278</v>
      </c>
      <c r="B447" s="5" t="s">
        <v>51</v>
      </c>
      <c r="C447" s="5" t="n">
        <v>2019</v>
      </c>
      <c r="D447" s="5" t="s">
        <v>52</v>
      </c>
      <c r="E447" s="5" t="s">
        <v>38</v>
      </c>
      <c r="F447" s="5" t="s">
        <v>40</v>
      </c>
      <c r="G447" s="6" t="n">
        <v>612</v>
      </c>
      <c r="H447" s="6" t="n">
        <v>133</v>
      </c>
      <c r="I447" s="7" t="n">
        <f aca="false">(G447-H447)/G447</f>
        <v>0.782679738562092</v>
      </c>
      <c r="J447" s="15" t="n">
        <v>0.3081</v>
      </c>
      <c r="K447" s="11" t="str">
        <f aca="false">IF(I447&lt;J447,"TAK","NIE")</f>
        <v>NIE</v>
      </c>
    </row>
    <row r="448" customFormat="false" ht="15" hidden="false" customHeight="false" outlineLevel="0" collapsed="false">
      <c r="A448" s="5" t="s">
        <v>279</v>
      </c>
      <c r="B448" s="5" t="s">
        <v>51</v>
      </c>
      <c r="C448" s="5" t="n">
        <v>2019</v>
      </c>
      <c r="D448" s="5" t="s">
        <v>52</v>
      </c>
      <c r="E448" s="5" t="s">
        <v>38</v>
      </c>
      <c r="F448" s="5" t="s">
        <v>40</v>
      </c>
      <c r="G448" s="6" t="n">
        <v>543</v>
      </c>
      <c r="H448" s="6" t="n">
        <v>47</v>
      </c>
      <c r="I448" s="7" t="n">
        <f aca="false">(G448-H448)/G448</f>
        <v>0.913443830570902</v>
      </c>
      <c r="J448" s="15" t="n">
        <v>0.3081</v>
      </c>
      <c r="K448" s="11" t="str">
        <f aca="false">IF(I448&lt;J448,"TAK","NIE")</f>
        <v>NIE</v>
      </c>
    </row>
    <row r="449" customFormat="false" ht="15" hidden="false" customHeight="false" outlineLevel="0" collapsed="false">
      <c r="A449" s="5" t="s">
        <v>280</v>
      </c>
      <c r="B449" s="5" t="s">
        <v>51</v>
      </c>
      <c r="C449" s="5" t="n">
        <v>2019</v>
      </c>
      <c r="D449" s="5" t="s">
        <v>52</v>
      </c>
      <c r="E449" s="5" t="s">
        <v>38</v>
      </c>
      <c r="F449" s="5" t="s">
        <v>40</v>
      </c>
      <c r="G449" s="6" t="n">
        <v>589</v>
      </c>
      <c r="H449" s="6" t="n">
        <v>279</v>
      </c>
      <c r="I449" s="7" t="n">
        <f aca="false">(G449-H449)/G449</f>
        <v>0.526315789473684</v>
      </c>
      <c r="J449" s="15" t="n">
        <v>0.3081</v>
      </c>
      <c r="K449" s="11" t="str">
        <f aca="false">IF(I449&lt;J449,"TAK","NIE")</f>
        <v>NIE</v>
      </c>
    </row>
    <row r="450" customFormat="false" ht="15" hidden="false" customHeight="false" outlineLevel="0" collapsed="false">
      <c r="A450" s="5" t="s">
        <v>281</v>
      </c>
      <c r="B450" s="5" t="s">
        <v>51</v>
      </c>
      <c r="C450" s="5" t="n">
        <v>2019</v>
      </c>
      <c r="D450" s="5" t="s">
        <v>52</v>
      </c>
      <c r="E450" s="5" t="s">
        <v>38</v>
      </c>
      <c r="F450" s="5" t="s">
        <v>40</v>
      </c>
      <c r="G450" s="6" t="n">
        <v>543</v>
      </c>
      <c r="H450" s="6" t="n">
        <v>31</v>
      </c>
      <c r="I450" s="7" t="n">
        <f aca="false">(G450-H450)/G450</f>
        <v>0.942909760589319</v>
      </c>
      <c r="J450" s="15" t="n">
        <v>0.3081</v>
      </c>
      <c r="K450" s="11" t="str">
        <f aca="false">IF(I450&lt;J450,"TAK","NIE")</f>
        <v>NIE</v>
      </c>
    </row>
    <row r="451" customFormat="false" ht="15" hidden="false" customHeight="false" outlineLevel="0" collapsed="false">
      <c r="A451" s="5" t="s">
        <v>282</v>
      </c>
      <c r="B451" s="5" t="s">
        <v>51</v>
      </c>
      <c r="C451" s="5" t="n">
        <v>2019</v>
      </c>
      <c r="D451" s="5" t="s">
        <v>52</v>
      </c>
      <c r="E451" s="5" t="s">
        <v>38</v>
      </c>
      <c r="F451" s="5" t="s">
        <v>40</v>
      </c>
      <c r="G451" s="6" t="n">
        <v>567</v>
      </c>
      <c r="H451" s="6" t="n">
        <v>98</v>
      </c>
      <c r="I451" s="7" t="n">
        <f aca="false">(G451-H451)/G451</f>
        <v>0.827160493827161</v>
      </c>
      <c r="J451" s="15" t="n">
        <v>0.3081</v>
      </c>
      <c r="K451" s="11" t="str">
        <f aca="false">IF(I451&lt;J451,"TAK","NIE")</f>
        <v>NIE</v>
      </c>
    </row>
    <row r="452" customFormat="false" ht="15" hidden="false" customHeight="false" outlineLevel="0" collapsed="false">
      <c r="A452" s="5" t="s">
        <v>283</v>
      </c>
      <c r="B452" s="5" t="s">
        <v>51</v>
      </c>
      <c r="C452" s="5" t="n">
        <v>2019</v>
      </c>
      <c r="D452" s="5" t="s">
        <v>52</v>
      </c>
      <c r="E452" s="5" t="s">
        <v>38</v>
      </c>
      <c r="F452" s="5" t="s">
        <v>40</v>
      </c>
      <c r="G452" s="6" t="n">
        <v>589</v>
      </c>
      <c r="H452" s="6" t="n">
        <v>155</v>
      </c>
      <c r="I452" s="7" t="n">
        <f aca="false">(G452-H452)/G452</f>
        <v>0.736842105263158</v>
      </c>
      <c r="J452" s="15" t="n">
        <v>0.3081</v>
      </c>
      <c r="K452" s="11" t="str">
        <f aca="false">IF(I452&lt;J452,"TAK","NIE")</f>
        <v>NIE</v>
      </c>
    </row>
    <row r="453" customFormat="false" ht="15" hidden="false" customHeight="false" outlineLevel="0" collapsed="false">
      <c r="A453" s="5" t="s">
        <v>284</v>
      </c>
      <c r="B453" s="5" t="s">
        <v>51</v>
      </c>
      <c r="C453" s="5" t="n">
        <v>2019</v>
      </c>
      <c r="D453" s="5" t="s">
        <v>52</v>
      </c>
      <c r="E453" s="5" t="s">
        <v>38</v>
      </c>
      <c r="F453" s="5" t="s">
        <v>40</v>
      </c>
      <c r="G453" s="6" t="n">
        <v>589</v>
      </c>
      <c r="H453" s="6" t="n">
        <v>65</v>
      </c>
      <c r="I453" s="7" t="n">
        <f aca="false">(G453-H453)/G453</f>
        <v>0.889643463497453</v>
      </c>
      <c r="J453" s="15" t="n">
        <v>0.3081</v>
      </c>
      <c r="K453" s="11" t="str">
        <f aca="false">IF(I453&lt;J453,"TAK","NIE")</f>
        <v>NIE</v>
      </c>
    </row>
    <row r="454" customFormat="false" ht="15" hidden="false" customHeight="false" outlineLevel="0" collapsed="false">
      <c r="A454" s="5" t="s">
        <v>285</v>
      </c>
      <c r="B454" s="5" t="s">
        <v>51</v>
      </c>
      <c r="C454" s="5" t="n">
        <v>2019</v>
      </c>
      <c r="D454" s="5" t="s">
        <v>52</v>
      </c>
      <c r="E454" s="5" t="s">
        <v>38</v>
      </c>
      <c r="F454" s="5" t="s">
        <v>40</v>
      </c>
      <c r="G454" s="6" t="n">
        <v>612</v>
      </c>
      <c r="H454" s="6" t="n">
        <v>205</v>
      </c>
      <c r="I454" s="7" t="n">
        <f aca="false">(G454-H454)/G454</f>
        <v>0.665032679738562</v>
      </c>
      <c r="J454" s="15" t="n">
        <v>0.3081</v>
      </c>
      <c r="K454" s="11" t="str">
        <f aca="false">IF(I454&lt;J454,"TAK","NIE")</f>
        <v>NIE</v>
      </c>
    </row>
    <row r="455" customFormat="false" ht="15" hidden="false" customHeight="false" outlineLevel="0" collapsed="false">
      <c r="A455" s="5" t="s">
        <v>286</v>
      </c>
      <c r="B455" s="5" t="s">
        <v>51</v>
      </c>
      <c r="C455" s="5" t="n">
        <v>2019</v>
      </c>
      <c r="D455" s="5" t="s">
        <v>52</v>
      </c>
      <c r="E455" s="5" t="s">
        <v>38</v>
      </c>
      <c r="F455" s="5" t="s">
        <v>40</v>
      </c>
      <c r="G455" s="6" t="n">
        <v>589</v>
      </c>
      <c r="H455" s="6" t="n">
        <v>174</v>
      </c>
      <c r="I455" s="7" t="n">
        <f aca="false">(G455-H455)/G455</f>
        <v>0.704584040747029</v>
      </c>
      <c r="J455" s="15" t="n">
        <v>0.3081</v>
      </c>
      <c r="K455" s="11" t="str">
        <f aca="false">IF(I455&lt;J455,"TAK","NIE")</f>
        <v>NIE</v>
      </c>
    </row>
    <row r="456" customFormat="false" ht="15" hidden="false" customHeight="false" outlineLevel="0" collapsed="false">
      <c r="A456" s="5" t="s">
        <v>287</v>
      </c>
      <c r="B456" s="5" t="s">
        <v>51</v>
      </c>
      <c r="C456" s="5" t="n">
        <v>2019</v>
      </c>
      <c r="D456" s="5" t="s">
        <v>52</v>
      </c>
      <c r="E456" s="5" t="s">
        <v>38</v>
      </c>
      <c r="F456" s="5" t="s">
        <v>40</v>
      </c>
      <c r="G456" s="6" t="n">
        <v>612</v>
      </c>
      <c r="H456" s="6" t="n">
        <v>120</v>
      </c>
      <c r="I456" s="7" t="n">
        <f aca="false">(G456-H456)/G456</f>
        <v>0.803921568627451</v>
      </c>
      <c r="J456" s="15" t="n">
        <v>0.3081</v>
      </c>
      <c r="K456" s="11" t="str">
        <f aca="false">IF(I456&lt;J456,"TAK","NIE")</f>
        <v>NIE</v>
      </c>
    </row>
    <row r="457" customFormat="false" ht="15" hidden="false" customHeight="false" outlineLevel="0" collapsed="false">
      <c r="A457" s="5" t="s">
        <v>288</v>
      </c>
      <c r="B457" s="5" t="s">
        <v>51</v>
      </c>
      <c r="C457" s="5" t="n">
        <v>2019</v>
      </c>
      <c r="D457" s="5" t="s">
        <v>52</v>
      </c>
      <c r="E457" s="5" t="s">
        <v>38</v>
      </c>
      <c r="F457" s="5" t="s">
        <v>40</v>
      </c>
      <c r="G457" s="6" t="n">
        <v>589</v>
      </c>
      <c r="H457" s="6" t="n">
        <v>197</v>
      </c>
      <c r="I457" s="7" t="n">
        <f aca="false">(G457-H457)/G457</f>
        <v>0.66553480475382</v>
      </c>
      <c r="J457" s="15" t="n">
        <v>0.3081</v>
      </c>
      <c r="K457" s="11" t="str">
        <f aca="false">IF(I457&lt;J457,"TAK","NIE")</f>
        <v>NIE</v>
      </c>
    </row>
    <row r="458" customFormat="false" ht="15" hidden="false" customHeight="false" outlineLevel="0" collapsed="false">
      <c r="A458" s="5" t="s">
        <v>289</v>
      </c>
      <c r="B458" s="5" t="s">
        <v>51</v>
      </c>
      <c r="C458" s="5" t="n">
        <v>2019</v>
      </c>
      <c r="D458" s="5" t="s">
        <v>52</v>
      </c>
      <c r="E458" s="5" t="s">
        <v>38</v>
      </c>
      <c r="F458" s="5" t="s">
        <v>40</v>
      </c>
      <c r="G458" s="6" t="n">
        <v>589</v>
      </c>
      <c r="H458" s="6" t="n">
        <v>96</v>
      </c>
      <c r="I458" s="7" t="n">
        <f aca="false">(G458-H458)/G458</f>
        <v>0.837011884550085</v>
      </c>
      <c r="J458" s="15" t="n">
        <v>0.3081</v>
      </c>
      <c r="K458" s="11" t="str">
        <f aca="false">IF(I458&lt;J458,"TAK","NIE")</f>
        <v>NIE</v>
      </c>
    </row>
    <row r="459" customFormat="false" ht="15" hidden="false" customHeight="false" outlineLevel="0" collapsed="false">
      <c r="A459" s="5" t="s">
        <v>290</v>
      </c>
      <c r="B459" s="5" t="s">
        <v>51</v>
      </c>
      <c r="C459" s="5" t="n">
        <v>2019</v>
      </c>
      <c r="D459" s="5" t="s">
        <v>52</v>
      </c>
      <c r="E459" s="5" t="s">
        <v>38</v>
      </c>
      <c r="F459" s="5" t="s">
        <v>40</v>
      </c>
      <c r="G459" s="6" t="n">
        <v>612</v>
      </c>
      <c r="H459" s="6" t="n">
        <v>300</v>
      </c>
      <c r="I459" s="7" t="n">
        <f aca="false">(G459-H459)/G459</f>
        <v>0.509803921568627</v>
      </c>
      <c r="J459" s="15" t="n">
        <v>0.3081</v>
      </c>
      <c r="K459" s="11" t="str">
        <f aca="false">IF(I459&lt;J459,"TAK","NIE")</f>
        <v>NIE</v>
      </c>
    </row>
    <row r="460" customFormat="false" ht="15" hidden="false" customHeight="false" outlineLevel="0" collapsed="false">
      <c r="A460" s="5" t="s">
        <v>291</v>
      </c>
      <c r="B460" s="5" t="s">
        <v>51</v>
      </c>
      <c r="C460" s="5" t="n">
        <v>2019</v>
      </c>
      <c r="D460" s="5" t="s">
        <v>52</v>
      </c>
      <c r="E460" s="5" t="s">
        <v>38</v>
      </c>
      <c r="F460" s="5" t="s">
        <v>40</v>
      </c>
      <c r="G460" s="6" t="n">
        <v>589</v>
      </c>
      <c r="H460" s="6" t="n">
        <v>222</v>
      </c>
      <c r="I460" s="7" t="n">
        <f aca="false">(G460-H460)/G460</f>
        <v>0.623089983022071</v>
      </c>
      <c r="J460" s="15" t="n">
        <v>0.3081</v>
      </c>
      <c r="K460" s="11" t="str">
        <f aca="false">IF(I460&lt;J460,"TAK","NIE")</f>
        <v>NIE</v>
      </c>
    </row>
    <row r="461" customFormat="false" ht="15" hidden="false" customHeight="false" outlineLevel="0" collapsed="false">
      <c r="A461" s="5" t="s">
        <v>292</v>
      </c>
      <c r="B461" s="5" t="s">
        <v>51</v>
      </c>
      <c r="C461" s="5" t="n">
        <v>2019</v>
      </c>
      <c r="D461" s="5" t="s">
        <v>52</v>
      </c>
      <c r="E461" s="5" t="s">
        <v>38</v>
      </c>
      <c r="F461" s="5" t="s">
        <v>40</v>
      </c>
      <c r="G461" s="6" t="n">
        <v>674</v>
      </c>
      <c r="H461" s="6" t="n">
        <v>405</v>
      </c>
      <c r="I461" s="7" t="n">
        <f aca="false">(G461-H461)/G461</f>
        <v>0.399109792284867</v>
      </c>
      <c r="J461" s="15" t="n">
        <v>0.3081</v>
      </c>
      <c r="K461" s="11" t="str">
        <f aca="false">IF(I461&lt;J461,"TAK","NIE")</f>
        <v>NIE</v>
      </c>
    </row>
    <row r="462" customFormat="false" ht="15" hidden="false" customHeight="false" outlineLevel="0" collapsed="false">
      <c r="A462" s="5" t="s">
        <v>263</v>
      </c>
      <c r="B462" s="5" t="s">
        <v>53</v>
      </c>
      <c r="C462" s="5" t="n">
        <v>2019</v>
      </c>
      <c r="D462" s="5" t="s">
        <v>52</v>
      </c>
      <c r="E462" s="5" t="s">
        <v>46</v>
      </c>
      <c r="F462" s="5" t="s">
        <v>39</v>
      </c>
      <c r="G462" s="6" t="n">
        <v>571</v>
      </c>
      <c r="H462" s="6" t="n">
        <v>119</v>
      </c>
      <c r="I462" s="7" t="n">
        <f aca="false">(G462-H462)/G462</f>
        <v>0.791593695271454</v>
      </c>
      <c r="J462" s="15" t="n">
        <v>0.4244</v>
      </c>
      <c r="K462" s="11" t="str">
        <f aca="false">IF(I462&lt;J462,"TAK","NIE")</f>
        <v>NIE</v>
      </c>
    </row>
    <row r="463" customFormat="false" ht="15" hidden="false" customHeight="false" outlineLevel="0" collapsed="false">
      <c r="A463" s="5" t="s">
        <v>264</v>
      </c>
      <c r="B463" s="5" t="s">
        <v>53</v>
      </c>
      <c r="C463" s="5" t="n">
        <v>2019</v>
      </c>
      <c r="D463" s="5" t="s">
        <v>52</v>
      </c>
      <c r="E463" s="5" t="s">
        <v>46</v>
      </c>
      <c r="F463" s="5" t="s">
        <v>39</v>
      </c>
      <c r="G463" s="6" t="n">
        <v>571</v>
      </c>
      <c r="H463" s="6" t="n">
        <v>128</v>
      </c>
      <c r="I463" s="7" t="n">
        <f aca="false">(G463-H463)/G463</f>
        <v>0.775831873905429</v>
      </c>
      <c r="J463" s="15" t="n">
        <v>0.4244</v>
      </c>
      <c r="K463" s="11" t="str">
        <f aca="false">IF(I463&lt;J463,"TAK","NIE")</f>
        <v>NIE</v>
      </c>
    </row>
    <row r="464" customFormat="false" ht="15" hidden="false" customHeight="false" outlineLevel="0" collapsed="false">
      <c r="A464" s="5" t="s">
        <v>265</v>
      </c>
      <c r="B464" s="5" t="s">
        <v>53</v>
      </c>
      <c r="C464" s="5" t="n">
        <v>2019</v>
      </c>
      <c r="D464" s="5" t="s">
        <v>52</v>
      </c>
      <c r="E464" s="5" t="s">
        <v>46</v>
      </c>
      <c r="F464" s="5" t="s">
        <v>39</v>
      </c>
      <c r="G464" s="6" t="n">
        <v>581</v>
      </c>
      <c r="H464" s="6" t="n">
        <v>181</v>
      </c>
      <c r="I464" s="7" t="n">
        <f aca="false">(G464-H464)/G464</f>
        <v>0.688468158347676</v>
      </c>
      <c r="J464" s="15" t="n">
        <v>0.4244</v>
      </c>
      <c r="K464" s="11" t="str">
        <f aca="false">IF(I464&lt;J464,"TAK","NIE")</f>
        <v>NIE</v>
      </c>
    </row>
    <row r="465" customFormat="false" ht="15" hidden="false" customHeight="false" outlineLevel="0" collapsed="false">
      <c r="A465" s="5" t="s">
        <v>266</v>
      </c>
      <c r="B465" s="5" t="s">
        <v>53</v>
      </c>
      <c r="C465" s="5" t="n">
        <v>2019</v>
      </c>
      <c r="D465" s="5" t="s">
        <v>52</v>
      </c>
      <c r="E465" s="5" t="s">
        <v>46</v>
      </c>
      <c r="F465" s="5" t="s">
        <v>39</v>
      </c>
      <c r="G465" s="6" t="n">
        <v>547</v>
      </c>
      <c r="H465" s="6" t="n">
        <v>27</v>
      </c>
      <c r="I465" s="7" t="n">
        <f aca="false">(G465-H465)/G465</f>
        <v>0.950639853747715</v>
      </c>
      <c r="J465" s="15" t="n">
        <v>0.4244</v>
      </c>
      <c r="K465" s="11" t="str">
        <f aca="false">IF(I465&lt;J465,"TAK","NIE")</f>
        <v>NIE</v>
      </c>
    </row>
    <row r="466" customFormat="false" ht="15" hidden="false" customHeight="false" outlineLevel="0" collapsed="false">
      <c r="A466" s="5" t="s">
        <v>267</v>
      </c>
      <c r="B466" s="5" t="s">
        <v>53</v>
      </c>
      <c r="C466" s="5" t="n">
        <v>2019</v>
      </c>
      <c r="D466" s="5" t="s">
        <v>52</v>
      </c>
      <c r="E466" s="5" t="s">
        <v>46</v>
      </c>
      <c r="F466" s="5" t="s">
        <v>39</v>
      </c>
      <c r="G466" s="6" t="n">
        <v>571</v>
      </c>
      <c r="H466" s="6" t="n">
        <v>211</v>
      </c>
      <c r="I466" s="7" t="n">
        <f aca="false">(G466-H466)/G466</f>
        <v>0.630472854640981</v>
      </c>
      <c r="J466" s="15" t="n">
        <v>0.4244</v>
      </c>
      <c r="K466" s="11" t="str">
        <f aca="false">IF(I466&lt;J466,"TAK","NIE")</f>
        <v>NIE</v>
      </c>
    </row>
    <row r="467" customFormat="false" ht="15" hidden="false" customHeight="false" outlineLevel="0" collapsed="false">
      <c r="A467" s="5" t="s">
        <v>268</v>
      </c>
      <c r="B467" s="5" t="s">
        <v>53</v>
      </c>
      <c r="C467" s="5" t="n">
        <v>2019</v>
      </c>
      <c r="D467" s="5" t="s">
        <v>52</v>
      </c>
      <c r="E467" s="5" t="s">
        <v>46</v>
      </c>
      <c r="F467" s="5" t="s">
        <v>39</v>
      </c>
      <c r="G467" s="6" t="n">
        <v>557</v>
      </c>
      <c r="H467" s="6" t="n">
        <v>61</v>
      </c>
      <c r="I467" s="7" t="n">
        <f aca="false">(G467-H467)/G467</f>
        <v>0.89048473967684</v>
      </c>
      <c r="J467" s="15" t="n">
        <v>0.4244</v>
      </c>
      <c r="K467" s="11" t="str">
        <f aca="false">IF(I467&lt;J467,"TAK","NIE")</f>
        <v>NIE</v>
      </c>
    </row>
    <row r="468" customFormat="false" ht="15" hidden="false" customHeight="false" outlineLevel="0" collapsed="false">
      <c r="A468" s="5" t="s">
        <v>269</v>
      </c>
      <c r="B468" s="5" t="s">
        <v>53</v>
      </c>
      <c r="C468" s="5" t="n">
        <v>2019</v>
      </c>
      <c r="D468" s="5" t="s">
        <v>52</v>
      </c>
      <c r="E468" s="5" t="s">
        <v>46</v>
      </c>
      <c r="F468" s="5" t="s">
        <v>39</v>
      </c>
      <c r="G468" s="6" t="n">
        <v>547</v>
      </c>
      <c r="H468" s="6" t="n">
        <v>148</v>
      </c>
      <c r="I468" s="7" t="n">
        <f aca="false">(G468-H468)/G468</f>
        <v>0.729433272394881</v>
      </c>
      <c r="J468" s="15" t="n">
        <v>0.4244</v>
      </c>
      <c r="K468" s="11" t="str">
        <f aca="false">IF(I468&lt;J468,"TAK","NIE")</f>
        <v>NIE</v>
      </c>
    </row>
    <row r="469" customFormat="false" ht="15" hidden="false" customHeight="false" outlineLevel="0" collapsed="false">
      <c r="A469" s="5" t="s">
        <v>270</v>
      </c>
      <c r="B469" s="5" t="s">
        <v>53</v>
      </c>
      <c r="C469" s="5" t="n">
        <v>2019</v>
      </c>
      <c r="D469" s="5" t="s">
        <v>52</v>
      </c>
      <c r="E469" s="5" t="s">
        <v>46</v>
      </c>
      <c r="F469" s="5" t="s">
        <v>39</v>
      </c>
      <c r="G469" s="6" t="n">
        <v>571</v>
      </c>
      <c r="H469" s="6" t="n">
        <v>162</v>
      </c>
      <c r="I469" s="7" t="n">
        <f aca="false">(G469-H469)/G469</f>
        <v>0.716287215411559</v>
      </c>
      <c r="J469" s="15" t="n">
        <v>0.4244</v>
      </c>
      <c r="K469" s="11" t="str">
        <f aca="false">IF(I469&lt;J469,"TAK","NIE")</f>
        <v>NIE</v>
      </c>
    </row>
    <row r="470" customFormat="false" ht="15" hidden="false" customHeight="false" outlineLevel="0" collapsed="false">
      <c r="A470" s="5" t="s">
        <v>271</v>
      </c>
      <c r="B470" s="5" t="s">
        <v>53</v>
      </c>
      <c r="C470" s="5" t="n">
        <v>2019</v>
      </c>
      <c r="D470" s="5" t="s">
        <v>52</v>
      </c>
      <c r="E470" s="5" t="s">
        <v>46</v>
      </c>
      <c r="F470" s="5" t="s">
        <v>39</v>
      </c>
      <c r="G470" s="6" t="n">
        <v>581</v>
      </c>
      <c r="H470" s="6" t="n">
        <v>37</v>
      </c>
      <c r="I470" s="7" t="n">
        <f aca="false">(G470-H470)/G470</f>
        <v>0.93631669535284</v>
      </c>
      <c r="J470" s="15" t="n">
        <v>0.4244</v>
      </c>
      <c r="K470" s="11" t="str">
        <f aca="false">IF(I470&lt;J470,"TAK","NIE")</f>
        <v>NIE</v>
      </c>
    </row>
    <row r="471" customFormat="false" ht="15" hidden="false" customHeight="false" outlineLevel="0" collapsed="false">
      <c r="A471" s="5" t="s">
        <v>272</v>
      </c>
      <c r="B471" s="5" t="s">
        <v>53</v>
      </c>
      <c r="C471" s="5" t="n">
        <v>2019</v>
      </c>
      <c r="D471" s="5" t="s">
        <v>52</v>
      </c>
      <c r="E471" s="5" t="s">
        <v>46</v>
      </c>
      <c r="F471" s="5" t="s">
        <v>39</v>
      </c>
      <c r="G471" s="6" t="n">
        <v>581</v>
      </c>
      <c r="H471" s="6" t="n">
        <v>233</v>
      </c>
      <c r="I471" s="7" t="n">
        <f aca="false">(G471-H471)/G471</f>
        <v>0.598967297762479</v>
      </c>
      <c r="J471" s="15" t="n">
        <v>0.4244</v>
      </c>
      <c r="K471" s="11" t="str">
        <f aca="false">IF(I471&lt;J471,"TAK","NIE")</f>
        <v>NIE</v>
      </c>
    </row>
    <row r="472" customFormat="false" ht="15" hidden="false" customHeight="false" outlineLevel="0" collapsed="false">
      <c r="A472" s="5" t="s">
        <v>273</v>
      </c>
      <c r="B472" s="5" t="s">
        <v>53</v>
      </c>
      <c r="C472" s="5" t="n">
        <v>2019</v>
      </c>
      <c r="D472" s="5" t="s">
        <v>52</v>
      </c>
      <c r="E472" s="5" t="s">
        <v>46</v>
      </c>
      <c r="F472" s="5" t="s">
        <v>39</v>
      </c>
      <c r="G472" s="6" t="n">
        <v>571</v>
      </c>
      <c r="H472" s="6" t="n">
        <v>96</v>
      </c>
      <c r="I472" s="7" t="n">
        <f aca="false">(G472-H472)/G472</f>
        <v>0.831873905429072</v>
      </c>
      <c r="J472" s="15" t="n">
        <v>0.4244</v>
      </c>
      <c r="K472" s="11" t="str">
        <f aca="false">IF(I472&lt;J472,"TAK","NIE")</f>
        <v>NIE</v>
      </c>
    </row>
    <row r="473" customFormat="false" ht="15" hidden="false" customHeight="false" outlineLevel="0" collapsed="false">
      <c r="A473" s="5" t="s">
        <v>274</v>
      </c>
      <c r="B473" s="5" t="s">
        <v>53</v>
      </c>
      <c r="C473" s="5" t="n">
        <v>2019</v>
      </c>
      <c r="D473" s="5" t="s">
        <v>52</v>
      </c>
      <c r="E473" s="5" t="s">
        <v>46</v>
      </c>
      <c r="F473" s="5" t="s">
        <v>39</v>
      </c>
      <c r="G473" s="6" t="n">
        <v>581</v>
      </c>
      <c r="H473" s="6" t="n">
        <v>108</v>
      </c>
      <c r="I473" s="7" t="n">
        <f aca="false">(G473-H473)/G473</f>
        <v>0.814113597246127</v>
      </c>
      <c r="J473" s="15" t="n">
        <v>0.4244</v>
      </c>
      <c r="K473" s="11" t="str">
        <f aca="false">IF(I473&lt;J473,"TAK","NIE")</f>
        <v>NIE</v>
      </c>
    </row>
    <row r="474" customFormat="false" ht="15" hidden="false" customHeight="false" outlineLevel="0" collapsed="false">
      <c r="A474" s="5" t="s">
        <v>275</v>
      </c>
      <c r="B474" s="5" t="s">
        <v>53</v>
      </c>
      <c r="C474" s="5" t="n">
        <v>2019</v>
      </c>
      <c r="D474" s="5" t="s">
        <v>52</v>
      </c>
      <c r="E474" s="5" t="s">
        <v>46</v>
      </c>
      <c r="F474" s="5" t="s">
        <v>39</v>
      </c>
      <c r="G474" s="6" t="n">
        <v>557</v>
      </c>
      <c r="H474" s="6" t="n">
        <v>165</v>
      </c>
      <c r="I474" s="7" t="n">
        <f aca="false">(G474-H474)/G474</f>
        <v>0.703770197486535</v>
      </c>
      <c r="J474" s="15" t="n">
        <v>0.4244</v>
      </c>
      <c r="K474" s="11" t="str">
        <f aca="false">IF(I474&lt;J474,"TAK","NIE")</f>
        <v>NIE</v>
      </c>
    </row>
    <row r="475" customFormat="false" ht="15" hidden="false" customHeight="false" outlineLevel="0" collapsed="false">
      <c r="A475" s="5" t="s">
        <v>276</v>
      </c>
      <c r="B475" s="5" t="s">
        <v>53</v>
      </c>
      <c r="C475" s="5" t="n">
        <v>2019</v>
      </c>
      <c r="D475" s="5" t="s">
        <v>52</v>
      </c>
      <c r="E475" s="5" t="s">
        <v>46</v>
      </c>
      <c r="F475" s="5" t="s">
        <v>39</v>
      </c>
      <c r="G475" s="6" t="n">
        <v>557</v>
      </c>
      <c r="H475" s="6" t="n">
        <v>184</v>
      </c>
      <c r="I475" s="7" t="n">
        <f aca="false">(G475-H475)/G475</f>
        <v>0.669658886894075</v>
      </c>
      <c r="J475" s="15" t="n">
        <v>0.4244</v>
      </c>
      <c r="K475" s="11" t="str">
        <f aca="false">IF(I475&lt;J475,"TAK","NIE")</f>
        <v>NIE</v>
      </c>
    </row>
    <row r="476" customFormat="false" ht="15" hidden="false" customHeight="false" outlineLevel="0" collapsed="false">
      <c r="A476" s="5" t="s">
        <v>277</v>
      </c>
      <c r="B476" s="5" t="s">
        <v>53</v>
      </c>
      <c r="C476" s="5" t="n">
        <v>2019</v>
      </c>
      <c r="D476" s="5" t="s">
        <v>52</v>
      </c>
      <c r="E476" s="5" t="s">
        <v>46</v>
      </c>
      <c r="F476" s="5" t="s">
        <v>39</v>
      </c>
      <c r="G476" s="6" t="n">
        <v>581</v>
      </c>
      <c r="H476" s="6" t="n">
        <v>267</v>
      </c>
      <c r="I476" s="7" t="n">
        <f aca="false">(G476-H476)/G476</f>
        <v>0.540447504302926</v>
      </c>
      <c r="J476" s="15" t="n">
        <v>0.4244</v>
      </c>
      <c r="K476" s="11" t="str">
        <f aca="false">IF(I476&lt;J476,"TAK","NIE")</f>
        <v>NIE</v>
      </c>
    </row>
    <row r="477" customFormat="false" ht="15" hidden="false" customHeight="false" outlineLevel="0" collapsed="false">
      <c r="A477" s="5" t="s">
        <v>278</v>
      </c>
      <c r="B477" s="5" t="s">
        <v>53</v>
      </c>
      <c r="C477" s="5" t="n">
        <v>2019</v>
      </c>
      <c r="D477" s="5" t="s">
        <v>52</v>
      </c>
      <c r="E477" s="5" t="s">
        <v>46</v>
      </c>
      <c r="F477" s="5" t="s">
        <v>39</v>
      </c>
      <c r="G477" s="6" t="n">
        <v>547</v>
      </c>
      <c r="H477" s="6" t="n">
        <v>141</v>
      </c>
      <c r="I477" s="7" t="n">
        <f aca="false">(G477-H477)/G477</f>
        <v>0.742230347349177</v>
      </c>
      <c r="J477" s="15" t="n">
        <v>0.4244</v>
      </c>
      <c r="K477" s="11" t="str">
        <f aca="false">IF(I477&lt;J477,"TAK","NIE")</f>
        <v>NIE</v>
      </c>
    </row>
    <row r="478" customFormat="false" ht="15" hidden="false" customHeight="false" outlineLevel="0" collapsed="false">
      <c r="A478" s="5" t="s">
        <v>279</v>
      </c>
      <c r="B478" s="5" t="s">
        <v>53</v>
      </c>
      <c r="C478" s="5" t="n">
        <v>2019</v>
      </c>
      <c r="D478" s="5" t="s">
        <v>52</v>
      </c>
      <c r="E478" s="5" t="s">
        <v>46</v>
      </c>
      <c r="F478" s="5" t="s">
        <v>39</v>
      </c>
      <c r="G478" s="6" t="n">
        <v>581</v>
      </c>
      <c r="H478" s="6" t="n">
        <v>85</v>
      </c>
      <c r="I478" s="7" t="n">
        <f aca="false">(G478-H478)/G478</f>
        <v>0.853700516351119</v>
      </c>
      <c r="J478" s="15" t="n">
        <v>0.4244</v>
      </c>
      <c r="K478" s="11" t="str">
        <f aca="false">IF(I478&lt;J478,"TAK","NIE")</f>
        <v>NIE</v>
      </c>
    </row>
    <row r="479" customFormat="false" ht="15" hidden="false" customHeight="false" outlineLevel="0" collapsed="false">
      <c r="A479" s="5" t="s">
        <v>280</v>
      </c>
      <c r="B479" s="5" t="s">
        <v>53</v>
      </c>
      <c r="C479" s="5" t="n">
        <v>2019</v>
      </c>
      <c r="D479" s="5" t="s">
        <v>52</v>
      </c>
      <c r="E479" s="5" t="s">
        <v>46</v>
      </c>
      <c r="F479" s="5" t="s">
        <v>39</v>
      </c>
      <c r="G479" s="6" t="n">
        <v>547</v>
      </c>
      <c r="H479" s="6" t="n">
        <v>244</v>
      </c>
      <c r="I479" s="7" t="n">
        <f aca="false">(G479-H479)/G479</f>
        <v>0.553930530164534</v>
      </c>
      <c r="J479" s="15" t="n">
        <v>0.4244</v>
      </c>
      <c r="K479" s="11" t="str">
        <f aca="false">IF(I479&lt;J479,"TAK","NIE")</f>
        <v>NIE</v>
      </c>
    </row>
    <row r="480" customFormat="false" ht="15" hidden="false" customHeight="false" outlineLevel="0" collapsed="false">
      <c r="A480" s="5" t="s">
        <v>281</v>
      </c>
      <c r="B480" s="5" t="s">
        <v>53</v>
      </c>
      <c r="C480" s="5" t="n">
        <v>2019</v>
      </c>
      <c r="D480" s="5" t="s">
        <v>52</v>
      </c>
      <c r="E480" s="5" t="s">
        <v>46</v>
      </c>
      <c r="F480" s="5" t="s">
        <v>39</v>
      </c>
      <c r="G480" s="6" t="n">
        <v>581</v>
      </c>
      <c r="H480" s="6" t="n">
        <v>125</v>
      </c>
      <c r="I480" s="7" t="n">
        <f aca="false">(G480-H480)/G480</f>
        <v>0.784853700516351</v>
      </c>
      <c r="J480" s="15" t="n">
        <v>0.4244</v>
      </c>
      <c r="K480" s="11" t="str">
        <f aca="false">IF(I480&lt;J480,"TAK","NIE")</f>
        <v>NIE</v>
      </c>
    </row>
    <row r="481" customFormat="false" ht="15" hidden="false" customHeight="false" outlineLevel="0" collapsed="false">
      <c r="A481" s="5" t="s">
        <v>282</v>
      </c>
      <c r="B481" s="5" t="s">
        <v>53</v>
      </c>
      <c r="C481" s="5" t="n">
        <v>2019</v>
      </c>
      <c r="D481" s="5" t="s">
        <v>52</v>
      </c>
      <c r="E481" s="5" t="s">
        <v>46</v>
      </c>
      <c r="F481" s="5" t="s">
        <v>39</v>
      </c>
      <c r="G481" s="6" t="n">
        <v>571</v>
      </c>
      <c r="H481" s="6" t="n">
        <v>54</v>
      </c>
      <c r="I481" s="7" t="n">
        <f aca="false">(G481-H481)/G481</f>
        <v>0.905429071803853</v>
      </c>
      <c r="J481" s="15" t="n">
        <v>0.4244</v>
      </c>
      <c r="K481" s="11" t="str">
        <f aca="false">IF(I481&lt;J481,"TAK","NIE")</f>
        <v>NIE</v>
      </c>
    </row>
    <row r="482" customFormat="false" ht="15" hidden="false" customHeight="false" outlineLevel="0" collapsed="false">
      <c r="A482" s="5" t="s">
        <v>283</v>
      </c>
      <c r="B482" s="5" t="s">
        <v>53</v>
      </c>
      <c r="C482" s="5" t="n">
        <v>2019</v>
      </c>
      <c r="D482" s="5" t="s">
        <v>52</v>
      </c>
      <c r="E482" s="5" t="s">
        <v>46</v>
      </c>
      <c r="F482" s="5" t="s">
        <v>39</v>
      </c>
      <c r="G482" s="6" t="n">
        <v>581</v>
      </c>
      <c r="H482" s="6" t="n">
        <v>122</v>
      </c>
      <c r="I482" s="7" t="n">
        <f aca="false">(G482-H482)/G482</f>
        <v>0.790017211703959</v>
      </c>
      <c r="J482" s="15" t="n">
        <v>0.4244</v>
      </c>
      <c r="K482" s="11" t="str">
        <f aca="false">IF(I482&lt;J482,"TAK","NIE")</f>
        <v>NIE</v>
      </c>
    </row>
    <row r="483" customFormat="false" ht="15" hidden="false" customHeight="false" outlineLevel="0" collapsed="false">
      <c r="A483" s="5" t="s">
        <v>284</v>
      </c>
      <c r="B483" s="5" t="s">
        <v>53</v>
      </c>
      <c r="C483" s="5" t="n">
        <v>2019</v>
      </c>
      <c r="D483" s="5" t="s">
        <v>52</v>
      </c>
      <c r="E483" s="5" t="s">
        <v>46</v>
      </c>
      <c r="F483" s="5" t="s">
        <v>39</v>
      </c>
      <c r="G483" s="6" t="n">
        <v>581</v>
      </c>
      <c r="H483" s="6" t="n">
        <v>82</v>
      </c>
      <c r="I483" s="7" t="n">
        <f aca="false">(G483-H483)/G483</f>
        <v>0.858864027538726</v>
      </c>
      <c r="J483" s="15" t="n">
        <v>0.4244</v>
      </c>
      <c r="K483" s="11" t="str">
        <f aca="false">IF(I483&lt;J483,"TAK","NIE")</f>
        <v>NIE</v>
      </c>
    </row>
    <row r="484" customFormat="false" ht="15" hidden="false" customHeight="false" outlineLevel="0" collapsed="false">
      <c r="A484" s="5" t="s">
        <v>285</v>
      </c>
      <c r="B484" s="5" t="s">
        <v>53</v>
      </c>
      <c r="C484" s="5" t="n">
        <v>2019</v>
      </c>
      <c r="D484" s="5" t="s">
        <v>52</v>
      </c>
      <c r="E484" s="5" t="s">
        <v>46</v>
      </c>
      <c r="F484" s="5" t="s">
        <v>39</v>
      </c>
      <c r="G484" s="6" t="n">
        <v>547</v>
      </c>
      <c r="H484" s="6" t="n">
        <v>131</v>
      </c>
      <c r="I484" s="7" t="n">
        <f aca="false">(G484-H484)/G484</f>
        <v>0.760511882998172</v>
      </c>
      <c r="J484" s="15" t="n">
        <v>0.4244</v>
      </c>
      <c r="K484" s="11" t="str">
        <f aca="false">IF(I484&lt;J484,"TAK","NIE")</f>
        <v>NIE</v>
      </c>
    </row>
    <row r="485" customFormat="false" ht="15" hidden="false" customHeight="false" outlineLevel="0" collapsed="false">
      <c r="A485" s="5" t="s">
        <v>286</v>
      </c>
      <c r="B485" s="5" t="s">
        <v>53</v>
      </c>
      <c r="C485" s="5" t="n">
        <v>2019</v>
      </c>
      <c r="D485" s="5" t="s">
        <v>52</v>
      </c>
      <c r="E485" s="5" t="s">
        <v>46</v>
      </c>
      <c r="F485" s="5" t="s">
        <v>39</v>
      </c>
      <c r="G485" s="6" t="n">
        <v>557</v>
      </c>
      <c r="H485" s="6" t="n">
        <v>273</v>
      </c>
      <c r="I485" s="7" t="n">
        <f aca="false">(G485-H485)/G485</f>
        <v>0.509874326750449</v>
      </c>
      <c r="J485" s="15" t="n">
        <v>0.4244</v>
      </c>
      <c r="K485" s="11" t="str">
        <f aca="false">IF(I485&lt;J485,"TAK","NIE")</f>
        <v>NIE</v>
      </c>
    </row>
    <row r="486" customFormat="false" ht="15" hidden="false" customHeight="false" outlineLevel="0" collapsed="false">
      <c r="A486" s="5" t="s">
        <v>287</v>
      </c>
      <c r="B486" s="5" t="s">
        <v>53</v>
      </c>
      <c r="C486" s="5" t="n">
        <v>2019</v>
      </c>
      <c r="D486" s="5" t="s">
        <v>52</v>
      </c>
      <c r="E486" s="5" t="s">
        <v>46</v>
      </c>
      <c r="F486" s="5" t="s">
        <v>39</v>
      </c>
      <c r="G486" s="6" t="n">
        <v>571</v>
      </c>
      <c r="H486" s="6" t="n">
        <v>57</v>
      </c>
      <c r="I486" s="7" t="n">
        <f aca="false">(G486-H486)/G486</f>
        <v>0.900175131348511</v>
      </c>
      <c r="J486" s="15" t="n">
        <v>0.4244</v>
      </c>
      <c r="K486" s="11" t="str">
        <f aca="false">IF(I486&lt;J486,"TAK","NIE")</f>
        <v>NIE</v>
      </c>
    </row>
    <row r="487" customFormat="false" ht="15" hidden="false" customHeight="false" outlineLevel="0" collapsed="false">
      <c r="A487" s="5" t="s">
        <v>288</v>
      </c>
      <c r="B487" s="5" t="s">
        <v>53</v>
      </c>
      <c r="C487" s="5" t="n">
        <v>2019</v>
      </c>
      <c r="D487" s="5" t="s">
        <v>52</v>
      </c>
      <c r="E487" s="5" t="s">
        <v>46</v>
      </c>
      <c r="F487" s="5" t="s">
        <v>39</v>
      </c>
      <c r="G487" s="6" t="n">
        <v>553</v>
      </c>
      <c r="H487" s="6" t="n">
        <v>259</v>
      </c>
      <c r="I487" s="7" t="n">
        <f aca="false">(G487-H487)/G487</f>
        <v>0.531645569620253</v>
      </c>
      <c r="J487" s="15" t="n">
        <v>0.4244</v>
      </c>
      <c r="K487" s="11" t="str">
        <f aca="false">IF(I487&lt;J487,"TAK","NIE")</f>
        <v>NIE</v>
      </c>
    </row>
    <row r="488" customFormat="false" ht="15" hidden="false" customHeight="false" outlineLevel="0" collapsed="false">
      <c r="A488" s="5" t="s">
        <v>289</v>
      </c>
      <c r="B488" s="5" t="s">
        <v>53</v>
      </c>
      <c r="C488" s="5" t="n">
        <v>2019</v>
      </c>
      <c r="D488" s="5" t="s">
        <v>52</v>
      </c>
      <c r="E488" s="5" t="s">
        <v>46</v>
      </c>
      <c r="F488" s="5" t="s">
        <v>39</v>
      </c>
      <c r="G488" s="6" t="n">
        <v>581</v>
      </c>
      <c r="H488" s="6" t="n">
        <v>149</v>
      </c>
      <c r="I488" s="7" t="n">
        <f aca="false">(G488-H488)/G488</f>
        <v>0.743545611015491</v>
      </c>
      <c r="J488" s="15" t="n">
        <v>0.4244</v>
      </c>
      <c r="K488" s="11" t="str">
        <f aca="false">IF(I488&lt;J488,"TAK","NIE")</f>
        <v>NIE</v>
      </c>
    </row>
    <row r="489" customFormat="false" ht="15" hidden="false" customHeight="false" outlineLevel="0" collapsed="false">
      <c r="A489" s="5" t="s">
        <v>290</v>
      </c>
      <c r="B489" s="5" t="s">
        <v>53</v>
      </c>
      <c r="C489" s="5" t="n">
        <v>2019</v>
      </c>
      <c r="D489" s="5" t="s">
        <v>52</v>
      </c>
      <c r="E489" s="5" t="s">
        <v>46</v>
      </c>
      <c r="F489" s="5" t="s">
        <v>39</v>
      </c>
      <c r="G489" s="6" t="n">
        <v>571</v>
      </c>
      <c r="H489" s="6" t="n">
        <v>191</v>
      </c>
      <c r="I489" s="7" t="n">
        <f aca="false">(G489-H489)/G489</f>
        <v>0.665499124343257</v>
      </c>
      <c r="J489" s="15" t="n">
        <v>0.4244</v>
      </c>
      <c r="K489" s="11" t="str">
        <f aca="false">IF(I489&lt;J489,"TAK","NIE")</f>
        <v>NIE</v>
      </c>
    </row>
    <row r="490" customFormat="false" ht="15" hidden="false" customHeight="false" outlineLevel="0" collapsed="false">
      <c r="A490" s="5" t="s">
        <v>291</v>
      </c>
      <c r="B490" s="5" t="s">
        <v>53</v>
      </c>
      <c r="C490" s="5" t="n">
        <v>2019</v>
      </c>
      <c r="D490" s="5" t="s">
        <v>52</v>
      </c>
      <c r="E490" s="5" t="s">
        <v>46</v>
      </c>
      <c r="F490" s="5" t="s">
        <v>39</v>
      </c>
      <c r="G490" s="6" t="n">
        <v>581</v>
      </c>
      <c r="H490" s="6" t="n">
        <v>147</v>
      </c>
      <c r="I490" s="7" t="n">
        <f aca="false">(G490-H490)/G490</f>
        <v>0.746987951807229</v>
      </c>
      <c r="J490" s="15" t="n">
        <v>0.4244</v>
      </c>
      <c r="K490" s="11" t="str">
        <f aca="false">IF(I490&lt;J490,"TAK","NIE")</f>
        <v>NIE</v>
      </c>
    </row>
    <row r="491" customFormat="false" ht="15" hidden="false" customHeight="false" outlineLevel="0" collapsed="false">
      <c r="A491" s="5" t="s">
        <v>292</v>
      </c>
      <c r="B491" s="5" t="s">
        <v>53</v>
      </c>
      <c r="C491" s="5" t="n">
        <v>2019</v>
      </c>
      <c r="D491" s="5" t="s">
        <v>52</v>
      </c>
      <c r="E491" s="5" t="s">
        <v>46</v>
      </c>
      <c r="F491" s="5" t="s">
        <v>39</v>
      </c>
      <c r="G491" s="6" t="n">
        <v>686</v>
      </c>
      <c r="H491" s="6" t="n">
        <v>417</v>
      </c>
      <c r="I491" s="7" t="n">
        <f aca="false">(G491-H491)/G491</f>
        <v>0.392128279883382</v>
      </c>
      <c r="J491" s="15" t="n">
        <v>0.4244</v>
      </c>
      <c r="K491" s="11" t="str">
        <f aca="false">IF(I491&lt;J491,"TAK","NIE")</f>
        <v>TAK</v>
      </c>
    </row>
    <row r="492" customFormat="false" ht="15" hidden="false" customHeight="false" outlineLevel="0" collapsed="false">
      <c r="A492" s="5" t="s">
        <v>263</v>
      </c>
      <c r="B492" s="5" t="s">
        <v>53</v>
      </c>
      <c r="C492" s="5" t="n">
        <v>2019</v>
      </c>
      <c r="D492" s="5" t="s">
        <v>52</v>
      </c>
      <c r="E492" s="5" t="s">
        <v>46</v>
      </c>
      <c r="F492" s="5" t="s">
        <v>40</v>
      </c>
      <c r="G492" s="6" t="n">
        <v>486</v>
      </c>
      <c r="H492" s="6" t="n">
        <v>116</v>
      </c>
      <c r="I492" s="7" t="n">
        <f aca="false">(G492-H492)/G492</f>
        <v>0.761316872427984</v>
      </c>
      <c r="J492" s="15" t="n">
        <v>0.4285</v>
      </c>
      <c r="K492" s="11" t="str">
        <f aca="false">IF(I492&lt;J492,"TAK","NIE")</f>
        <v>NIE</v>
      </c>
    </row>
    <row r="493" customFormat="false" ht="15" hidden="false" customHeight="false" outlineLevel="0" collapsed="false">
      <c r="A493" s="5" t="s">
        <v>264</v>
      </c>
      <c r="B493" s="5" t="s">
        <v>53</v>
      </c>
      <c r="C493" s="5" t="n">
        <v>2019</v>
      </c>
      <c r="D493" s="5" t="s">
        <v>52</v>
      </c>
      <c r="E493" s="5" t="s">
        <v>46</v>
      </c>
      <c r="F493" s="5" t="s">
        <v>40</v>
      </c>
      <c r="G493" s="6" t="n">
        <v>486</v>
      </c>
      <c r="H493" s="6" t="n">
        <v>128</v>
      </c>
      <c r="I493" s="7" t="n">
        <f aca="false">(G493-H493)/G493</f>
        <v>0.736625514403292</v>
      </c>
      <c r="J493" s="15" t="n">
        <v>0.4285</v>
      </c>
      <c r="K493" s="11" t="str">
        <f aca="false">IF(I493&lt;J493,"TAK","NIE")</f>
        <v>NIE</v>
      </c>
    </row>
    <row r="494" customFormat="false" ht="15" hidden="false" customHeight="false" outlineLevel="0" collapsed="false">
      <c r="A494" s="5" t="s">
        <v>265</v>
      </c>
      <c r="B494" s="5" t="s">
        <v>53</v>
      </c>
      <c r="C494" s="5" t="n">
        <v>2019</v>
      </c>
      <c r="D494" s="5" t="s">
        <v>52</v>
      </c>
      <c r="E494" s="5" t="s">
        <v>46</v>
      </c>
      <c r="F494" s="5" t="s">
        <v>40</v>
      </c>
      <c r="G494" s="6" t="n">
        <v>508</v>
      </c>
      <c r="H494" s="6" t="n">
        <v>235</v>
      </c>
      <c r="I494" s="7" t="n">
        <f aca="false">(G494-H494)/G494</f>
        <v>0.53740157480315</v>
      </c>
      <c r="J494" s="15" t="n">
        <v>0.4285</v>
      </c>
      <c r="K494" s="11" t="str">
        <f aca="false">IF(I494&lt;J494,"TAK","NIE")</f>
        <v>NIE</v>
      </c>
    </row>
    <row r="495" customFormat="false" ht="15" hidden="false" customHeight="false" outlineLevel="0" collapsed="false">
      <c r="A495" s="5" t="s">
        <v>266</v>
      </c>
      <c r="B495" s="5" t="s">
        <v>53</v>
      </c>
      <c r="C495" s="5" t="n">
        <v>2019</v>
      </c>
      <c r="D495" s="5" t="s">
        <v>52</v>
      </c>
      <c r="E495" s="5" t="s">
        <v>46</v>
      </c>
      <c r="F495" s="5" t="s">
        <v>40</v>
      </c>
      <c r="G495" s="6" t="n">
        <v>474</v>
      </c>
      <c r="H495" s="6" t="n">
        <v>65</v>
      </c>
      <c r="I495" s="7" t="n">
        <f aca="false">(G495-H495)/G495</f>
        <v>0.862869198312236</v>
      </c>
      <c r="J495" s="15" t="n">
        <v>0.4285</v>
      </c>
      <c r="K495" s="11" t="str">
        <f aca="false">IF(I495&lt;J495,"TAK","NIE")</f>
        <v>NIE</v>
      </c>
    </row>
    <row r="496" customFormat="false" ht="15" hidden="false" customHeight="false" outlineLevel="0" collapsed="false">
      <c r="A496" s="5" t="s">
        <v>267</v>
      </c>
      <c r="B496" s="5" t="s">
        <v>53</v>
      </c>
      <c r="C496" s="5" t="n">
        <v>2019</v>
      </c>
      <c r="D496" s="5" t="s">
        <v>52</v>
      </c>
      <c r="E496" s="5" t="s">
        <v>46</v>
      </c>
      <c r="F496" s="5" t="s">
        <v>40</v>
      </c>
      <c r="G496" s="6" t="n">
        <v>486</v>
      </c>
      <c r="H496" s="6" t="n">
        <v>119</v>
      </c>
      <c r="I496" s="7" t="n">
        <f aca="false">(G496-H496)/G496</f>
        <v>0.755144032921811</v>
      </c>
      <c r="J496" s="15" t="n">
        <v>0.4285</v>
      </c>
      <c r="K496" s="11" t="str">
        <f aca="false">IF(I496&lt;J496,"TAK","NIE")</f>
        <v>NIE</v>
      </c>
    </row>
    <row r="497" customFormat="false" ht="15" hidden="false" customHeight="false" outlineLevel="0" collapsed="false">
      <c r="A497" s="5" t="s">
        <v>268</v>
      </c>
      <c r="B497" s="5" t="s">
        <v>53</v>
      </c>
      <c r="C497" s="5" t="n">
        <v>2019</v>
      </c>
      <c r="D497" s="5" t="s">
        <v>52</v>
      </c>
      <c r="E497" s="5" t="s">
        <v>46</v>
      </c>
      <c r="F497" s="5" t="s">
        <v>40</v>
      </c>
      <c r="G497" s="6" t="n">
        <v>496</v>
      </c>
      <c r="H497" s="6" t="n">
        <v>71</v>
      </c>
      <c r="I497" s="7" t="n">
        <f aca="false">(G497-H497)/G497</f>
        <v>0.856854838709677</v>
      </c>
      <c r="J497" s="15" t="n">
        <v>0.4285</v>
      </c>
      <c r="K497" s="11" t="str">
        <f aca="false">IF(I497&lt;J497,"TAK","NIE")</f>
        <v>NIE</v>
      </c>
    </row>
    <row r="498" customFormat="false" ht="15" hidden="false" customHeight="false" outlineLevel="0" collapsed="false">
      <c r="A498" s="5" t="s">
        <v>269</v>
      </c>
      <c r="B498" s="5" t="s">
        <v>53</v>
      </c>
      <c r="C498" s="5" t="n">
        <v>2019</v>
      </c>
      <c r="D498" s="5" t="s">
        <v>52</v>
      </c>
      <c r="E498" s="5" t="s">
        <v>46</v>
      </c>
      <c r="F498" s="5" t="s">
        <v>40</v>
      </c>
      <c r="G498" s="6" t="n">
        <v>474</v>
      </c>
      <c r="H498" s="6" t="n">
        <v>177</v>
      </c>
      <c r="I498" s="7" t="n">
        <f aca="false">(G498-H498)/G498</f>
        <v>0.626582278481013</v>
      </c>
      <c r="J498" s="15" t="n">
        <v>0.4285</v>
      </c>
      <c r="K498" s="11" t="str">
        <f aca="false">IF(I498&lt;J498,"TAK","NIE")</f>
        <v>NIE</v>
      </c>
    </row>
    <row r="499" customFormat="false" ht="15" hidden="false" customHeight="false" outlineLevel="0" collapsed="false">
      <c r="A499" s="5" t="s">
        <v>270</v>
      </c>
      <c r="B499" s="5" t="s">
        <v>53</v>
      </c>
      <c r="C499" s="5" t="n">
        <v>2019</v>
      </c>
      <c r="D499" s="5" t="s">
        <v>52</v>
      </c>
      <c r="E499" s="5" t="s">
        <v>46</v>
      </c>
      <c r="F499" s="5" t="s">
        <v>40</v>
      </c>
      <c r="G499" s="6" t="n">
        <v>486</v>
      </c>
      <c r="H499" s="6" t="n">
        <v>130</v>
      </c>
      <c r="I499" s="7" t="n">
        <f aca="false">(G499-H499)/G499</f>
        <v>0.732510288065844</v>
      </c>
      <c r="J499" s="15" t="n">
        <v>0.4285</v>
      </c>
      <c r="K499" s="11" t="str">
        <f aca="false">IF(I499&lt;J499,"TAK","NIE")</f>
        <v>NIE</v>
      </c>
    </row>
    <row r="500" customFormat="false" ht="15" hidden="false" customHeight="false" outlineLevel="0" collapsed="false">
      <c r="A500" s="5" t="s">
        <v>271</v>
      </c>
      <c r="B500" s="5" t="s">
        <v>53</v>
      </c>
      <c r="C500" s="5" t="n">
        <v>2019</v>
      </c>
      <c r="D500" s="5" t="s">
        <v>52</v>
      </c>
      <c r="E500" s="5" t="s">
        <v>46</v>
      </c>
      <c r="F500" s="5" t="s">
        <v>40</v>
      </c>
      <c r="G500" s="6" t="n">
        <v>508</v>
      </c>
      <c r="H500" s="6" t="n">
        <v>85</v>
      </c>
      <c r="I500" s="7" t="n">
        <f aca="false">(G500-H500)/G500</f>
        <v>0.832677165354331</v>
      </c>
      <c r="J500" s="15" t="n">
        <v>0.4285</v>
      </c>
      <c r="K500" s="11" t="str">
        <f aca="false">IF(I500&lt;J500,"TAK","NIE")</f>
        <v>NIE</v>
      </c>
    </row>
    <row r="501" customFormat="false" ht="15" hidden="false" customHeight="false" outlineLevel="0" collapsed="false">
      <c r="A501" s="5" t="s">
        <v>272</v>
      </c>
      <c r="B501" s="5" t="s">
        <v>53</v>
      </c>
      <c r="C501" s="5" t="n">
        <v>2019</v>
      </c>
      <c r="D501" s="5" t="s">
        <v>52</v>
      </c>
      <c r="E501" s="5" t="s">
        <v>46</v>
      </c>
      <c r="F501" s="5" t="s">
        <v>40</v>
      </c>
      <c r="G501" s="6" t="n">
        <v>508</v>
      </c>
      <c r="H501" s="6" t="n">
        <v>195</v>
      </c>
      <c r="I501" s="7" t="n">
        <f aca="false">(G501-H501)/G501</f>
        <v>0.616141732283465</v>
      </c>
      <c r="J501" s="15" t="n">
        <v>0.4285</v>
      </c>
      <c r="K501" s="11" t="str">
        <f aca="false">IF(I501&lt;J501,"TAK","NIE")</f>
        <v>NIE</v>
      </c>
    </row>
    <row r="502" customFormat="false" ht="15" hidden="false" customHeight="false" outlineLevel="0" collapsed="false">
      <c r="A502" s="5" t="s">
        <v>273</v>
      </c>
      <c r="B502" s="5" t="s">
        <v>53</v>
      </c>
      <c r="C502" s="5" t="n">
        <v>2019</v>
      </c>
      <c r="D502" s="5" t="s">
        <v>52</v>
      </c>
      <c r="E502" s="5" t="s">
        <v>46</v>
      </c>
      <c r="F502" s="5" t="s">
        <v>40</v>
      </c>
      <c r="G502" s="6" t="n">
        <v>486</v>
      </c>
      <c r="H502" s="6" t="n">
        <v>172</v>
      </c>
      <c r="I502" s="7" t="n">
        <f aca="false">(G502-H502)/G502</f>
        <v>0.646090534979424</v>
      </c>
      <c r="J502" s="15" t="n">
        <v>0.4285</v>
      </c>
      <c r="K502" s="11" t="str">
        <f aca="false">IF(I502&lt;J502,"TAK","NIE")</f>
        <v>NIE</v>
      </c>
    </row>
    <row r="503" customFormat="false" ht="15" hidden="false" customHeight="false" outlineLevel="0" collapsed="false">
      <c r="A503" s="5" t="s">
        <v>274</v>
      </c>
      <c r="B503" s="5" t="s">
        <v>53</v>
      </c>
      <c r="C503" s="5" t="n">
        <v>2019</v>
      </c>
      <c r="D503" s="5" t="s">
        <v>52</v>
      </c>
      <c r="E503" s="5" t="s">
        <v>46</v>
      </c>
      <c r="F503" s="5" t="s">
        <v>40</v>
      </c>
      <c r="G503" s="6" t="n">
        <v>508</v>
      </c>
      <c r="H503" s="6" t="n">
        <v>159</v>
      </c>
      <c r="I503" s="7" t="n">
        <f aca="false">(G503-H503)/G503</f>
        <v>0.687007874015748</v>
      </c>
      <c r="J503" s="15" t="n">
        <v>0.4285</v>
      </c>
      <c r="K503" s="11" t="str">
        <f aca="false">IF(I503&lt;J503,"TAK","NIE")</f>
        <v>NIE</v>
      </c>
    </row>
    <row r="504" customFormat="false" ht="15" hidden="false" customHeight="false" outlineLevel="0" collapsed="false">
      <c r="A504" s="5" t="s">
        <v>275</v>
      </c>
      <c r="B504" s="5" t="s">
        <v>53</v>
      </c>
      <c r="C504" s="5" t="n">
        <v>2019</v>
      </c>
      <c r="D504" s="5" t="s">
        <v>52</v>
      </c>
      <c r="E504" s="5" t="s">
        <v>46</v>
      </c>
      <c r="F504" s="5" t="s">
        <v>40</v>
      </c>
      <c r="G504" s="6" t="n">
        <v>496</v>
      </c>
      <c r="H504" s="6" t="n">
        <v>189</v>
      </c>
      <c r="I504" s="7" t="n">
        <f aca="false">(G504-H504)/G504</f>
        <v>0.618951612903226</v>
      </c>
      <c r="J504" s="15" t="n">
        <v>0.4285</v>
      </c>
      <c r="K504" s="11" t="str">
        <f aca="false">IF(I504&lt;J504,"TAK","NIE")</f>
        <v>NIE</v>
      </c>
    </row>
    <row r="505" customFormat="false" ht="15" hidden="false" customHeight="false" outlineLevel="0" collapsed="false">
      <c r="A505" s="5" t="s">
        <v>276</v>
      </c>
      <c r="B505" s="5" t="s">
        <v>53</v>
      </c>
      <c r="C505" s="5" t="n">
        <v>2019</v>
      </c>
      <c r="D505" s="5" t="s">
        <v>52</v>
      </c>
      <c r="E505" s="5" t="s">
        <v>46</v>
      </c>
      <c r="F505" s="5" t="s">
        <v>40</v>
      </c>
      <c r="G505" s="6" t="n">
        <v>474</v>
      </c>
      <c r="H505" s="6" t="n">
        <v>111</v>
      </c>
      <c r="I505" s="7" t="n">
        <f aca="false">(G505-H505)/G505</f>
        <v>0.765822784810127</v>
      </c>
      <c r="J505" s="15" t="n">
        <v>0.4285</v>
      </c>
      <c r="K505" s="11" t="str">
        <f aca="false">IF(I505&lt;J505,"TAK","NIE")</f>
        <v>NIE</v>
      </c>
    </row>
    <row r="506" customFormat="false" ht="15" hidden="false" customHeight="false" outlineLevel="0" collapsed="false">
      <c r="A506" s="5" t="s">
        <v>277</v>
      </c>
      <c r="B506" s="5" t="s">
        <v>53</v>
      </c>
      <c r="C506" s="5" t="n">
        <v>2019</v>
      </c>
      <c r="D506" s="5" t="s">
        <v>52</v>
      </c>
      <c r="E506" s="5" t="s">
        <v>46</v>
      </c>
      <c r="F506" s="5" t="s">
        <v>40</v>
      </c>
      <c r="G506" s="6" t="n">
        <v>508</v>
      </c>
      <c r="H506" s="6" t="n">
        <v>290</v>
      </c>
      <c r="I506" s="7" t="n">
        <f aca="false">(G506-H506)/G506</f>
        <v>0.429133858267717</v>
      </c>
      <c r="J506" s="15" t="n">
        <v>0.4285</v>
      </c>
      <c r="K506" s="11" t="str">
        <f aca="false">IF(I506&lt;J506,"TAK","NIE")</f>
        <v>NIE</v>
      </c>
    </row>
    <row r="507" customFormat="false" ht="15" hidden="false" customHeight="false" outlineLevel="0" collapsed="false">
      <c r="A507" s="5" t="s">
        <v>278</v>
      </c>
      <c r="B507" s="5" t="s">
        <v>53</v>
      </c>
      <c r="C507" s="5" t="n">
        <v>2019</v>
      </c>
      <c r="D507" s="5" t="s">
        <v>52</v>
      </c>
      <c r="E507" s="5" t="s">
        <v>46</v>
      </c>
      <c r="F507" s="5" t="s">
        <v>40</v>
      </c>
      <c r="G507" s="6" t="n">
        <v>474</v>
      </c>
      <c r="H507" s="6" t="n">
        <v>142</v>
      </c>
      <c r="I507" s="7" t="n">
        <f aca="false">(G507-H507)/G507</f>
        <v>0.70042194092827</v>
      </c>
      <c r="J507" s="15" t="n">
        <v>0.4285</v>
      </c>
      <c r="K507" s="11" t="str">
        <f aca="false">IF(I507&lt;J507,"TAK","NIE")</f>
        <v>NIE</v>
      </c>
    </row>
    <row r="508" customFormat="false" ht="15" hidden="false" customHeight="false" outlineLevel="0" collapsed="false">
      <c r="A508" s="5" t="s">
        <v>279</v>
      </c>
      <c r="B508" s="5" t="s">
        <v>53</v>
      </c>
      <c r="C508" s="5" t="n">
        <v>2019</v>
      </c>
      <c r="D508" s="5" t="s">
        <v>52</v>
      </c>
      <c r="E508" s="5" t="s">
        <v>46</v>
      </c>
      <c r="F508" s="5" t="s">
        <v>40</v>
      </c>
      <c r="G508" s="6" t="n">
        <v>508</v>
      </c>
      <c r="H508" s="6" t="n">
        <v>156</v>
      </c>
      <c r="I508" s="7" t="n">
        <f aca="false">(G508-H508)/G508</f>
        <v>0.692913385826772</v>
      </c>
      <c r="J508" s="15" t="n">
        <v>0.4285</v>
      </c>
      <c r="K508" s="11" t="str">
        <f aca="false">IF(I508&lt;J508,"TAK","NIE")</f>
        <v>NIE</v>
      </c>
    </row>
    <row r="509" customFormat="false" ht="15" hidden="false" customHeight="false" outlineLevel="0" collapsed="false">
      <c r="A509" s="5" t="s">
        <v>280</v>
      </c>
      <c r="B509" s="5" t="s">
        <v>53</v>
      </c>
      <c r="C509" s="5" t="n">
        <v>2019</v>
      </c>
      <c r="D509" s="5" t="s">
        <v>52</v>
      </c>
      <c r="E509" s="5" t="s">
        <v>46</v>
      </c>
      <c r="F509" s="5" t="s">
        <v>40</v>
      </c>
      <c r="G509" s="6" t="n">
        <v>474</v>
      </c>
      <c r="H509" s="6" t="n">
        <v>197</v>
      </c>
      <c r="I509" s="7" t="n">
        <f aca="false">(G509-H509)/G509</f>
        <v>0.584388185654008</v>
      </c>
      <c r="J509" s="15" t="n">
        <v>0.4285</v>
      </c>
      <c r="K509" s="11" t="str">
        <f aca="false">IF(I509&lt;J509,"TAK","NIE")</f>
        <v>NIE</v>
      </c>
    </row>
    <row r="510" customFormat="false" ht="15" hidden="false" customHeight="false" outlineLevel="0" collapsed="false">
      <c r="A510" s="5" t="s">
        <v>281</v>
      </c>
      <c r="B510" s="5" t="s">
        <v>53</v>
      </c>
      <c r="C510" s="5" t="n">
        <v>2019</v>
      </c>
      <c r="D510" s="5" t="s">
        <v>52</v>
      </c>
      <c r="E510" s="5" t="s">
        <v>46</v>
      </c>
      <c r="F510" s="5" t="s">
        <v>40</v>
      </c>
      <c r="G510" s="6" t="n">
        <v>508</v>
      </c>
      <c r="H510" s="6" t="n">
        <v>165</v>
      </c>
      <c r="I510" s="7" t="n">
        <f aca="false">(G510-H510)/G510</f>
        <v>0.675196850393701</v>
      </c>
      <c r="J510" s="15" t="n">
        <v>0.4285</v>
      </c>
      <c r="K510" s="11" t="str">
        <f aca="false">IF(I510&lt;J510,"TAK","NIE")</f>
        <v>NIE</v>
      </c>
    </row>
    <row r="511" customFormat="false" ht="15" hidden="false" customHeight="false" outlineLevel="0" collapsed="false">
      <c r="A511" s="5" t="s">
        <v>282</v>
      </c>
      <c r="B511" s="5" t="s">
        <v>53</v>
      </c>
      <c r="C511" s="5" t="n">
        <v>2019</v>
      </c>
      <c r="D511" s="5" t="s">
        <v>52</v>
      </c>
      <c r="E511" s="5" t="s">
        <v>46</v>
      </c>
      <c r="F511" s="5" t="s">
        <v>40</v>
      </c>
      <c r="G511" s="6" t="n">
        <v>486</v>
      </c>
      <c r="H511" s="6" t="n">
        <v>133</v>
      </c>
      <c r="I511" s="7" t="n">
        <f aca="false">(G511-H511)/G511</f>
        <v>0.726337448559671</v>
      </c>
      <c r="J511" s="15" t="n">
        <v>0.4285</v>
      </c>
      <c r="K511" s="11" t="str">
        <f aca="false">IF(I511&lt;J511,"TAK","NIE")</f>
        <v>NIE</v>
      </c>
    </row>
    <row r="512" customFormat="false" ht="15" hidden="false" customHeight="false" outlineLevel="0" collapsed="false">
      <c r="A512" s="5" t="s">
        <v>283</v>
      </c>
      <c r="B512" s="5" t="s">
        <v>53</v>
      </c>
      <c r="C512" s="5" t="n">
        <v>2019</v>
      </c>
      <c r="D512" s="5" t="s">
        <v>52</v>
      </c>
      <c r="E512" s="5" t="s">
        <v>46</v>
      </c>
      <c r="F512" s="5" t="s">
        <v>40</v>
      </c>
      <c r="G512" s="6" t="n">
        <v>508</v>
      </c>
      <c r="H512" s="6" t="n">
        <v>180</v>
      </c>
      <c r="I512" s="7" t="n">
        <f aca="false">(G512-H512)/G512</f>
        <v>0.645669291338583</v>
      </c>
      <c r="J512" s="15" t="n">
        <v>0.4285</v>
      </c>
      <c r="K512" s="11" t="str">
        <f aca="false">IF(I512&lt;J512,"TAK","NIE")</f>
        <v>NIE</v>
      </c>
    </row>
    <row r="513" customFormat="false" ht="15" hidden="false" customHeight="false" outlineLevel="0" collapsed="false">
      <c r="A513" s="5" t="s">
        <v>284</v>
      </c>
      <c r="B513" s="5" t="s">
        <v>53</v>
      </c>
      <c r="C513" s="5" t="n">
        <v>2019</v>
      </c>
      <c r="D513" s="5" t="s">
        <v>52</v>
      </c>
      <c r="E513" s="5" t="s">
        <v>46</v>
      </c>
      <c r="F513" s="5" t="s">
        <v>40</v>
      </c>
      <c r="G513" s="6" t="n">
        <v>508</v>
      </c>
      <c r="H513" s="6" t="n">
        <v>104</v>
      </c>
      <c r="I513" s="7" t="n">
        <f aca="false">(G513-H513)/G513</f>
        <v>0.795275590551181</v>
      </c>
      <c r="J513" s="15" t="n">
        <v>0.4285</v>
      </c>
      <c r="K513" s="11" t="str">
        <f aca="false">IF(I513&lt;J513,"TAK","NIE")</f>
        <v>NIE</v>
      </c>
    </row>
    <row r="514" customFormat="false" ht="15" hidden="false" customHeight="false" outlineLevel="0" collapsed="false">
      <c r="A514" s="5" t="s">
        <v>285</v>
      </c>
      <c r="B514" s="5" t="s">
        <v>53</v>
      </c>
      <c r="C514" s="5" t="n">
        <v>2019</v>
      </c>
      <c r="D514" s="5" t="s">
        <v>52</v>
      </c>
      <c r="E514" s="5" t="s">
        <v>46</v>
      </c>
      <c r="F514" s="5" t="s">
        <v>40</v>
      </c>
      <c r="G514" s="6" t="n">
        <v>474</v>
      </c>
      <c r="H514" s="6" t="n">
        <v>146</v>
      </c>
      <c r="I514" s="7" t="n">
        <f aca="false">(G514-H514)/G514</f>
        <v>0.691983122362869</v>
      </c>
      <c r="J514" s="15" t="n">
        <v>0.4285</v>
      </c>
      <c r="K514" s="11" t="str">
        <f aca="false">IF(I514&lt;J514,"TAK","NIE")</f>
        <v>NIE</v>
      </c>
    </row>
    <row r="515" customFormat="false" ht="15" hidden="false" customHeight="false" outlineLevel="0" collapsed="false">
      <c r="A515" s="5" t="s">
        <v>286</v>
      </c>
      <c r="B515" s="5" t="s">
        <v>53</v>
      </c>
      <c r="C515" s="5" t="n">
        <v>2019</v>
      </c>
      <c r="D515" s="5" t="s">
        <v>52</v>
      </c>
      <c r="E515" s="5" t="s">
        <v>46</v>
      </c>
      <c r="F515" s="5" t="s">
        <v>40</v>
      </c>
      <c r="G515" s="6" t="n">
        <v>496</v>
      </c>
      <c r="H515" s="6" t="n">
        <v>308</v>
      </c>
      <c r="I515" s="7" t="n">
        <f aca="false">(G515-H515)/G515</f>
        <v>0.379032258064516</v>
      </c>
      <c r="J515" s="15" t="n">
        <v>0.4285</v>
      </c>
      <c r="K515" s="11" t="str">
        <f aca="false">IF(I515&lt;J515,"TAK","NIE")</f>
        <v>TAK</v>
      </c>
    </row>
    <row r="516" customFormat="false" ht="15" hidden="false" customHeight="false" outlineLevel="0" collapsed="false">
      <c r="A516" s="5" t="s">
        <v>287</v>
      </c>
      <c r="B516" s="5" t="s">
        <v>53</v>
      </c>
      <c r="C516" s="5" t="n">
        <v>2019</v>
      </c>
      <c r="D516" s="5" t="s">
        <v>52</v>
      </c>
      <c r="E516" s="5" t="s">
        <v>46</v>
      </c>
      <c r="F516" s="5" t="s">
        <v>40</v>
      </c>
      <c r="G516" s="6" t="n">
        <v>486</v>
      </c>
      <c r="H516" s="6" t="n">
        <v>135</v>
      </c>
      <c r="I516" s="7" t="n">
        <f aca="false">(G516-H516)/G516</f>
        <v>0.722222222222222</v>
      </c>
      <c r="J516" s="15" t="n">
        <v>0.4285</v>
      </c>
      <c r="K516" s="11" t="str">
        <f aca="false">IF(I516&lt;J516,"TAK","NIE")</f>
        <v>NIE</v>
      </c>
    </row>
    <row r="517" customFormat="false" ht="15" hidden="false" customHeight="false" outlineLevel="0" collapsed="false">
      <c r="A517" s="5" t="s">
        <v>288</v>
      </c>
      <c r="B517" s="5" t="s">
        <v>53</v>
      </c>
      <c r="C517" s="5" t="n">
        <v>2019</v>
      </c>
      <c r="D517" s="5" t="s">
        <v>52</v>
      </c>
      <c r="E517" s="5" t="s">
        <v>46</v>
      </c>
      <c r="F517" s="5" t="s">
        <v>40</v>
      </c>
      <c r="G517" s="6" t="n">
        <v>474</v>
      </c>
      <c r="H517" s="6" t="n">
        <v>168</v>
      </c>
      <c r="I517" s="7" t="n">
        <f aca="false">(G517-H517)/G517</f>
        <v>0.645569620253165</v>
      </c>
      <c r="J517" s="15" t="n">
        <v>0.4285</v>
      </c>
      <c r="K517" s="11" t="str">
        <f aca="false">IF(I517&lt;J517,"TAK","NIE")</f>
        <v>NIE</v>
      </c>
    </row>
    <row r="518" customFormat="false" ht="15" hidden="false" customHeight="false" outlineLevel="0" collapsed="false">
      <c r="A518" s="5" t="s">
        <v>289</v>
      </c>
      <c r="B518" s="5" t="s">
        <v>53</v>
      </c>
      <c r="C518" s="5" t="n">
        <v>2019</v>
      </c>
      <c r="D518" s="5" t="s">
        <v>52</v>
      </c>
      <c r="E518" s="5" t="s">
        <v>46</v>
      </c>
      <c r="F518" s="5" t="s">
        <v>40</v>
      </c>
      <c r="G518" s="6" t="n">
        <v>508</v>
      </c>
      <c r="H518" s="6" t="n">
        <v>197</v>
      </c>
      <c r="I518" s="7" t="n">
        <f aca="false">(G518-H518)/G518</f>
        <v>0.612204724409449</v>
      </c>
      <c r="J518" s="15" t="n">
        <v>0.4285</v>
      </c>
      <c r="K518" s="11" t="str">
        <f aca="false">IF(I518&lt;J518,"TAK","NIE")</f>
        <v>NIE</v>
      </c>
    </row>
    <row r="519" customFormat="false" ht="15" hidden="false" customHeight="false" outlineLevel="0" collapsed="false">
      <c r="A519" s="5" t="s">
        <v>290</v>
      </c>
      <c r="B519" s="5" t="s">
        <v>53</v>
      </c>
      <c r="C519" s="5" t="n">
        <v>2019</v>
      </c>
      <c r="D519" s="5" t="s">
        <v>52</v>
      </c>
      <c r="E519" s="5" t="s">
        <v>46</v>
      </c>
      <c r="F519" s="5" t="s">
        <v>40</v>
      </c>
      <c r="G519" s="6" t="n">
        <v>486</v>
      </c>
      <c r="H519" s="6" t="n">
        <v>254</v>
      </c>
      <c r="I519" s="7" t="n">
        <f aca="false">(G519-H519)/G519</f>
        <v>0.477366255144033</v>
      </c>
      <c r="J519" s="15" t="n">
        <v>0.4285</v>
      </c>
      <c r="K519" s="11" t="str">
        <f aca="false">IF(I519&lt;J519,"TAK","NIE")</f>
        <v>NIE</v>
      </c>
    </row>
    <row r="520" customFormat="false" ht="15" hidden="false" customHeight="false" outlineLevel="0" collapsed="false">
      <c r="A520" s="5" t="s">
        <v>291</v>
      </c>
      <c r="B520" s="5" t="s">
        <v>53</v>
      </c>
      <c r="C520" s="5" t="n">
        <v>2019</v>
      </c>
      <c r="D520" s="5" t="s">
        <v>52</v>
      </c>
      <c r="E520" s="5" t="s">
        <v>46</v>
      </c>
      <c r="F520" s="5" t="s">
        <v>40</v>
      </c>
      <c r="G520" s="6" t="n">
        <v>508</v>
      </c>
      <c r="H520" s="6" t="n">
        <v>264</v>
      </c>
      <c r="I520" s="7" t="n">
        <f aca="false">(G520-H520)/G520</f>
        <v>0.480314960629921</v>
      </c>
      <c r="J520" s="15" t="n">
        <v>0.4285</v>
      </c>
      <c r="K520" s="11" t="str">
        <f aca="false">IF(I520&lt;J520,"TAK","NIE")</f>
        <v>NIE</v>
      </c>
    </row>
    <row r="521" customFormat="false" ht="15" hidden="false" customHeight="false" outlineLevel="0" collapsed="false">
      <c r="A521" s="5" t="s">
        <v>292</v>
      </c>
      <c r="B521" s="5" t="s">
        <v>53</v>
      </c>
      <c r="C521" s="5" t="n">
        <v>2019</v>
      </c>
      <c r="D521" s="5" t="s">
        <v>52</v>
      </c>
      <c r="E521" s="5" t="s">
        <v>46</v>
      </c>
      <c r="F521" s="5" t="s">
        <v>40</v>
      </c>
      <c r="G521" s="6" t="n">
        <v>326</v>
      </c>
      <c r="H521" s="6" t="n">
        <v>233</v>
      </c>
      <c r="I521" s="7" t="n">
        <f aca="false">(G521-H521)/G521</f>
        <v>0.285276073619632</v>
      </c>
      <c r="J521" s="15" t="n">
        <v>0.4285</v>
      </c>
      <c r="K521" s="11" t="str">
        <f aca="false">IF(I521&lt;J521,"TAK","NIE")</f>
        <v>TAK</v>
      </c>
    </row>
    <row r="522" customFormat="false" ht="15" hidden="false" customHeight="false" outlineLevel="0" collapsed="false">
      <c r="A522" s="5" t="s">
        <v>263</v>
      </c>
      <c r="B522" s="5" t="s">
        <v>54</v>
      </c>
      <c r="C522" s="5" t="n">
        <v>2019</v>
      </c>
      <c r="D522" s="5" t="s">
        <v>52</v>
      </c>
      <c r="E522" s="5" t="s">
        <v>55</v>
      </c>
      <c r="F522" s="5" t="s">
        <v>39</v>
      </c>
      <c r="G522" s="6" t="n">
        <v>622</v>
      </c>
      <c r="H522" s="6" t="n">
        <v>189</v>
      </c>
      <c r="I522" s="7" t="n">
        <f aca="false">(G522-H522)/G522</f>
        <v>0.696141479099679</v>
      </c>
      <c r="J522" s="15" t="n">
        <v>0.488</v>
      </c>
      <c r="K522" s="11" t="str">
        <f aca="false">IF(I522&lt;J522,"TAK","NIE")</f>
        <v>NIE</v>
      </c>
    </row>
    <row r="523" customFormat="false" ht="15" hidden="false" customHeight="false" outlineLevel="0" collapsed="false">
      <c r="A523" s="5" t="s">
        <v>264</v>
      </c>
      <c r="B523" s="5" t="s">
        <v>54</v>
      </c>
      <c r="C523" s="5" t="n">
        <v>2019</v>
      </c>
      <c r="D523" s="5" t="s">
        <v>52</v>
      </c>
      <c r="E523" s="5" t="s">
        <v>55</v>
      </c>
      <c r="F523" s="5" t="s">
        <v>39</v>
      </c>
      <c r="G523" s="6" t="n">
        <v>622</v>
      </c>
      <c r="H523" s="6" t="n">
        <v>165</v>
      </c>
      <c r="I523" s="7" t="n">
        <f aca="false">(G523-H523)/G523</f>
        <v>0.734726688102894</v>
      </c>
      <c r="J523" s="15" t="n">
        <v>0.488</v>
      </c>
      <c r="K523" s="11" t="str">
        <f aca="false">IF(I523&lt;J523,"TAK","NIE")</f>
        <v>NIE</v>
      </c>
    </row>
    <row r="524" customFormat="false" ht="15" hidden="false" customHeight="false" outlineLevel="0" collapsed="false">
      <c r="A524" s="5" t="s">
        <v>265</v>
      </c>
      <c r="B524" s="5" t="s">
        <v>54</v>
      </c>
      <c r="C524" s="5" t="n">
        <v>2019</v>
      </c>
      <c r="D524" s="5" t="s">
        <v>52</v>
      </c>
      <c r="E524" s="5" t="s">
        <v>55</v>
      </c>
      <c r="F524" s="5" t="s">
        <v>39</v>
      </c>
      <c r="G524" s="6" t="n">
        <v>534</v>
      </c>
      <c r="H524" s="6" t="n">
        <v>179</v>
      </c>
      <c r="I524" s="7" t="n">
        <f aca="false">(G524-H524)/G524</f>
        <v>0.664794007490637</v>
      </c>
      <c r="J524" s="15" t="n">
        <v>0.488</v>
      </c>
      <c r="K524" s="11" t="str">
        <f aca="false">IF(I524&lt;J524,"TAK","NIE")</f>
        <v>NIE</v>
      </c>
    </row>
    <row r="525" customFormat="false" ht="15" hidden="false" customHeight="false" outlineLevel="0" collapsed="false">
      <c r="A525" s="5" t="s">
        <v>266</v>
      </c>
      <c r="B525" s="5" t="s">
        <v>54</v>
      </c>
      <c r="C525" s="5" t="n">
        <v>2019</v>
      </c>
      <c r="D525" s="5" t="s">
        <v>52</v>
      </c>
      <c r="E525" s="5" t="s">
        <v>55</v>
      </c>
      <c r="F525" s="5" t="s">
        <v>39</v>
      </c>
      <c r="G525" s="6" t="n">
        <v>507</v>
      </c>
      <c r="H525" s="6" t="n">
        <v>26</v>
      </c>
      <c r="I525" s="7" t="n">
        <f aca="false">(G525-H525)/G525</f>
        <v>0.948717948717949</v>
      </c>
      <c r="J525" s="15" t="n">
        <v>0.488</v>
      </c>
      <c r="K525" s="11" t="str">
        <f aca="false">IF(I525&lt;J525,"TAK","NIE")</f>
        <v>NIE</v>
      </c>
    </row>
    <row r="526" customFormat="false" ht="15" hidden="false" customHeight="false" outlineLevel="0" collapsed="false">
      <c r="A526" s="5" t="s">
        <v>267</v>
      </c>
      <c r="B526" s="5" t="s">
        <v>54</v>
      </c>
      <c r="C526" s="5" t="n">
        <v>2019</v>
      </c>
      <c r="D526" s="5" t="s">
        <v>52</v>
      </c>
      <c r="E526" s="5" t="s">
        <v>55</v>
      </c>
      <c r="F526" s="5" t="s">
        <v>39</v>
      </c>
      <c r="G526" s="6" t="n">
        <v>622</v>
      </c>
      <c r="H526" s="6" t="n">
        <v>212</v>
      </c>
      <c r="I526" s="7" t="n">
        <f aca="false">(G526-H526)/G526</f>
        <v>0.659163987138264</v>
      </c>
      <c r="J526" s="15" t="n">
        <v>0.488</v>
      </c>
      <c r="K526" s="11" t="str">
        <f aca="false">IF(I526&lt;J526,"TAK","NIE")</f>
        <v>NIE</v>
      </c>
    </row>
    <row r="527" customFormat="false" ht="15" hidden="false" customHeight="false" outlineLevel="0" collapsed="false">
      <c r="A527" s="5" t="s">
        <v>268</v>
      </c>
      <c r="B527" s="5" t="s">
        <v>54</v>
      </c>
      <c r="C527" s="5" t="n">
        <v>2019</v>
      </c>
      <c r="D527" s="5" t="s">
        <v>52</v>
      </c>
      <c r="E527" s="5" t="s">
        <v>55</v>
      </c>
      <c r="F527" s="5" t="s">
        <v>39</v>
      </c>
      <c r="G527" s="6" t="n">
        <v>507</v>
      </c>
      <c r="H527" s="6" t="n">
        <v>21</v>
      </c>
      <c r="I527" s="7" t="n">
        <f aca="false">(G527-H527)/G527</f>
        <v>0.958579881656805</v>
      </c>
      <c r="J527" s="15" t="n">
        <v>0.488</v>
      </c>
      <c r="K527" s="11" t="str">
        <f aca="false">IF(I527&lt;J527,"TAK","NIE")</f>
        <v>NIE</v>
      </c>
    </row>
    <row r="528" customFormat="false" ht="15" hidden="false" customHeight="false" outlineLevel="0" collapsed="false">
      <c r="A528" s="5" t="s">
        <v>269</v>
      </c>
      <c r="B528" s="5" t="s">
        <v>54</v>
      </c>
      <c r="C528" s="5" t="n">
        <v>2019</v>
      </c>
      <c r="D528" s="5" t="s">
        <v>52</v>
      </c>
      <c r="E528" s="5" t="s">
        <v>55</v>
      </c>
      <c r="F528" s="5" t="s">
        <v>39</v>
      </c>
      <c r="G528" s="6" t="n">
        <v>595</v>
      </c>
      <c r="H528" s="6" t="n">
        <v>163</v>
      </c>
      <c r="I528" s="7" t="n">
        <f aca="false">(G528-H528)/G528</f>
        <v>0.726050420168067</v>
      </c>
      <c r="J528" s="15" t="n">
        <v>0.488</v>
      </c>
      <c r="K528" s="11" t="str">
        <f aca="false">IF(I528&lt;J528,"TAK","NIE")</f>
        <v>NIE</v>
      </c>
    </row>
    <row r="529" customFormat="false" ht="15" hidden="false" customHeight="false" outlineLevel="0" collapsed="false">
      <c r="A529" s="5" t="s">
        <v>270</v>
      </c>
      <c r="B529" s="5" t="s">
        <v>54</v>
      </c>
      <c r="C529" s="5" t="n">
        <v>2019</v>
      </c>
      <c r="D529" s="5" t="s">
        <v>52</v>
      </c>
      <c r="E529" s="5" t="s">
        <v>55</v>
      </c>
      <c r="F529" s="5" t="s">
        <v>39</v>
      </c>
      <c r="G529" s="6" t="n">
        <v>622</v>
      </c>
      <c r="H529" s="6" t="n">
        <v>138</v>
      </c>
      <c r="I529" s="7" t="n">
        <f aca="false">(G529-H529)/G529</f>
        <v>0.778135048231511</v>
      </c>
      <c r="J529" s="15" t="n">
        <v>0.488</v>
      </c>
      <c r="K529" s="11" t="str">
        <f aca="false">IF(I529&lt;J529,"TAK","NIE")</f>
        <v>NIE</v>
      </c>
    </row>
    <row r="530" customFormat="false" ht="15" hidden="false" customHeight="false" outlineLevel="0" collapsed="false">
      <c r="A530" s="5" t="s">
        <v>271</v>
      </c>
      <c r="B530" s="5" t="s">
        <v>54</v>
      </c>
      <c r="C530" s="5" t="n">
        <v>2019</v>
      </c>
      <c r="D530" s="5" t="s">
        <v>52</v>
      </c>
      <c r="E530" s="5" t="s">
        <v>55</v>
      </c>
      <c r="F530" s="5" t="s">
        <v>39</v>
      </c>
      <c r="G530" s="6" t="n">
        <v>534</v>
      </c>
      <c r="H530" s="6" t="n">
        <v>32</v>
      </c>
      <c r="I530" s="7" t="n">
        <f aca="false">(G530-H530)/G530</f>
        <v>0.940074906367041</v>
      </c>
      <c r="J530" s="15" t="n">
        <v>0.488</v>
      </c>
      <c r="K530" s="11" t="str">
        <f aca="false">IF(I530&lt;J530,"TAK","NIE")</f>
        <v>NIE</v>
      </c>
    </row>
    <row r="531" customFormat="false" ht="15" hidden="false" customHeight="false" outlineLevel="0" collapsed="false">
      <c r="A531" s="5" t="s">
        <v>272</v>
      </c>
      <c r="B531" s="5" t="s">
        <v>54</v>
      </c>
      <c r="C531" s="5" t="n">
        <v>2019</v>
      </c>
      <c r="D531" s="5" t="s">
        <v>52</v>
      </c>
      <c r="E531" s="5" t="s">
        <v>55</v>
      </c>
      <c r="F531" s="5" t="s">
        <v>39</v>
      </c>
      <c r="G531" s="6" t="n">
        <v>534</v>
      </c>
      <c r="H531" s="6" t="n">
        <v>151</v>
      </c>
      <c r="I531" s="7" t="n">
        <f aca="false">(G531-H531)/G531</f>
        <v>0.717228464419476</v>
      </c>
      <c r="J531" s="15" t="n">
        <v>0.488</v>
      </c>
      <c r="K531" s="11" t="str">
        <f aca="false">IF(I531&lt;J531,"TAK","NIE")</f>
        <v>NIE</v>
      </c>
    </row>
    <row r="532" customFormat="false" ht="15" hidden="false" customHeight="false" outlineLevel="0" collapsed="false">
      <c r="A532" s="5" t="s">
        <v>273</v>
      </c>
      <c r="B532" s="5" t="s">
        <v>54</v>
      </c>
      <c r="C532" s="5" t="n">
        <v>2019</v>
      </c>
      <c r="D532" s="5" t="s">
        <v>52</v>
      </c>
      <c r="E532" s="5" t="s">
        <v>55</v>
      </c>
      <c r="F532" s="5" t="s">
        <v>39</v>
      </c>
      <c r="G532" s="6" t="n">
        <v>622</v>
      </c>
      <c r="H532" s="6" t="n">
        <v>160</v>
      </c>
      <c r="I532" s="7" t="n">
        <f aca="false">(G532-H532)/G532</f>
        <v>0.742765273311897</v>
      </c>
      <c r="J532" s="15" t="n">
        <v>0.488</v>
      </c>
      <c r="K532" s="11" t="str">
        <f aca="false">IF(I532&lt;J532,"TAK","NIE")</f>
        <v>NIE</v>
      </c>
    </row>
    <row r="533" customFormat="false" ht="15" hidden="false" customHeight="false" outlineLevel="0" collapsed="false">
      <c r="A533" s="5" t="s">
        <v>274</v>
      </c>
      <c r="B533" s="5" t="s">
        <v>54</v>
      </c>
      <c r="C533" s="5" t="n">
        <v>2019</v>
      </c>
      <c r="D533" s="5" t="s">
        <v>52</v>
      </c>
      <c r="E533" s="5" t="s">
        <v>55</v>
      </c>
      <c r="F533" s="5" t="s">
        <v>39</v>
      </c>
      <c r="G533" s="6" t="n">
        <v>534</v>
      </c>
      <c r="H533" s="6" t="n">
        <v>122</v>
      </c>
      <c r="I533" s="7" t="n">
        <f aca="false">(G533-H533)/G533</f>
        <v>0.771535580524345</v>
      </c>
      <c r="J533" s="15" t="n">
        <v>0.488</v>
      </c>
      <c r="K533" s="11" t="str">
        <f aca="false">IF(I533&lt;J533,"TAK","NIE")</f>
        <v>NIE</v>
      </c>
    </row>
    <row r="534" customFormat="false" ht="15" hidden="false" customHeight="false" outlineLevel="0" collapsed="false">
      <c r="A534" s="5" t="s">
        <v>275</v>
      </c>
      <c r="B534" s="5" t="s">
        <v>54</v>
      </c>
      <c r="C534" s="5" t="n">
        <v>2019</v>
      </c>
      <c r="D534" s="5" t="s">
        <v>52</v>
      </c>
      <c r="E534" s="5" t="s">
        <v>55</v>
      </c>
      <c r="F534" s="5" t="s">
        <v>39</v>
      </c>
      <c r="G534" s="6" t="n">
        <v>507</v>
      </c>
      <c r="H534" s="6" t="n">
        <v>146</v>
      </c>
      <c r="I534" s="7" t="n">
        <f aca="false">(G534-H534)/G534</f>
        <v>0.712031558185404</v>
      </c>
      <c r="J534" s="15" t="n">
        <v>0.488</v>
      </c>
      <c r="K534" s="11" t="str">
        <f aca="false">IF(I534&lt;J534,"TAK","NIE")</f>
        <v>NIE</v>
      </c>
    </row>
    <row r="535" customFormat="false" ht="15" hidden="false" customHeight="false" outlineLevel="0" collapsed="false">
      <c r="A535" s="5" t="s">
        <v>276</v>
      </c>
      <c r="B535" s="5" t="s">
        <v>54</v>
      </c>
      <c r="C535" s="5" t="n">
        <v>2019</v>
      </c>
      <c r="D535" s="5" t="s">
        <v>52</v>
      </c>
      <c r="E535" s="5" t="s">
        <v>55</v>
      </c>
      <c r="F535" s="5" t="s">
        <v>39</v>
      </c>
      <c r="G535" s="6" t="n">
        <v>507</v>
      </c>
      <c r="H535" s="6" t="n">
        <v>57</v>
      </c>
      <c r="I535" s="7" t="n">
        <f aca="false">(G535-H535)/G535</f>
        <v>0.887573964497041</v>
      </c>
      <c r="J535" s="15" t="n">
        <v>0.488</v>
      </c>
      <c r="K535" s="11" t="str">
        <f aca="false">IF(I535&lt;J535,"TAK","NIE")</f>
        <v>NIE</v>
      </c>
    </row>
    <row r="536" customFormat="false" ht="15" hidden="false" customHeight="false" outlineLevel="0" collapsed="false">
      <c r="A536" s="5" t="s">
        <v>277</v>
      </c>
      <c r="B536" s="5" t="s">
        <v>54</v>
      </c>
      <c r="C536" s="5" t="n">
        <v>2019</v>
      </c>
      <c r="D536" s="5" t="s">
        <v>52</v>
      </c>
      <c r="E536" s="5" t="s">
        <v>55</v>
      </c>
      <c r="F536" s="5" t="s">
        <v>39</v>
      </c>
      <c r="G536" s="6" t="n">
        <v>534</v>
      </c>
      <c r="H536" s="6" t="n">
        <v>299</v>
      </c>
      <c r="I536" s="7" t="n">
        <f aca="false">(G536-H536)/G536</f>
        <v>0.440074906367041</v>
      </c>
      <c r="J536" s="15" t="n">
        <v>0.488</v>
      </c>
      <c r="K536" s="11" t="str">
        <f aca="false">IF(I536&lt;J536,"TAK","NIE")</f>
        <v>TAK</v>
      </c>
    </row>
    <row r="537" customFormat="false" ht="15" hidden="false" customHeight="false" outlineLevel="0" collapsed="false">
      <c r="A537" s="5" t="s">
        <v>278</v>
      </c>
      <c r="B537" s="5" t="s">
        <v>54</v>
      </c>
      <c r="C537" s="5" t="n">
        <v>2019</v>
      </c>
      <c r="D537" s="5" t="s">
        <v>52</v>
      </c>
      <c r="E537" s="5" t="s">
        <v>55</v>
      </c>
      <c r="F537" s="5" t="s">
        <v>39</v>
      </c>
      <c r="G537" s="6" t="n">
        <v>595</v>
      </c>
      <c r="H537" s="6" t="n">
        <v>177</v>
      </c>
      <c r="I537" s="7" t="n">
        <f aca="false">(G537-H537)/G537</f>
        <v>0.702521008403361</v>
      </c>
      <c r="J537" s="15" t="n">
        <v>0.488</v>
      </c>
      <c r="K537" s="11" t="str">
        <f aca="false">IF(I537&lt;J537,"TAK","NIE")</f>
        <v>NIE</v>
      </c>
    </row>
    <row r="538" customFormat="false" ht="15" hidden="false" customHeight="false" outlineLevel="0" collapsed="false">
      <c r="A538" s="5" t="s">
        <v>279</v>
      </c>
      <c r="B538" s="5" t="s">
        <v>54</v>
      </c>
      <c r="C538" s="5" t="n">
        <v>2019</v>
      </c>
      <c r="D538" s="5" t="s">
        <v>52</v>
      </c>
      <c r="E538" s="5" t="s">
        <v>55</v>
      </c>
      <c r="F538" s="5" t="s">
        <v>39</v>
      </c>
      <c r="G538" s="6" t="n">
        <v>534</v>
      </c>
      <c r="H538" s="6" t="n">
        <v>154</v>
      </c>
      <c r="I538" s="7" t="n">
        <f aca="false">(G538-H538)/G538</f>
        <v>0.711610486891386</v>
      </c>
      <c r="J538" s="15" t="n">
        <v>0.488</v>
      </c>
      <c r="K538" s="11" t="str">
        <f aca="false">IF(I538&lt;J538,"TAK","NIE")</f>
        <v>NIE</v>
      </c>
    </row>
    <row r="539" customFormat="false" ht="15" hidden="false" customHeight="false" outlineLevel="0" collapsed="false">
      <c r="A539" s="5" t="s">
        <v>280</v>
      </c>
      <c r="B539" s="5" t="s">
        <v>54</v>
      </c>
      <c r="C539" s="5" t="n">
        <v>2019</v>
      </c>
      <c r="D539" s="5" t="s">
        <v>52</v>
      </c>
      <c r="E539" s="5" t="s">
        <v>55</v>
      </c>
      <c r="F539" s="5" t="s">
        <v>39</v>
      </c>
      <c r="G539" s="6" t="n">
        <v>507</v>
      </c>
      <c r="H539" s="6" t="n">
        <v>246</v>
      </c>
      <c r="I539" s="7" t="n">
        <f aca="false">(G539-H539)/G539</f>
        <v>0.514792899408284</v>
      </c>
      <c r="J539" s="15" t="n">
        <v>0.488</v>
      </c>
      <c r="K539" s="11" t="str">
        <f aca="false">IF(I539&lt;J539,"TAK","NIE")</f>
        <v>NIE</v>
      </c>
    </row>
    <row r="540" customFormat="false" ht="15" hidden="false" customHeight="false" outlineLevel="0" collapsed="false">
      <c r="A540" s="5" t="s">
        <v>281</v>
      </c>
      <c r="B540" s="5" t="s">
        <v>54</v>
      </c>
      <c r="C540" s="5" t="n">
        <v>2019</v>
      </c>
      <c r="D540" s="5" t="s">
        <v>52</v>
      </c>
      <c r="E540" s="5" t="s">
        <v>55</v>
      </c>
      <c r="F540" s="5" t="s">
        <v>39</v>
      </c>
      <c r="G540" s="6" t="n">
        <v>534</v>
      </c>
      <c r="H540" s="6" t="n">
        <v>52</v>
      </c>
      <c r="I540" s="7" t="n">
        <f aca="false">(G540-H540)/G540</f>
        <v>0.902621722846442</v>
      </c>
      <c r="J540" s="15" t="n">
        <v>0.488</v>
      </c>
      <c r="K540" s="11" t="str">
        <f aca="false">IF(I540&lt;J540,"TAK","NIE")</f>
        <v>NIE</v>
      </c>
    </row>
    <row r="541" customFormat="false" ht="15" hidden="false" customHeight="false" outlineLevel="0" collapsed="false">
      <c r="A541" s="5" t="s">
        <v>282</v>
      </c>
      <c r="B541" s="5" t="s">
        <v>54</v>
      </c>
      <c r="C541" s="5" t="n">
        <v>2019</v>
      </c>
      <c r="D541" s="5" t="s">
        <v>52</v>
      </c>
      <c r="E541" s="5" t="s">
        <v>55</v>
      </c>
      <c r="F541" s="5" t="s">
        <v>39</v>
      </c>
      <c r="G541" s="6" t="n">
        <v>622</v>
      </c>
      <c r="H541" s="6" t="n">
        <v>136</v>
      </c>
      <c r="I541" s="7" t="n">
        <f aca="false">(G541-H541)/G541</f>
        <v>0.781350482315113</v>
      </c>
      <c r="J541" s="15" t="n">
        <v>0.488</v>
      </c>
      <c r="K541" s="11" t="str">
        <f aca="false">IF(I541&lt;J541,"TAK","NIE")</f>
        <v>NIE</v>
      </c>
    </row>
    <row r="542" customFormat="false" ht="15" hidden="false" customHeight="false" outlineLevel="0" collapsed="false">
      <c r="A542" s="5" t="s">
        <v>283</v>
      </c>
      <c r="B542" s="5" t="s">
        <v>54</v>
      </c>
      <c r="C542" s="5" t="n">
        <v>2019</v>
      </c>
      <c r="D542" s="5" t="s">
        <v>52</v>
      </c>
      <c r="E542" s="5" t="s">
        <v>55</v>
      </c>
      <c r="F542" s="5" t="s">
        <v>39</v>
      </c>
      <c r="G542" s="6" t="n">
        <v>534</v>
      </c>
      <c r="H542" s="6" t="n">
        <v>169</v>
      </c>
      <c r="I542" s="7" t="n">
        <f aca="false">(G542-H542)/G542</f>
        <v>0.683520599250936</v>
      </c>
      <c r="J542" s="15" t="n">
        <v>0.488</v>
      </c>
      <c r="K542" s="11" t="str">
        <f aca="false">IF(I542&lt;J542,"TAK","NIE")</f>
        <v>NIE</v>
      </c>
    </row>
    <row r="543" customFormat="false" ht="15" hidden="false" customHeight="false" outlineLevel="0" collapsed="false">
      <c r="A543" s="5" t="s">
        <v>284</v>
      </c>
      <c r="B543" s="5" t="s">
        <v>54</v>
      </c>
      <c r="C543" s="5" t="n">
        <v>2019</v>
      </c>
      <c r="D543" s="5" t="s">
        <v>52</v>
      </c>
      <c r="E543" s="5" t="s">
        <v>55</v>
      </c>
      <c r="F543" s="5" t="s">
        <v>39</v>
      </c>
      <c r="G543" s="6" t="n">
        <v>534</v>
      </c>
      <c r="H543" s="6" t="n">
        <v>116</v>
      </c>
      <c r="I543" s="7" t="n">
        <f aca="false">(G543-H543)/G543</f>
        <v>0.782771535580524</v>
      </c>
      <c r="J543" s="15" t="n">
        <v>0.488</v>
      </c>
      <c r="K543" s="11" t="str">
        <f aca="false">IF(I543&lt;J543,"TAK","NIE")</f>
        <v>NIE</v>
      </c>
    </row>
    <row r="544" customFormat="false" ht="15" hidden="false" customHeight="false" outlineLevel="0" collapsed="false">
      <c r="A544" s="5" t="s">
        <v>285</v>
      </c>
      <c r="B544" s="5" t="s">
        <v>54</v>
      </c>
      <c r="C544" s="5" t="n">
        <v>2019</v>
      </c>
      <c r="D544" s="5" t="s">
        <v>52</v>
      </c>
      <c r="E544" s="5" t="s">
        <v>55</v>
      </c>
      <c r="F544" s="5" t="s">
        <v>39</v>
      </c>
      <c r="G544" s="6" t="n">
        <v>595</v>
      </c>
      <c r="H544" s="6" t="n">
        <v>161</v>
      </c>
      <c r="I544" s="7" t="n">
        <f aca="false">(G544-H544)/G544</f>
        <v>0.729411764705882</v>
      </c>
      <c r="J544" s="15" t="n">
        <v>0.488</v>
      </c>
      <c r="K544" s="11" t="str">
        <f aca="false">IF(I544&lt;J544,"TAK","NIE")</f>
        <v>NIE</v>
      </c>
    </row>
    <row r="545" customFormat="false" ht="15" hidden="false" customHeight="false" outlineLevel="0" collapsed="false">
      <c r="A545" s="5" t="s">
        <v>286</v>
      </c>
      <c r="B545" s="5" t="s">
        <v>54</v>
      </c>
      <c r="C545" s="5" t="n">
        <v>2019</v>
      </c>
      <c r="D545" s="5" t="s">
        <v>52</v>
      </c>
      <c r="E545" s="5" t="s">
        <v>55</v>
      </c>
      <c r="F545" s="5" t="s">
        <v>39</v>
      </c>
      <c r="G545" s="6" t="n">
        <v>507</v>
      </c>
      <c r="H545" s="6" t="n">
        <v>217</v>
      </c>
      <c r="I545" s="7" t="n">
        <f aca="false">(G545-H545)/G545</f>
        <v>0.571992110453649</v>
      </c>
      <c r="J545" s="15" t="n">
        <v>0.488</v>
      </c>
      <c r="K545" s="11" t="str">
        <f aca="false">IF(I545&lt;J545,"TAK","NIE")</f>
        <v>NIE</v>
      </c>
    </row>
    <row r="546" customFormat="false" ht="15" hidden="false" customHeight="false" outlineLevel="0" collapsed="false">
      <c r="A546" s="5" t="s">
        <v>287</v>
      </c>
      <c r="B546" s="5" t="s">
        <v>54</v>
      </c>
      <c r="C546" s="5" t="n">
        <v>2019</v>
      </c>
      <c r="D546" s="5" t="s">
        <v>52</v>
      </c>
      <c r="E546" s="5" t="s">
        <v>55</v>
      </c>
      <c r="F546" s="5" t="s">
        <v>39</v>
      </c>
      <c r="G546" s="6" t="n">
        <v>622</v>
      </c>
      <c r="H546" s="6" t="n">
        <v>113</v>
      </c>
      <c r="I546" s="7" t="n">
        <f aca="false">(G546-H546)/G546</f>
        <v>0.818327974276527</v>
      </c>
      <c r="J546" s="15" t="n">
        <v>0.488</v>
      </c>
      <c r="K546" s="11" t="str">
        <f aca="false">IF(I546&lt;J546,"TAK","NIE")</f>
        <v>NIE</v>
      </c>
    </row>
    <row r="547" customFormat="false" ht="15" hidden="false" customHeight="false" outlineLevel="0" collapsed="false">
      <c r="A547" s="5" t="s">
        <v>288</v>
      </c>
      <c r="B547" s="5" t="s">
        <v>54</v>
      </c>
      <c r="C547" s="5" t="n">
        <v>2019</v>
      </c>
      <c r="D547" s="5" t="s">
        <v>52</v>
      </c>
      <c r="E547" s="5" t="s">
        <v>55</v>
      </c>
      <c r="F547" s="5" t="s">
        <v>39</v>
      </c>
      <c r="G547" s="6" t="n">
        <v>507</v>
      </c>
      <c r="H547" s="6" t="n">
        <v>268</v>
      </c>
      <c r="I547" s="7" t="n">
        <f aca="false">(G547-H547)/G547</f>
        <v>0.471400394477318</v>
      </c>
      <c r="J547" s="15" t="n">
        <v>0.488</v>
      </c>
      <c r="K547" s="11" t="str">
        <f aca="false">IF(I547&lt;J547,"TAK","NIE")</f>
        <v>TAK</v>
      </c>
    </row>
    <row r="548" customFormat="false" ht="15" hidden="false" customHeight="false" outlineLevel="0" collapsed="false">
      <c r="A548" s="5" t="s">
        <v>289</v>
      </c>
      <c r="B548" s="5" t="s">
        <v>54</v>
      </c>
      <c r="C548" s="5" t="n">
        <v>2019</v>
      </c>
      <c r="D548" s="5" t="s">
        <v>52</v>
      </c>
      <c r="E548" s="5" t="s">
        <v>55</v>
      </c>
      <c r="F548" s="5" t="s">
        <v>39</v>
      </c>
      <c r="G548" s="6" t="n">
        <v>534</v>
      </c>
      <c r="H548" s="6" t="n">
        <v>93</v>
      </c>
      <c r="I548" s="7" t="n">
        <f aca="false">(G548-H548)/G548</f>
        <v>0.825842696629214</v>
      </c>
      <c r="J548" s="15" t="n">
        <v>0.488</v>
      </c>
      <c r="K548" s="11" t="str">
        <f aca="false">IF(I548&lt;J548,"TAK","NIE")</f>
        <v>NIE</v>
      </c>
    </row>
    <row r="549" customFormat="false" ht="15" hidden="false" customHeight="false" outlineLevel="0" collapsed="false">
      <c r="A549" s="5" t="s">
        <v>290</v>
      </c>
      <c r="B549" s="5" t="s">
        <v>54</v>
      </c>
      <c r="C549" s="5" t="n">
        <v>2019</v>
      </c>
      <c r="D549" s="5" t="s">
        <v>52</v>
      </c>
      <c r="E549" s="5" t="s">
        <v>55</v>
      </c>
      <c r="F549" s="5" t="s">
        <v>39</v>
      </c>
      <c r="G549" s="6" t="n">
        <v>622</v>
      </c>
      <c r="H549" s="6" t="n">
        <v>297</v>
      </c>
      <c r="I549" s="7" t="n">
        <f aca="false">(G549-H549)/G549</f>
        <v>0.522508038585209</v>
      </c>
      <c r="J549" s="15" t="n">
        <v>0.488</v>
      </c>
      <c r="K549" s="11" t="str">
        <f aca="false">IF(I549&lt;J549,"TAK","NIE")</f>
        <v>NIE</v>
      </c>
    </row>
    <row r="550" customFormat="false" ht="15" hidden="false" customHeight="false" outlineLevel="0" collapsed="false">
      <c r="A550" s="5" t="s">
        <v>291</v>
      </c>
      <c r="B550" s="5" t="s">
        <v>54</v>
      </c>
      <c r="C550" s="5" t="n">
        <v>2019</v>
      </c>
      <c r="D550" s="5" t="s">
        <v>52</v>
      </c>
      <c r="E550" s="5" t="s">
        <v>55</v>
      </c>
      <c r="F550" s="5" t="s">
        <v>39</v>
      </c>
      <c r="G550" s="6" t="n">
        <v>534</v>
      </c>
      <c r="H550" s="6" t="n">
        <v>202</v>
      </c>
      <c r="I550" s="7" t="n">
        <f aca="false">(G550-H550)/G550</f>
        <v>0.621722846441948</v>
      </c>
      <c r="J550" s="15" t="n">
        <v>0.488</v>
      </c>
      <c r="K550" s="11" t="str">
        <f aca="false">IF(I550&lt;J550,"TAK","NIE")</f>
        <v>NIE</v>
      </c>
    </row>
    <row r="551" customFormat="false" ht="15" hidden="false" customHeight="false" outlineLevel="0" collapsed="false">
      <c r="A551" s="5" t="s">
        <v>263</v>
      </c>
      <c r="B551" s="5" t="s">
        <v>54</v>
      </c>
      <c r="C551" s="5" t="n">
        <v>2019</v>
      </c>
      <c r="D551" s="5" t="s">
        <v>52</v>
      </c>
      <c r="E551" s="5" t="s">
        <v>55</v>
      </c>
      <c r="F551" s="5" t="s">
        <v>40</v>
      </c>
      <c r="G551" s="6" t="n">
        <v>527</v>
      </c>
      <c r="H551" s="6" t="n">
        <v>252</v>
      </c>
      <c r="I551" s="7" t="n">
        <f aca="false">(G551-H551)/G551</f>
        <v>0.521821631878558</v>
      </c>
      <c r="J551" s="15" t="n">
        <v>0.2525</v>
      </c>
      <c r="K551" s="11" t="str">
        <f aca="false">IF(I551&lt;J551,"TAK","NIE")</f>
        <v>NIE</v>
      </c>
    </row>
    <row r="552" customFormat="false" ht="15" hidden="false" customHeight="false" outlineLevel="0" collapsed="false">
      <c r="A552" s="5" t="s">
        <v>264</v>
      </c>
      <c r="B552" s="5" t="s">
        <v>54</v>
      </c>
      <c r="C552" s="5" t="n">
        <v>2019</v>
      </c>
      <c r="D552" s="5" t="s">
        <v>52</v>
      </c>
      <c r="E552" s="5" t="s">
        <v>55</v>
      </c>
      <c r="F552" s="5" t="s">
        <v>40</v>
      </c>
      <c r="G552" s="6" t="n">
        <v>527</v>
      </c>
      <c r="H552" s="6" t="n">
        <v>180</v>
      </c>
      <c r="I552" s="7" t="n">
        <f aca="false">(G552-H552)/G552</f>
        <v>0.658444022770399</v>
      </c>
      <c r="J552" s="15" t="n">
        <v>0.2525</v>
      </c>
      <c r="K552" s="11" t="str">
        <f aca="false">IF(I552&lt;J552,"TAK","NIE")</f>
        <v>NIE</v>
      </c>
    </row>
    <row r="553" customFormat="false" ht="15" hidden="false" customHeight="false" outlineLevel="0" collapsed="false">
      <c r="A553" s="5" t="s">
        <v>265</v>
      </c>
      <c r="B553" s="5" t="s">
        <v>54</v>
      </c>
      <c r="C553" s="5" t="n">
        <v>2019</v>
      </c>
      <c r="D553" s="5" t="s">
        <v>52</v>
      </c>
      <c r="E553" s="5" t="s">
        <v>55</v>
      </c>
      <c r="F553" s="5" t="s">
        <v>40</v>
      </c>
      <c r="G553" s="6" t="n">
        <v>448</v>
      </c>
      <c r="H553" s="6" t="n">
        <v>216</v>
      </c>
      <c r="I553" s="7" t="n">
        <f aca="false">(G553-H553)/G553</f>
        <v>0.517857142857143</v>
      </c>
      <c r="J553" s="15" t="n">
        <v>0.2525</v>
      </c>
      <c r="K553" s="11" t="str">
        <f aca="false">IF(I553&lt;J553,"TAK","NIE")</f>
        <v>NIE</v>
      </c>
    </row>
    <row r="554" customFormat="false" ht="15" hidden="false" customHeight="false" outlineLevel="0" collapsed="false">
      <c r="A554" s="5" t="s">
        <v>266</v>
      </c>
      <c r="B554" s="5" t="s">
        <v>54</v>
      </c>
      <c r="C554" s="5" t="n">
        <v>2019</v>
      </c>
      <c r="D554" s="5" t="s">
        <v>52</v>
      </c>
      <c r="E554" s="5" t="s">
        <v>55</v>
      </c>
      <c r="F554" s="5" t="s">
        <v>40</v>
      </c>
      <c r="G554" s="6" t="n">
        <v>422</v>
      </c>
      <c r="H554" s="6" t="n">
        <v>42</v>
      </c>
      <c r="I554" s="7" t="n">
        <f aca="false">(G554-H554)/G554</f>
        <v>0.900473933649289</v>
      </c>
      <c r="J554" s="15" t="n">
        <v>0.2525</v>
      </c>
      <c r="K554" s="11" t="str">
        <f aca="false">IF(I554&lt;J554,"TAK","NIE")</f>
        <v>NIE</v>
      </c>
    </row>
    <row r="555" customFormat="false" ht="15" hidden="false" customHeight="false" outlineLevel="0" collapsed="false">
      <c r="A555" s="5" t="s">
        <v>267</v>
      </c>
      <c r="B555" s="5" t="s">
        <v>54</v>
      </c>
      <c r="C555" s="5" t="n">
        <v>2019</v>
      </c>
      <c r="D555" s="5" t="s">
        <v>52</v>
      </c>
      <c r="E555" s="5" t="s">
        <v>55</v>
      </c>
      <c r="F555" s="5" t="s">
        <v>40</v>
      </c>
      <c r="G555" s="6" t="n">
        <v>527</v>
      </c>
      <c r="H555" s="6" t="n">
        <v>262</v>
      </c>
      <c r="I555" s="7" t="n">
        <f aca="false">(G555-H555)/G555</f>
        <v>0.502846299810247</v>
      </c>
      <c r="J555" s="15" t="n">
        <v>0.2525</v>
      </c>
      <c r="K555" s="11" t="str">
        <f aca="false">IF(I555&lt;J555,"TAK","NIE")</f>
        <v>NIE</v>
      </c>
    </row>
    <row r="556" customFormat="false" ht="15" hidden="false" customHeight="false" outlineLevel="0" collapsed="false">
      <c r="A556" s="5" t="s">
        <v>268</v>
      </c>
      <c r="B556" s="5" t="s">
        <v>54</v>
      </c>
      <c r="C556" s="5" t="n">
        <v>2019</v>
      </c>
      <c r="D556" s="5" t="s">
        <v>52</v>
      </c>
      <c r="E556" s="5" t="s">
        <v>55</v>
      </c>
      <c r="F556" s="5" t="s">
        <v>40</v>
      </c>
      <c r="G556" s="6" t="n">
        <v>422</v>
      </c>
      <c r="H556" s="6" t="n">
        <v>24</v>
      </c>
      <c r="I556" s="7" t="n">
        <f aca="false">(G556-H556)/G556</f>
        <v>0.943127962085308</v>
      </c>
      <c r="J556" s="15" t="n">
        <v>0.2525</v>
      </c>
      <c r="K556" s="11" t="str">
        <f aca="false">IF(I556&lt;J556,"TAK","NIE")</f>
        <v>NIE</v>
      </c>
    </row>
    <row r="557" customFormat="false" ht="15" hidden="false" customHeight="false" outlineLevel="0" collapsed="false">
      <c r="A557" s="5" t="s">
        <v>269</v>
      </c>
      <c r="B557" s="5" t="s">
        <v>54</v>
      </c>
      <c r="C557" s="5" t="n">
        <v>2019</v>
      </c>
      <c r="D557" s="5" t="s">
        <v>52</v>
      </c>
      <c r="E557" s="5" t="s">
        <v>55</v>
      </c>
      <c r="F557" s="5" t="s">
        <v>40</v>
      </c>
      <c r="G557" s="6" t="n">
        <v>501</v>
      </c>
      <c r="H557" s="6" t="n">
        <v>214</v>
      </c>
      <c r="I557" s="7" t="n">
        <f aca="false">(G557-H557)/G557</f>
        <v>0.572854291417166</v>
      </c>
      <c r="J557" s="15" t="n">
        <v>0.2525</v>
      </c>
      <c r="K557" s="11" t="str">
        <f aca="false">IF(I557&lt;J557,"TAK","NIE")</f>
        <v>NIE</v>
      </c>
    </row>
    <row r="558" customFormat="false" ht="15" hidden="false" customHeight="false" outlineLevel="0" collapsed="false">
      <c r="A558" s="5" t="s">
        <v>270</v>
      </c>
      <c r="B558" s="5" t="s">
        <v>54</v>
      </c>
      <c r="C558" s="5" t="n">
        <v>2019</v>
      </c>
      <c r="D558" s="5" t="s">
        <v>52</v>
      </c>
      <c r="E558" s="5" t="s">
        <v>55</v>
      </c>
      <c r="F558" s="5" t="s">
        <v>40</v>
      </c>
      <c r="G558" s="6" t="n">
        <v>527</v>
      </c>
      <c r="H558" s="6" t="n">
        <v>208</v>
      </c>
      <c r="I558" s="7" t="n">
        <f aca="false">(G558-H558)/G558</f>
        <v>0.605313092979127</v>
      </c>
      <c r="J558" s="15" t="n">
        <v>0.2525</v>
      </c>
      <c r="K558" s="11" t="str">
        <f aca="false">IF(I558&lt;J558,"TAK","NIE")</f>
        <v>NIE</v>
      </c>
    </row>
    <row r="559" customFormat="false" ht="15" hidden="false" customHeight="false" outlineLevel="0" collapsed="false">
      <c r="A559" s="5" t="s">
        <v>271</v>
      </c>
      <c r="B559" s="5" t="s">
        <v>54</v>
      </c>
      <c r="C559" s="5" t="n">
        <v>2019</v>
      </c>
      <c r="D559" s="5" t="s">
        <v>52</v>
      </c>
      <c r="E559" s="5" t="s">
        <v>55</v>
      </c>
      <c r="F559" s="5" t="s">
        <v>40</v>
      </c>
      <c r="G559" s="6" t="n">
        <v>448</v>
      </c>
      <c r="H559" s="6" t="n">
        <v>157</v>
      </c>
      <c r="I559" s="7" t="n">
        <f aca="false">(G559-H559)/G559</f>
        <v>0.649553571428571</v>
      </c>
      <c r="J559" s="15" t="n">
        <v>0.2525</v>
      </c>
      <c r="K559" s="11" t="str">
        <f aca="false">IF(I559&lt;J559,"TAK","NIE")</f>
        <v>NIE</v>
      </c>
    </row>
    <row r="560" customFormat="false" ht="15" hidden="false" customHeight="false" outlineLevel="0" collapsed="false">
      <c r="A560" s="5" t="s">
        <v>272</v>
      </c>
      <c r="B560" s="5" t="s">
        <v>54</v>
      </c>
      <c r="C560" s="5" t="n">
        <v>2019</v>
      </c>
      <c r="D560" s="5" t="s">
        <v>52</v>
      </c>
      <c r="E560" s="5" t="s">
        <v>55</v>
      </c>
      <c r="F560" s="5" t="s">
        <v>40</v>
      </c>
      <c r="G560" s="6" t="n">
        <v>448</v>
      </c>
      <c r="H560" s="6" t="n">
        <v>232</v>
      </c>
      <c r="I560" s="7" t="n">
        <f aca="false">(G560-H560)/G560</f>
        <v>0.482142857142857</v>
      </c>
      <c r="J560" s="15" t="n">
        <v>0.2525</v>
      </c>
      <c r="K560" s="11" t="str">
        <f aca="false">IF(I560&lt;J560,"TAK","NIE")</f>
        <v>NIE</v>
      </c>
    </row>
    <row r="561" customFormat="false" ht="15" hidden="false" customHeight="false" outlineLevel="0" collapsed="false">
      <c r="A561" s="5" t="s">
        <v>273</v>
      </c>
      <c r="B561" s="5" t="s">
        <v>54</v>
      </c>
      <c r="C561" s="5" t="n">
        <v>2019</v>
      </c>
      <c r="D561" s="5" t="s">
        <v>52</v>
      </c>
      <c r="E561" s="5" t="s">
        <v>55</v>
      </c>
      <c r="F561" s="5" t="s">
        <v>40</v>
      </c>
      <c r="G561" s="6" t="n">
        <v>527</v>
      </c>
      <c r="H561" s="6" t="n">
        <v>281</v>
      </c>
      <c r="I561" s="7" t="n">
        <f aca="false">(G561-H561)/G561</f>
        <v>0.466793168880455</v>
      </c>
      <c r="J561" s="15" t="n">
        <v>0.2525</v>
      </c>
      <c r="K561" s="11" t="str">
        <f aca="false">IF(I561&lt;J561,"TAK","NIE")</f>
        <v>NIE</v>
      </c>
    </row>
    <row r="562" customFormat="false" ht="15" hidden="false" customHeight="false" outlineLevel="0" collapsed="false">
      <c r="A562" s="5" t="s">
        <v>274</v>
      </c>
      <c r="B562" s="5" t="s">
        <v>54</v>
      </c>
      <c r="C562" s="5" t="n">
        <v>2019</v>
      </c>
      <c r="D562" s="5" t="s">
        <v>52</v>
      </c>
      <c r="E562" s="5" t="s">
        <v>55</v>
      </c>
      <c r="F562" s="5" t="s">
        <v>40</v>
      </c>
      <c r="G562" s="6" t="n">
        <v>448</v>
      </c>
      <c r="H562" s="6" t="n">
        <v>205</v>
      </c>
      <c r="I562" s="7" t="n">
        <f aca="false">(G562-H562)/G562</f>
        <v>0.542410714285714</v>
      </c>
      <c r="J562" s="15" t="n">
        <v>0.2525</v>
      </c>
      <c r="K562" s="11" t="str">
        <f aca="false">IF(I562&lt;J562,"TAK","NIE")</f>
        <v>NIE</v>
      </c>
    </row>
    <row r="563" customFormat="false" ht="15" hidden="false" customHeight="false" outlineLevel="0" collapsed="false">
      <c r="A563" s="5" t="s">
        <v>275</v>
      </c>
      <c r="B563" s="5" t="s">
        <v>54</v>
      </c>
      <c r="C563" s="5" t="n">
        <v>2019</v>
      </c>
      <c r="D563" s="5" t="s">
        <v>52</v>
      </c>
      <c r="E563" s="5" t="s">
        <v>55</v>
      </c>
      <c r="F563" s="5" t="s">
        <v>40</v>
      </c>
      <c r="G563" s="6" t="n">
        <v>422</v>
      </c>
      <c r="H563" s="6" t="n">
        <v>173</v>
      </c>
      <c r="I563" s="7" t="n">
        <f aca="false">(G563-H563)/G563</f>
        <v>0.590047393364929</v>
      </c>
      <c r="J563" s="15" t="n">
        <v>0.2525</v>
      </c>
      <c r="K563" s="11" t="str">
        <f aca="false">IF(I563&lt;J563,"TAK","NIE")</f>
        <v>NIE</v>
      </c>
    </row>
    <row r="564" customFormat="false" ht="15" hidden="false" customHeight="false" outlineLevel="0" collapsed="false">
      <c r="A564" s="5" t="s">
        <v>276</v>
      </c>
      <c r="B564" s="5" t="s">
        <v>54</v>
      </c>
      <c r="C564" s="5" t="n">
        <v>2019</v>
      </c>
      <c r="D564" s="5" t="s">
        <v>52</v>
      </c>
      <c r="E564" s="5" t="s">
        <v>55</v>
      </c>
      <c r="F564" s="5" t="s">
        <v>40</v>
      </c>
      <c r="G564" s="6" t="n">
        <v>422</v>
      </c>
      <c r="H564" s="6" t="n">
        <v>107</v>
      </c>
      <c r="I564" s="7" t="n">
        <f aca="false">(G564-H564)/G564</f>
        <v>0.746445497630332</v>
      </c>
      <c r="J564" s="15" t="n">
        <v>0.2525</v>
      </c>
      <c r="K564" s="11" t="str">
        <f aca="false">IF(I564&lt;J564,"TAK","NIE")</f>
        <v>NIE</v>
      </c>
    </row>
    <row r="565" customFormat="false" ht="15" hidden="false" customHeight="false" outlineLevel="0" collapsed="false">
      <c r="A565" s="5" t="s">
        <v>277</v>
      </c>
      <c r="B565" s="5" t="s">
        <v>54</v>
      </c>
      <c r="C565" s="5" t="n">
        <v>2019</v>
      </c>
      <c r="D565" s="5" t="s">
        <v>52</v>
      </c>
      <c r="E565" s="5" t="s">
        <v>55</v>
      </c>
      <c r="F565" s="5" t="s">
        <v>40</v>
      </c>
      <c r="G565" s="6" t="n">
        <v>448</v>
      </c>
      <c r="H565" s="6" t="n">
        <v>293</v>
      </c>
      <c r="I565" s="7" t="n">
        <f aca="false">(G565-H565)/G565</f>
        <v>0.345982142857143</v>
      </c>
      <c r="J565" s="15" t="n">
        <v>0.2525</v>
      </c>
      <c r="K565" s="11" t="str">
        <f aca="false">IF(I565&lt;J565,"TAK","NIE")</f>
        <v>NIE</v>
      </c>
    </row>
    <row r="566" customFormat="false" ht="15" hidden="false" customHeight="false" outlineLevel="0" collapsed="false">
      <c r="A566" s="5" t="s">
        <v>278</v>
      </c>
      <c r="B566" s="5" t="s">
        <v>54</v>
      </c>
      <c r="C566" s="5" t="n">
        <v>2019</v>
      </c>
      <c r="D566" s="5" t="s">
        <v>52</v>
      </c>
      <c r="E566" s="5" t="s">
        <v>55</v>
      </c>
      <c r="F566" s="5" t="s">
        <v>40</v>
      </c>
      <c r="G566" s="6" t="n">
        <v>501</v>
      </c>
      <c r="H566" s="6" t="n">
        <v>222</v>
      </c>
      <c r="I566" s="7" t="n">
        <f aca="false">(G566-H566)/G566</f>
        <v>0.55688622754491</v>
      </c>
      <c r="J566" s="15" t="n">
        <v>0.2525</v>
      </c>
      <c r="K566" s="11" t="str">
        <f aca="false">IF(I566&lt;J566,"TAK","NIE")</f>
        <v>NIE</v>
      </c>
    </row>
    <row r="567" customFormat="false" ht="15" hidden="false" customHeight="false" outlineLevel="0" collapsed="false">
      <c r="A567" s="5" t="s">
        <v>279</v>
      </c>
      <c r="B567" s="5" t="s">
        <v>54</v>
      </c>
      <c r="C567" s="5" t="n">
        <v>2019</v>
      </c>
      <c r="D567" s="5" t="s">
        <v>52</v>
      </c>
      <c r="E567" s="5" t="s">
        <v>55</v>
      </c>
      <c r="F567" s="5" t="s">
        <v>40</v>
      </c>
      <c r="G567" s="6" t="n">
        <v>448</v>
      </c>
      <c r="H567" s="6" t="n">
        <v>179</v>
      </c>
      <c r="I567" s="7" t="n">
        <f aca="false">(G567-H567)/G567</f>
        <v>0.600446428571429</v>
      </c>
      <c r="J567" s="15" t="n">
        <v>0.2525</v>
      </c>
      <c r="K567" s="11" t="str">
        <f aca="false">IF(I567&lt;J567,"TAK","NIE")</f>
        <v>NIE</v>
      </c>
    </row>
    <row r="568" customFormat="false" ht="15" hidden="false" customHeight="false" outlineLevel="0" collapsed="false">
      <c r="A568" s="5" t="s">
        <v>280</v>
      </c>
      <c r="B568" s="5" t="s">
        <v>54</v>
      </c>
      <c r="C568" s="5" t="n">
        <v>2019</v>
      </c>
      <c r="D568" s="5" t="s">
        <v>52</v>
      </c>
      <c r="E568" s="5" t="s">
        <v>55</v>
      </c>
      <c r="F568" s="5" t="s">
        <v>40</v>
      </c>
      <c r="G568" s="6" t="n">
        <v>422</v>
      </c>
      <c r="H568" s="6" t="n">
        <v>221</v>
      </c>
      <c r="I568" s="7" t="n">
        <f aca="false">(G568-H568)/G568</f>
        <v>0.476303317535545</v>
      </c>
      <c r="J568" s="15" t="n">
        <v>0.2525</v>
      </c>
      <c r="K568" s="11" t="str">
        <f aca="false">IF(I568&lt;J568,"TAK","NIE")</f>
        <v>NIE</v>
      </c>
    </row>
    <row r="569" customFormat="false" ht="15" hidden="false" customHeight="false" outlineLevel="0" collapsed="false">
      <c r="A569" s="5" t="s">
        <v>281</v>
      </c>
      <c r="B569" s="5" t="s">
        <v>54</v>
      </c>
      <c r="C569" s="5" t="n">
        <v>2019</v>
      </c>
      <c r="D569" s="5" t="s">
        <v>52</v>
      </c>
      <c r="E569" s="5" t="s">
        <v>55</v>
      </c>
      <c r="F569" s="5" t="s">
        <v>40</v>
      </c>
      <c r="G569" s="6" t="n">
        <v>448</v>
      </c>
      <c r="H569" s="6" t="n">
        <v>161</v>
      </c>
      <c r="I569" s="7" t="n">
        <f aca="false">(G569-H569)/G569</f>
        <v>0.640625</v>
      </c>
      <c r="J569" s="15" t="n">
        <v>0.2525</v>
      </c>
      <c r="K569" s="11" t="str">
        <f aca="false">IF(I569&lt;J569,"TAK","NIE")</f>
        <v>NIE</v>
      </c>
    </row>
    <row r="570" customFormat="false" ht="15" hidden="false" customHeight="false" outlineLevel="0" collapsed="false">
      <c r="A570" s="5" t="s">
        <v>282</v>
      </c>
      <c r="B570" s="5" t="s">
        <v>54</v>
      </c>
      <c r="C570" s="5" t="n">
        <v>2019</v>
      </c>
      <c r="D570" s="5" t="s">
        <v>52</v>
      </c>
      <c r="E570" s="5" t="s">
        <v>55</v>
      </c>
      <c r="F570" s="5" t="s">
        <v>40</v>
      </c>
      <c r="G570" s="6" t="n">
        <v>527</v>
      </c>
      <c r="H570" s="6" t="n">
        <v>180</v>
      </c>
      <c r="I570" s="7" t="n">
        <f aca="false">(G570-H570)/G570</f>
        <v>0.658444022770399</v>
      </c>
      <c r="J570" s="15" t="n">
        <v>0.2525</v>
      </c>
      <c r="K570" s="11" t="str">
        <f aca="false">IF(I570&lt;J570,"TAK","NIE")</f>
        <v>NIE</v>
      </c>
    </row>
    <row r="571" customFormat="false" ht="15" hidden="false" customHeight="false" outlineLevel="0" collapsed="false">
      <c r="A571" s="5" t="s">
        <v>283</v>
      </c>
      <c r="B571" s="5" t="s">
        <v>54</v>
      </c>
      <c r="C571" s="5" t="n">
        <v>2019</v>
      </c>
      <c r="D571" s="5" t="s">
        <v>52</v>
      </c>
      <c r="E571" s="5" t="s">
        <v>55</v>
      </c>
      <c r="F571" s="5" t="s">
        <v>40</v>
      </c>
      <c r="G571" s="6" t="n">
        <v>448</v>
      </c>
      <c r="H571" s="6" t="n">
        <v>228</v>
      </c>
      <c r="I571" s="7" t="n">
        <f aca="false">(G571-H571)/G571</f>
        <v>0.491071428571429</v>
      </c>
      <c r="J571" s="15" t="n">
        <v>0.2525</v>
      </c>
      <c r="K571" s="11" t="str">
        <f aca="false">IF(I571&lt;J571,"TAK","NIE")</f>
        <v>NIE</v>
      </c>
    </row>
    <row r="572" customFormat="false" ht="15" hidden="false" customHeight="false" outlineLevel="0" collapsed="false">
      <c r="A572" s="5" t="s">
        <v>284</v>
      </c>
      <c r="B572" s="5" t="s">
        <v>54</v>
      </c>
      <c r="C572" s="5" t="n">
        <v>2019</v>
      </c>
      <c r="D572" s="5" t="s">
        <v>52</v>
      </c>
      <c r="E572" s="5" t="s">
        <v>55</v>
      </c>
      <c r="F572" s="5" t="s">
        <v>40</v>
      </c>
      <c r="G572" s="6" t="n">
        <v>448</v>
      </c>
      <c r="H572" s="6" t="n">
        <v>191</v>
      </c>
      <c r="I572" s="7" t="n">
        <f aca="false">(G572-H572)/G572</f>
        <v>0.573660714285714</v>
      </c>
      <c r="J572" s="15" t="n">
        <v>0.2525</v>
      </c>
      <c r="K572" s="11" t="str">
        <f aca="false">IF(I572&lt;J572,"TAK","NIE")</f>
        <v>NIE</v>
      </c>
    </row>
    <row r="573" customFormat="false" ht="15" hidden="false" customHeight="false" outlineLevel="0" collapsed="false">
      <c r="A573" s="5" t="s">
        <v>285</v>
      </c>
      <c r="B573" s="5" t="s">
        <v>54</v>
      </c>
      <c r="C573" s="5" t="n">
        <v>2019</v>
      </c>
      <c r="D573" s="5" t="s">
        <v>52</v>
      </c>
      <c r="E573" s="5" t="s">
        <v>55</v>
      </c>
      <c r="F573" s="5" t="s">
        <v>40</v>
      </c>
      <c r="G573" s="6" t="n">
        <v>501</v>
      </c>
      <c r="H573" s="6" t="n">
        <v>272</v>
      </c>
      <c r="I573" s="7" t="n">
        <f aca="false">(G573-H573)/G573</f>
        <v>0.457085828343313</v>
      </c>
      <c r="J573" s="15" t="n">
        <v>0.2525</v>
      </c>
      <c r="K573" s="11" t="str">
        <f aca="false">IF(I573&lt;J573,"TAK","NIE")</f>
        <v>NIE</v>
      </c>
    </row>
    <row r="574" customFormat="false" ht="15" hidden="false" customHeight="false" outlineLevel="0" collapsed="false">
      <c r="A574" s="5" t="s">
        <v>286</v>
      </c>
      <c r="B574" s="5" t="s">
        <v>54</v>
      </c>
      <c r="C574" s="5" t="n">
        <v>2019</v>
      </c>
      <c r="D574" s="5" t="s">
        <v>52</v>
      </c>
      <c r="E574" s="5" t="s">
        <v>55</v>
      </c>
      <c r="F574" s="5" t="s">
        <v>40</v>
      </c>
      <c r="G574" s="6" t="n">
        <v>422</v>
      </c>
      <c r="H574" s="6" t="n">
        <v>268</v>
      </c>
      <c r="I574" s="7" t="n">
        <f aca="false">(G574-H574)/G574</f>
        <v>0.364928909952607</v>
      </c>
      <c r="J574" s="15" t="n">
        <v>0.2525</v>
      </c>
      <c r="K574" s="11" t="str">
        <f aca="false">IF(I574&lt;J574,"TAK","NIE")</f>
        <v>NIE</v>
      </c>
    </row>
    <row r="575" customFormat="false" ht="15" hidden="false" customHeight="false" outlineLevel="0" collapsed="false">
      <c r="A575" s="5" t="s">
        <v>287</v>
      </c>
      <c r="B575" s="5" t="s">
        <v>54</v>
      </c>
      <c r="C575" s="5" t="n">
        <v>2019</v>
      </c>
      <c r="D575" s="5" t="s">
        <v>52</v>
      </c>
      <c r="E575" s="5" t="s">
        <v>55</v>
      </c>
      <c r="F575" s="5" t="s">
        <v>40</v>
      </c>
      <c r="G575" s="6" t="n">
        <v>527</v>
      </c>
      <c r="H575" s="6" t="n">
        <v>142</v>
      </c>
      <c r="I575" s="7" t="n">
        <f aca="false">(G575-H575)/G575</f>
        <v>0.730550284629981</v>
      </c>
      <c r="J575" s="15" t="n">
        <v>0.2525</v>
      </c>
      <c r="K575" s="11" t="str">
        <f aca="false">IF(I575&lt;J575,"TAK","NIE")</f>
        <v>NIE</v>
      </c>
    </row>
    <row r="576" customFormat="false" ht="15" hidden="false" customHeight="false" outlineLevel="0" collapsed="false">
      <c r="A576" s="5" t="s">
        <v>288</v>
      </c>
      <c r="B576" s="5" t="s">
        <v>54</v>
      </c>
      <c r="C576" s="5" t="n">
        <v>2019</v>
      </c>
      <c r="D576" s="5" t="s">
        <v>52</v>
      </c>
      <c r="E576" s="5" t="s">
        <v>55</v>
      </c>
      <c r="F576" s="5" t="s">
        <v>40</v>
      </c>
      <c r="G576" s="6" t="n">
        <v>422</v>
      </c>
      <c r="H576" s="6" t="n">
        <v>213</v>
      </c>
      <c r="I576" s="7" t="n">
        <f aca="false">(G576-H576)/G576</f>
        <v>0.495260663507109</v>
      </c>
      <c r="J576" s="15" t="n">
        <v>0.2525</v>
      </c>
      <c r="K576" s="11" t="str">
        <f aca="false">IF(I576&lt;J576,"TAK","NIE")</f>
        <v>NIE</v>
      </c>
    </row>
    <row r="577" customFormat="false" ht="15" hidden="false" customHeight="false" outlineLevel="0" collapsed="false">
      <c r="A577" s="5" t="s">
        <v>289</v>
      </c>
      <c r="B577" s="5" t="s">
        <v>54</v>
      </c>
      <c r="C577" s="5" t="n">
        <v>2019</v>
      </c>
      <c r="D577" s="5" t="s">
        <v>52</v>
      </c>
      <c r="E577" s="5" t="s">
        <v>55</v>
      </c>
      <c r="F577" s="5" t="s">
        <v>40</v>
      </c>
      <c r="G577" s="6" t="n">
        <v>448</v>
      </c>
      <c r="H577" s="6" t="n">
        <v>144</v>
      </c>
      <c r="I577" s="7" t="n">
        <f aca="false">(G577-H577)/G577</f>
        <v>0.678571428571429</v>
      </c>
      <c r="J577" s="15" t="n">
        <v>0.2525</v>
      </c>
      <c r="K577" s="11" t="str">
        <f aca="false">IF(I577&lt;J577,"TAK","NIE")</f>
        <v>NIE</v>
      </c>
    </row>
    <row r="578" customFormat="false" ht="15" hidden="false" customHeight="false" outlineLevel="0" collapsed="false">
      <c r="A578" s="5" t="s">
        <v>290</v>
      </c>
      <c r="B578" s="5" t="s">
        <v>54</v>
      </c>
      <c r="C578" s="5" t="n">
        <v>2019</v>
      </c>
      <c r="D578" s="5" t="s">
        <v>52</v>
      </c>
      <c r="E578" s="5" t="s">
        <v>55</v>
      </c>
      <c r="F578" s="5" t="s">
        <v>40</v>
      </c>
      <c r="G578" s="6" t="n">
        <v>527</v>
      </c>
      <c r="H578" s="6" t="n">
        <v>388</v>
      </c>
      <c r="I578" s="7" t="n">
        <f aca="false">(G578-H578)/G578</f>
        <v>0.263757115749526</v>
      </c>
      <c r="J578" s="15" t="n">
        <v>0.2525</v>
      </c>
      <c r="K578" s="11" t="str">
        <f aca="false">IF(I578&lt;J578,"TAK","NIE")</f>
        <v>NIE</v>
      </c>
    </row>
    <row r="579" customFormat="false" ht="15" hidden="false" customHeight="false" outlineLevel="0" collapsed="false">
      <c r="A579" s="5" t="s">
        <v>291</v>
      </c>
      <c r="B579" s="5" t="s">
        <v>54</v>
      </c>
      <c r="C579" s="5" t="n">
        <v>2019</v>
      </c>
      <c r="D579" s="5" t="s">
        <v>52</v>
      </c>
      <c r="E579" s="5" t="s">
        <v>55</v>
      </c>
      <c r="F579" s="5" t="s">
        <v>40</v>
      </c>
      <c r="G579" s="6" t="n">
        <v>448</v>
      </c>
      <c r="H579" s="6" t="n">
        <v>208</v>
      </c>
      <c r="I579" s="7" t="n">
        <f aca="false">(G579-H579)/G579</f>
        <v>0.535714285714286</v>
      </c>
      <c r="J579" s="15" t="n">
        <v>0.2525</v>
      </c>
      <c r="K579" s="11" t="str">
        <f aca="false">IF(I579&lt;J579,"TAK","NIE")</f>
        <v>NIE</v>
      </c>
    </row>
    <row r="580" customFormat="false" ht="15" hidden="false" customHeight="false" outlineLevel="0" collapsed="false">
      <c r="A580" s="5" t="s">
        <v>263</v>
      </c>
      <c r="B580" s="5" t="s">
        <v>56</v>
      </c>
      <c r="C580" s="5" t="n">
        <v>2019</v>
      </c>
      <c r="D580" s="5" t="s">
        <v>52</v>
      </c>
      <c r="E580" s="5" t="s">
        <v>57</v>
      </c>
      <c r="F580" s="5" t="s">
        <v>39</v>
      </c>
      <c r="G580" s="6" t="n">
        <v>471</v>
      </c>
      <c r="H580" s="6" t="n">
        <v>194</v>
      </c>
      <c r="I580" s="7" t="n">
        <f aca="false">(G580-H580)/G580</f>
        <v>0.588110403397028</v>
      </c>
      <c r="J580" s="15" t="n">
        <v>0.145</v>
      </c>
      <c r="K580" s="11" t="str">
        <f aca="false">IF(I580&lt;J580,"TAK","NIE")</f>
        <v>NIE</v>
      </c>
    </row>
    <row r="581" customFormat="false" ht="15" hidden="false" customHeight="false" outlineLevel="0" collapsed="false">
      <c r="A581" s="5" t="s">
        <v>264</v>
      </c>
      <c r="B581" s="5" t="s">
        <v>56</v>
      </c>
      <c r="C581" s="5" t="n">
        <v>2019</v>
      </c>
      <c r="D581" s="5" t="s">
        <v>52</v>
      </c>
      <c r="E581" s="5" t="s">
        <v>57</v>
      </c>
      <c r="F581" s="5" t="s">
        <v>39</v>
      </c>
      <c r="G581" s="6" t="n">
        <v>471</v>
      </c>
      <c r="H581" s="6" t="n">
        <v>126</v>
      </c>
      <c r="I581" s="7" t="n">
        <f aca="false">(G581-H581)/G581</f>
        <v>0.732484076433121</v>
      </c>
      <c r="J581" s="15" t="n">
        <v>0.145</v>
      </c>
      <c r="K581" s="11" t="str">
        <f aca="false">IF(I581&lt;J581,"TAK","NIE")</f>
        <v>NIE</v>
      </c>
    </row>
    <row r="582" customFormat="false" ht="15" hidden="false" customHeight="false" outlineLevel="0" collapsed="false">
      <c r="A582" s="5" t="s">
        <v>265</v>
      </c>
      <c r="B582" s="5" t="s">
        <v>56</v>
      </c>
      <c r="C582" s="5" t="n">
        <v>2019</v>
      </c>
      <c r="D582" s="5" t="s">
        <v>52</v>
      </c>
      <c r="E582" s="5" t="s">
        <v>57</v>
      </c>
      <c r="F582" s="5" t="s">
        <v>39</v>
      </c>
      <c r="G582" s="6" t="n">
        <v>483</v>
      </c>
      <c r="H582" s="6" t="n">
        <v>232</v>
      </c>
      <c r="I582" s="7" t="n">
        <f aca="false">(G582-H582)/G582</f>
        <v>0.519668737060041</v>
      </c>
      <c r="J582" s="15" t="n">
        <v>0.145</v>
      </c>
      <c r="K582" s="11" t="str">
        <f aca="false">IF(I582&lt;J582,"TAK","NIE")</f>
        <v>NIE</v>
      </c>
    </row>
    <row r="583" customFormat="false" ht="15" hidden="false" customHeight="false" outlineLevel="0" collapsed="false">
      <c r="A583" s="5" t="s">
        <v>266</v>
      </c>
      <c r="B583" s="5" t="s">
        <v>56</v>
      </c>
      <c r="C583" s="5" t="n">
        <v>2019</v>
      </c>
      <c r="D583" s="5" t="s">
        <v>52</v>
      </c>
      <c r="E583" s="5" t="s">
        <v>57</v>
      </c>
      <c r="F583" s="5" t="s">
        <v>39</v>
      </c>
      <c r="G583" s="6" t="n">
        <v>464</v>
      </c>
      <c r="H583" s="6" t="n">
        <v>7</v>
      </c>
      <c r="I583" s="7" t="n">
        <f aca="false">(G583-H583)/G583</f>
        <v>0.984913793103448</v>
      </c>
      <c r="J583" s="15" t="n">
        <v>0.145</v>
      </c>
      <c r="K583" s="11" t="str">
        <f aca="false">IF(I583&lt;J583,"TAK","NIE")</f>
        <v>NIE</v>
      </c>
    </row>
    <row r="584" customFormat="false" ht="15" hidden="false" customHeight="false" outlineLevel="0" collapsed="false">
      <c r="A584" s="5" t="s">
        <v>267</v>
      </c>
      <c r="B584" s="5" t="s">
        <v>56</v>
      </c>
      <c r="C584" s="5" t="n">
        <v>2019</v>
      </c>
      <c r="D584" s="5" t="s">
        <v>52</v>
      </c>
      <c r="E584" s="5" t="s">
        <v>57</v>
      </c>
      <c r="F584" s="5" t="s">
        <v>39</v>
      </c>
      <c r="G584" s="6" t="n">
        <v>471</v>
      </c>
      <c r="H584" s="6" t="n">
        <v>223</v>
      </c>
      <c r="I584" s="7" t="n">
        <f aca="false">(G584-H584)/G584</f>
        <v>0.526539278131635</v>
      </c>
      <c r="J584" s="15" t="n">
        <v>0.145</v>
      </c>
      <c r="K584" s="11" t="str">
        <f aca="false">IF(I584&lt;J584,"TAK","NIE")</f>
        <v>NIE</v>
      </c>
    </row>
    <row r="585" customFormat="false" ht="15" hidden="false" customHeight="false" outlineLevel="0" collapsed="false">
      <c r="A585" s="5" t="s">
        <v>268</v>
      </c>
      <c r="B585" s="5" t="s">
        <v>56</v>
      </c>
      <c r="C585" s="5" t="n">
        <v>2019</v>
      </c>
      <c r="D585" s="5" t="s">
        <v>52</v>
      </c>
      <c r="E585" s="5" t="s">
        <v>57</v>
      </c>
      <c r="F585" s="5" t="s">
        <v>39</v>
      </c>
      <c r="G585" s="6" t="n">
        <v>464</v>
      </c>
      <c r="H585" s="6" t="n">
        <v>53</v>
      </c>
      <c r="I585" s="7" t="n">
        <f aca="false">(G585-H585)/G585</f>
        <v>0.885775862068966</v>
      </c>
      <c r="J585" s="15" t="n">
        <v>0.145</v>
      </c>
      <c r="K585" s="11" t="str">
        <f aca="false">IF(I585&lt;J585,"TAK","NIE")</f>
        <v>NIE</v>
      </c>
    </row>
    <row r="586" customFormat="false" ht="15" hidden="false" customHeight="false" outlineLevel="0" collapsed="false">
      <c r="A586" s="5" t="s">
        <v>269</v>
      </c>
      <c r="B586" s="5" t="s">
        <v>56</v>
      </c>
      <c r="C586" s="5" t="n">
        <v>2019</v>
      </c>
      <c r="D586" s="5" t="s">
        <v>52</v>
      </c>
      <c r="E586" s="5" t="s">
        <v>57</v>
      </c>
      <c r="F586" s="5" t="s">
        <v>39</v>
      </c>
      <c r="G586" s="6" t="n">
        <v>452</v>
      </c>
      <c r="H586" s="6" t="n">
        <v>116</v>
      </c>
      <c r="I586" s="7" t="n">
        <f aca="false">(G586-H586)/G586</f>
        <v>0.743362831858407</v>
      </c>
      <c r="J586" s="15" t="n">
        <v>0.145</v>
      </c>
      <c r="K586" s="11" t="str">
        <f aca="false">IF(I586&lt;J586,"TAK","NIE")</f>
        <v>NIE</v>
      </c>
    </row>
    <row r="587" customFormat="false" ht="15" hidden="false" customHeight="false" outlineLevel="0" collapsed="false">
      <c r="A587" s="5" t="s">
        <v>270</v>
      </c>
      <c r="B587" s="5" t="s">
        <v>56</v>
      </c>
      <c r="C587" s="5" t="n">
        <v>2019</v>
      </c>
      <c r="D587" s="5" t="s">
        <v>52</v>
      </c>
      <c r="E587" s="5" t="s">
        <v>57</v>
      </c>
      <c r="F587" s="5" t="s">
        <v>39</v>
      </c>
      <c r="G587" s="6" t="n">
        <v>471</v>
      </c>
      <c r="H587" s="6" t="n">
        <v>89</v>
      </c>
      <c r="I587" s="7" t="n">
        <f aca="false">(G587-H587)/G587</f>
        <v>0.81104033970276</v>
      </c>
      <c r="J587" s="15" t="n">
        <v>0.145</v>
      </c>
      <c r="K587" s="11" t="str">
        <f aca="false">IF(I587&lt;J587,"TAK","NIE")</f>
        <v>NIE</v>
      </c>
    </row>
    <row r="588" customFormat="false" ht="15" hidden="false" customHeight="false" outlineLevel="0" collapsed="false">
      <c r="A588" s="5" t="s">
        <v>271</v>
      </c>
      <c r="B588" s="5" t="s">
        <v>56</v>
      </c>
      <c r="C588" s="5" t="n">
        <v>2019</v>
      </c>
      <c r="D588" s="5" t="s">
        <v>52</v>
      </c>
      <c r="E588" s="5" t="s">
        <v>57</v>
      </c>
      <c r="F588" s="5" t="s">
        <v>39</v>
      </c>
      <c r="G588" s="6" t="n">
        <v>483</v>
      </c>
      <c r="H588" s="6" t="n">
        <v>3</v>
      </c>
      <c r="I588" s="7" t="n">
        <f aca="false">(G588-H588)/G588</f>
        <v>0.993788819875776</v>
      </c>
      <c r="J588" s="15" t="n">
        <v>0.145</v>
      </c>
      <c r="K588" s="11" t="str">
        <f aca="false">IF(I588&lt;J588,"TAK","NIE")</f>
        <v>NIE</v>
      </c>
    </row>
    <row r="589" customFormat="false" ht="15" hidden="false" customHeight="false" outlineLevel="0" collapsed="false">
      <c r="A589" s="5" t="s">
        <v>272</v>
      </c>
      <c r="B589" s="5" t="s">
        <v>56</v>
      </c>
      <c r="C589" s="5" t="n">
        <v>2019</v>
      </c>
      <c r="D589" s="5" t="s">
        <v>52</v>
      </c>
      <c r="E589" s="5" t="s">
        <v>57</v>
      </c>
      <c r="F589" s="5" t="s">
        <v>39</v>
      </c>
      <c r="G589" s="6" t="n">
        <v>483</v>
      </c>
      <c r="H589" s="6" t="n">
        <v>111</v>
      </c>
      <c r="I589" s="7" t="n">
        <f aca="false">(G589-H589)/G589</f>
        <v>0.770186335403727</v>
      </c>
      <c r="J589" s="15" t="n">
        <v>0.145</v>
      </c>
      <c r="K589" s="11" t="str">
        <f aca="false">IF(I589&lt;J589,"TAK","NIE")</f>
        <v>NIE</v>
      </c>
    </row>
    <row r="590" customFormat="false" ht="15" hidden="false" customHeight="false" outlineLevel="0" collapsed="false">
      <c r="A590" s="5" t="s">
        <v>273</v>
      </c>
      <c r="B590" s="5" t="s">
        <v>56</v>
      </c>
      <c r="C590" s="5" t="n">
        <v>2019</v>
      </c>
      <c r="D590" s="5" t="s">
        <v>52</v>
      </c>
      <c r="E590" s="5" t="s">
        <v>57</v>
      </c>
      <c r="F590" s="5" t="s">
        <v>39</v>
      </c>
      <c r="G590" s="6" t="n">
        <v>471</v>
      </c>
      <c r="H590" s="6" t="n">
        <v>146</v>
      </c>
      <c r="I590" s="7" t="n">
        <f aca="false">(G590-H590)/G590</f>
        <v>0.690021231422505</v>
      </c>
      <c r="J590" s="15" t="n">
        <v>0.145</v>
      </c>
      <c r="K590" s="11" t="str">
        <f aca="false">IF(I590&lt;J590,"TAK","NIE")</f>
        <v>NIE</v>
      </c>
    </row>
    <row r="591" customFormat="false" ht="15" hidden="false" customHeight="false" outlineLevel="0" collapsed="false">
      <c r="A591" s="5" t="s">
        <v>274</v>
      </c>
      <c r="B591" s="5" t="s">
        <v>56</v>
      </c>
      <c r="C591" s="5" t="n">
        <v>2019</v>
      </c>
      <c r="D591" s="5" t="s">
        <v>52</v>
      </c>
      <c r="E591" s="5" t="s">
        <v>57</v>
      </c>
      <c r="F591" s="5" t="s">
        <v>39</v>
      </c>
      <c r="G591" s="6" t="n">
        <v>483</v>
      </c>
      <c r="H591" s="6" t="n">
        <v>128</v>
      </c>
      <c r="I591" s="7" t="n">
        <f aca="false">(G591-H591)/G591</f>
        <v>0.734989648033126</v>
      </c>
      <c r="J591" s="15" t="n">
        <v>0.145</v>
      </c>
      <c r="K591" s="11" t="str">
        <f aca="false">IF(I591&lt;J591,"TAK","NIE")</f>
        <v>NIE</v>
      </c>
    </row>
    <row r="592" customFormat="false" ht="15" hidden="false" customHeight="false" outlineLevel="0" collapsed="false">
      <c r="A592" s="5" t="s">
        <v>275</v>
      </c>
      <c r="B592" s="5" t="s">
        <v>56</v>
      </c>
      <c r="C592" s="5" t="n">
        <v>2019</v>
      </c>
      <c r="D592" s="5" t="s">
        <v>52</v>
      </c>
      <c r="E592" s="5" t="s">
        <v>57</v>
      </c>
      <c r="F592" s="5" t="s">
        <v>39</v>
      </c>
      <c r="G592" s="6" t="n">
        <v>464</v>
      </c>
      <c r="H592" s="6" t="n">
        <v>129</v>
      </c>
      <c r="I592" s="7" t="n">
        <f aca="false">(G592-H592)/G592</f>
        <v>0.72198275862069</v>
      </c>
      <c r="J592" s="15" t="n">
        <v>0.145</v>
      </c>
      <c r="K592" s="11" t="str">
        <f aca="false">IF(I592&lt;J592,"TAK","NIE")</f>
        <v>NIE</v>
      </c>
    </row>
    <row r="593" customFormat="false" ht="15" hidden="false" customHeight="false" outlineLevel="0" collapsed="false">
      <c r="A593" s="5" t="s">
        <v>276</v>
      </c>
      <c r="B593" s="5" t="s">
        <v>56</v>
      </c>
      <c r="C593" s="5" t="n">
        <v>2019</v>
      </c>
      <c r="D593" s="5" t="s">
        <v>52</v>
      </c>
      <c r="E593" s="5" t="s">
        <v>57</v>
      </c>
      <c r="F593" s="5" t="s">
        <v>39</v>
      </c>
      <c r="G593" s="6" t="n">
        <v>464</v>
      </c>
      <c r="H593" s="6" t="n">
        <v>74</v>
      </c>
      <c r="I593" s="7" t="n">
        <f aca="false">(G593-H593)/G593</f>
        <v>0.84051724137931</v>
      </c>
      <c r="J593" s="15" t="n">
        <v>0.145</v>
      </c>
      <c r="K593" s="11" t="str">
        <f aca="false">IF(I593&lt;J593,"TAK","NIE")</f>
        <v>NIE</v>
      </c>
    </row>
    <row r="594" customFormat="false" ht="15" hidden="false" customHeight="false" outlineLevel="0" collapsed="false">
      <c r="A594" s="5" t="s">
        <v>277</v>
      </c>
      <c r="B594" s="5" t="s">
        <v>56</v>
      </c>
      <c r="C594" s="5" t="n">
        <v>2019</v>
      </c>
      <c r="D594" s="5" t="s">
        <v>52</v>
      </c>
      <c r="E594" s="5" t="s">
        <v>57</v>
      </c>
      <c r="F594" s="5" t="s">
        <v>39</v>
      </c>
      <c r="G594" s="6" t="n">
        <v>483</v>
      </c>
      <c r="H594" s="6" t="n">
        <v>256</v>
      </c>
      <c r="I594" s="7" t="n">
        <f aca="false">(G594-H594)/G594</f>
        <v>0.469979296066253</v>
      </c>
      <c r="J594" s="15" t="n">
        <v>0.145</v>
      </c>
      <c r="K594" s="11" t="str">
        <f aca="false">IF(I594&lt;J594,"TAK","NIE")</f>
        <v>NIE</v>
      </c>
    </row>
    <row r="595" customFormat="false" ht="15" hidden="false" customHeight="false" outlineLevel="0" collapsed="false">
      <c r="A595" s="5" t="s">
        <v>278</v>
      </c>
      <c r="B595" s="5" t="s">
        <v>56</v>
      </c>
      <c r="C595" s="5" t="n">
        <v>2019</v>
      </c>
      <c r="D595" s="5" t="s">
        <v>52</v>
      </c>
      <c r="E595" s="5" t="s">
        <v>57</v>
      </c>
      <c r="F595" s="5" t="s">
        <v>39</v>
      </c>
      <c r="G595" s="6" t="n">
        <v>452</v>
      </c>
      <c r="H595" s="6" t="n">
        <v>194</v>
      </c>
      <c r="I595" s="7" t="n">
        <f aca="false">(G595-H595)/G595</f>
        <v>0.570796460176991</v>
      </c>
      <c r="J595" s="15" t="n">
        <v>0.145</v>
      </c>
      <c r="K595" s="11" t="str">
        <f aca="false">IF(I595&lt;J595,"TAK","NIE")</f>
        <v>NIE</v>
      </c>
    </row>
    <row r="596" customFormat="false" ht="15" hidden="false" customHeight="false" outlineLevel="0" collapsed="false">
      <c r="A596" s="5" t="s">
        <v>279</v>
      </c>
      <c r="B596" s="5" t="s">
        <v>56</v>
      </c>
      <c r="C596" s="5" t="n">
        <v>2019</v>
      </c>
      <c r="D596" s="5" t="s">
        <v>52</v>
      </c>
      <c r="E596" s="5" t="s">
        <v>57</v>
      </c>
      <c r="F596" s="5" t="s">
        <v>39</v>
      </c>
      <c r="G596" s="6" t="n">
        <v>483</v>
      </c>
      <c r="H596" s="6" t="n">
        <v>174</v>
      </c>
      <c r="I596" s="7" t="n">
        <f aca="false">(G596-H596)/G596</f>
        <v>0.639751552795031</v>
      </c>
      <c r="J596" s="15" t="n">
        <v>0.145</v>
      </c>
      <c r="K596" s="11" t="str">
        <f aca="false">IF(I596&lt;J596,"TAK","NIE")</f>
        <v>NIE</v>
      </c>
    </row>
    <row r="597" customFormat="false" ht="15" hidden="false" customHeight="false" outlineLevel="0" collapsed="false">
      <c r="A597" s="5" t="s">
        <v>280</v>
      </c>
      <c r="B597" s="5" t="s">
        <v>56</v>
      </c>
      <c r="C597" s="5" t="n">
        <v>2019</v>
      </c>
      <c r="D597" s="5" t="s">
        <v>52</v>
      </c>
      <c r="E597" s="5" t="s">
        <v>57</v>
      </c>
      <c r="F597" s="5" t="s">
        <v>39</v>
      </c>
      <c r="G597" s="6" t="n">
        <v>464</v>
      </c>
      <c r="H597" s="6" t="n">
        <v>249</v>
      </c>
      <c r="I597" s="7" t="n">
        <f aca="false">(G597-H597)/G597</f>
        <v>0.463362068965517</v>
      </c>
      <c r="J597" s="15" t="n">
        <v>0.145</v>
      </c>
      <c r="K597" s="11" t="str">
        <f aca="false">IF(I597&lt;J597,"TAK","NIE")</f>
        <v>NIE</v>
      </c>
    </row>
    <row r="598" customFormat="false" ht="15" hidden="false" customHeight="false" outlineLevel="0" collapsed="false">
      <c r="A598" s="5" t="s">
        <v>281</v>
      </c>
      <c r="B598" s="5" t="s">
        <v>56</v>
      </c>
      <c r="C598" s="5" t="n">
        <v>2019</v>
      </c>
      <c r="D598" s="5" t="s">
        <v>52</v>
      </c>
      <c r="E598" s="5" t="s">
        <v>57</v>
      </c>
      <c r="F598" s="5" t="s">
        <v>39</v>
      </c>
      <c r="G598" s="6" t="n">
        <v>483</v>
      </c>
      <c r="H598" s="6" t="n">
        <v>78</v>
      </c>
      <c r="I598" s="7" t="n">
        <f aca="false">(G598-H598)/G598</f>
        <v>0.838509316770186</v>
      </c>
      <c r="J598" s="15" t="n">
        <v>0.145</v>
      </c>
      <c r="K598" s="11" t="str">
        <f aca="false">IF(I598&lt;J598,"TAK","NIE")</f>
        <v>NIE</v>
      </c>
    </row>
    <row r="599" customFormat="false" ht="15" hidden="false" customHeight="false" outlineLevel="0" collapsed="false">
      <c r="A599" s="5" t="s">
        <v>282</v>
      </c>
      <c r="B599" s="5" t="s">
        <v>56</v>
      </c>
      <c r="C599" s="5" t="n">
        <v>2019</v>
      </c>
      <c r="D599" s="5" t="s">
        <v>52</v>
      </c>
      <c r="E599" s="5" t="s">
        <v>57</v>
      </c>
      <c r="F599" s="5" t="s">
        <v>39</v>
      </c>
      <c r="G599" s="6" t="n">
        <v>471</v>
      </c>
      <c r="H599" s="6" t="n">
        <v>142</v>
      </c>
      <c r="I599" s="7" t="n">
        <f aca="false">(G599-H599)/G599</f>
        <v>0.698513800424628</v>
      </c>
      <c r="J599" s="15" t="n">
        <v>0.145</v>
      </c>
      <c r="K599" s="11" t="str">
        <f aca="false">IF(I599&lt;J599,"TAK","NIE")</f>
        <v>NIE</v>
      </c>
    </row>
    <row r="600" customFormat="false" ht="15" hidden="false" customHeight="false" outlineLevel="0" collapsed="false">
      <c r="A600" s="5" t="s">
        <v>283</v>
      </c>
      <c r="B600" s="5" t="s">
        <v>56</v>
      </c>
      <c r="C600" s="5" t="n">
        <v>2019</v>
      </c>
      <c r="D600" s="5" t="s">
        <v>52</v>
      </c>
      <c r="E600" s="5" t="s">
        <v>57</v>
      </c>
      <c r="F600" s="5" t="s">
        <v>39</v>
      </c>
      <c r="G600" s="6" t="n">
        <v>483</v>
      </c>
      <c r="H600" s="6" t="n">
        <v>125</v>
      </c>
      <c r="I600" s="7" t="n">
        <f aca="false">(G600-H600)/G600</f>
        <v>0.74120082815735</v>
      </c>
      <c r="J600" s="15" t="n">
        <v>0.145</v>
      </c>
      <c r="K600" s="11" t="str">
        <f aca="false">IF(I600&lt;J600,"TAK","NIE")</f>
        <v>NIE</v>
      </c>
    </row>
    <row r="601" customFormat="false" ht="15" hidden="false" customHeight="false" outlineLevel="0" collapsed="false">
      <c r="A601" s="5" t="s">
        <v>284</v>
      </c>
      <c r="B601" s="5" t="s">
        <v>56</v>
      </c>
      <c r="C601" s="5" t="n">
        <v>2019</v>
      </c>
      <c r="D601" s="5" t="s">
        <v>52</v>
      </c>
      <c r="E601" s="5" t="s">
        <v>57</v>
      </c>
      <c r="F601" s="5" t="s">
        <v>39</v>
      </c>
      <c r="G601" s="6" t="n">
        <v>483</v>
      </c>
      <c r="H601" s="6" t="n">
        <v>146</v>
      </c>
      <c r="I601" s="7" t="n">
        <f aca="false">(G601-H601)/G601</f>
        <v>0.697722567287785</v>
      </c>
      <c r="J601" s="15" t="n">
        <v>0.145</v>
      </c>
      <c r="K601" s="11" t="str">
        <f aca="false">IF(I601&lt;J601,"TAK","NIE")</f>
        <v>NIE</v>
      </c>
    </row>
    <row r="602" customFormat="false" ht="15" hidden="false" customHeight="false" outlineLevel="0" collapsed="false">
      <c r="A602" s="5" t="s">
        <v>285</v>
      </c>
      <c r="B602" s="5" t="s">
        <v>56</v>
      </c>
      <c r="C602" s="5" t="n">
        <v>2019</v>
      </c>
      <c r="D602" s="5" t="s">
        <v>52</v>
      </c>
      <c r="E602" s="5" t="s">
        <v>57</v>
      </c>
      <c r="F602" s="5" t="s">
        <v>39</v>
      </c>
      <c r="G602" s="6" t="n">
        <v>452</v>
      </c>
      <c r="H602" s="6" t="n">
        <v>244</v>
      </c>
      <c r="I602" s="7" t="n">
        <f aca="false">(G602-H602)/G602</f>
        <v>0.460176991150442</v>
      </c>
      <c r="J602" s="15" t="n">
        <v>0.145</v>
      </c>
      <c r="K602" s="11" t="str">
        <f aca="false">IF(I602&lt;J602,"TAK","NIE")</f>
        <v>NIE</v>
      </c>
    </row>
    <row r="603" customFormat="false" ht="15" hidden="false" customHeight="false" outlineLevel="0" collapsed="false">
      <c r="A603" s="5" t="s">
        <v>286</v>
      </c>
      <c r="B603" s="5" t="s">
        <v>56</v>
      </c>
      <c r="C603" s="5" t="n">
        <v>2019</v>
      </c>
      <c r="D603" s="5" t="s">
        <v>52</v>
      </c>
      <c r="E603" s="5" t="s">
        <v>57</v>
      </c>
      <c r="F603" s="5" t="s">
        <v>39</v>
      </c>
      <c r="G603" s="6" t="n">
        <v>464</v>
      </c>
      <c r="H603" s="6" t="n">
        <v>229</v>
      </c>
      <c r="I603" s="7" t="n">
        <f aca="false">(G603-H603)/G603</f>
        <v>0.506465517241379</v>
      </c>
      <c r="J603" s="15" t="n">
        <v>0.145</v>
      </c>
      <c r="K603" s="11" t="str">
        <f aca="false">IF(I603&lt;J603,"TAK","NIE")</f>
        <v>NIE</v>
      </c>
    </row>
    <row r="604" customFormat="false" ht="15" hidden="false" customHeight="false" outlineLevel="0" collapsed="false">
      <c r="A604" s="5" t="s">
        <v>287</v>
      </c>
      <c r="B604" s="5" t="s">
        <v>56</v>
      </c>
      <c r="C604" s="5" t="n">
        <v>2019</v>
      </c>
      <c r="D604" s="5" t="s">
        <v>52</v>
      </c>
      <c r="E604" s="5" t="s">
        <v>57</v>
      </c>
      <c r="F604" s="5" t="s">
        <v>39</v>
      </c>
      <c r="G604" s="6" t="n">
        <v>471</v>
      </c>
      <c r="H604" s="6" t="n">
        <v>68</v>
      </c>
      <c r="I604" s="7" t="n">
        <f aca="false">(G604-H604)/G604</f>
        <v>0.855626326963907</v>
      </c>
      <c r="J604" s="15" t="n">
        <v>0.145</v>
      </c>
      <c r="K604" s="11" t="str">
        <f aca="false">IF(I604&lt;J604,"TAK","NIE")</f>
        <v>NIE</v>
      </c>
    </row>
    <row r="605" customFormat="false" ht="15" hidden="false" customHeight="false" outlineLevel="0" collapsed="false">
      <c r="A605" s="5" t="s">
        <v>288</v>
      </c>
      <c r="B605" s="5" t="s">
        <v>56</v>
      </c>
      <c r="C605" s="5" t="n">
        <v>2019</v>
      </c>
      <c r="D605" s="5" t="s">
        <v>52</v>
      </c>
      <c r="E605" s="5" t="s">
        <v>57</v>
      </c>
      <c r="F605" s="5" t="s">
        <v>39</v>
      </c>
      <c r="G605" s="6" t="n">
        <v>464</v>
      </c>
      <c r="H605" s="6" t="n">
        <v>254</v>
      </c>
      <c r="I605" s="7" t="n">
        <f aca="false">(G605-H605)/G605</f>
        <v>0.452586206896552</v>
      </c>
      <c r="J605" s="15" t="n">
        <v>0.145</v>
      </c>
      <c r="K605" s="11" t="str">
        <f aca="false">IF(I605&lt;J605,"TAK","NIE")</f>
        <v>NIE</v>
      </c>
    </row>
    <row r="606" customFormat="false" ht="15" hidden="false" customHeight="false" outlineLevel="0" collapsed="false">
      <c r="A606" s="5" t="s">
        <v>289</v>
      </c>
      <c r="B606" s="5" t="s">
        <v>56</v>
      </c>
      <c r="C606" s="5" t="n">
        <v>2019</v>
      </c>
      <c r="D606" s="5" t="s">
        <v>52</v>
      </c>
      <c r="E606" s="5" t="s">
        <v>57</v>
      </c>
      <c r="F606" s="5" t="s">
        <v>39</v>
      </c>
      <c r="G606" s="6" t="n">
        <v>483</v>
      </c>
      <c r="H606" s="6" t="n">
        <v>118</v>
      </c>
      <c r="I606" s="7" t="n">
        <f aca="false">(G606-H606)/G606</f>
        <v>0.755693581780538</v>
      </c>
      <c r="J606" s="15" t="n">
        <v>0.145</v>
      </c>
      <c r="K606" s="11" t="str">
        <f aca="false">IF(I606&lt;J606,"TAK","NIE")</f>
        <v>NIE</v>
      </c>
    </row>
    <row r="607" customFormat="false" ht="15" hidden="false" customHeight="false" outlineLevel="0" collapsed="false">
      <c r="A607" s="5" t="s">
        <v>290</v>
      </c>
      <c r="B607" s="5" t="s">
        <v>56</v>
      </c>
      <c r="C607" s="5" t="n">
        <v>2019</v>
      </c>
      <c r="D607" s="5" t="s">
        <v>52</v>
      </c>
      <c r="E607" s="5" t="s">
        <v>57</v>
      </c>
      <c r="F607" s="5" t="s">
        <v>39</v>
      </c>
      <c r="G607" s="6" t="n">
        <v>471</v>
      </c>
      <c r="H607" s="6" t="n">
        <v>324</v>
      </c>
      <c r="I607" s="7" t="n">
        <f aca="false">(G607-H607)/G607</f>
        <v>0.312101910828025</v>
      </c>
      <c r="J607" s="15" t="n">
        <v>0.145</v>
      </c>
      <c r="K607" s="11" t="str">
        <f aca="false">IF(I607&lt;J607,"TAK","NIE")</f>
        <v>NIE</v>
      </c>
    </row>
    <row r="608" customFormat="false" ht="15" hidden="false" customHeight="false" outlineLevel="0" collapsed="false">
      <c r="A608" s="5" t="s">
        <v>291</v>
      </c>
      <c r="B608" s="5" t="s">
        <v>56</v>
      </c>
      <c r="C608" s="5" t="n">
        <v>2019</v>
      </c>
      <c r="D608" s="5" t="s">
        <v>52</v>
      </c>
      <c r="E608" s="5" t="s">
        <v>57</v>
      </c>
      <c r="F608" s="5" t="s">
        <v>39</v>
      </c>
      <c r="G608" s="6" t="n">
        <v>483</v>
      </c>
      <c r="H608" s="6" t="n">
        <v>253</v>
      </c>
      <c r="I608" s="7" t="n">
        <f aca="false">(G608-H608)/G608</f>
        <v>0.476190476190476</v>
      </c>
      <c r="J608" s="15" t="n">
        <v>0.145</v>
      </c>
      <c r="K608" s="11" t="str">
        <f aca="false">IF(I608&lt;J608,"TAK","NIE")</f>
        <v>NIE</v>
      </c>
    </row>
    <row r="609" customFormat="false" ht="15" hidden="false" customHeight="false" outlineLevel="0" collapsed="false">
      <c r="A609" s="5" t="s">
        <v>263</v>
      </c>
      <c r="B609" s="5" t="s">
        <v>56</v>
      </c>
      <c r="C609" s="5" t="n">
        <v>2019</v>
      </c>
      <c r="D609" s="5" t="s">
        <v>52</v>
      </c>
      <c r="E609" s="5" t="s">
        <v>57</v>
      </c>
      <c r="F609" s="5" t="s">
        <v>40</v>
      </c>
      <c r="G609" s="6" t="n">
        <v>338</v>
      </c>
      <c r="H609" s="6" t="n">
        <v>154</v>
      </c>
      <c r="I609" s="7" t="n">
        <f aca="false">(G609-H609)/G609</f>
        <v>0.544378698224852</v>
      </c>
      <c r="J609" s="15" t="n">
        <v>-0.117</v>
      </c>
      <c r="K609" s="11" t="str">
        <f aca="false">IF(I609&lt;J609,"TAK","NIE")</f>
        <v>NIE</v>
      </c>
    </row>
    <row r="610" customFormat="false" ht="15" hidden="false" customHeight="false" outlineLevel="0" collapsed="false">
      <c r="A610" s="5" t="s">
        <v>264</v>
      </c>
      <c r="B610" s="5" t="s">
        <v>56</v>
      </c>
      <c r="C610" s="5" t="n">
        <v>2019</v>
      </c>
      <c r="D610" s="5" t="s">
        <v>52</v>
      </c>
      <c r="E610" s="5" t="s">
        <v>57</v>
      </c>
      <c r="F610" s="5" t="s">
        <v>40</v>
      </c>
      <c r="G610" s="6" t="n">
        <v>339</v>
      </c>
      <c r="H610" s="6" t="n">
        <v>161</v>
      </c>
      <c r="I610" s="7" t="n">
        <f aca="false">(G610-H610)/G610</f>
        <v>0.525073746312684</v>
      </c>
      <c r="J610" s="15" t="n">
        <v>-0.117</v>
      </c>
      <c r="K610" s="11" t="str">
        <f aca="false">IF(I610&lt;J610,"TAK","NIE")</f>
        <v>NIE</v>
      </c>
    </row>
    <row r="611" customFormat="false" ht="15" hidden="false" customHeight="false" outlineLevel="0" collapsed="false">
      <c r="A611" s="5" t="s">
        <v>265</v>
      </c>
      <c r="B611" s="5" t="s">
        <v>56</v>
      </c>
      <c r="C611" s="5" t="n">
        <v>2019</v>
      </c>
      <c r="D611" s="5" t="s">
        <v>52</v>
      </c>
      <c r="E611" s="5" t="s">
        <v>57</v>
      </c>
      <c r="F611" s="5" t="s">
        <v>40</v>
      </c>
      <c r="G611" s="6" t="n">
        <v>336</v>
      </c>
      <c r="H611" s="6" t="n">
        <v>173</v>
      </c>
      <c r="I611" s="7" t="n">
        <f aca="false">(G611-H611)/G611</f>
        <v>0.485119047619048</v>
      </c>
      <c r="J611" s="15" t="n">
        <v>-0.117</v>
      </c>
      <c r="K611" s="11" t="str">
        <f aca="false">IF(I611&lt;J611,"TAK","NIE")</f>
        <v>NIE</v>
      </c>
    </row>
    <row r="612" customFormat="false" ht="15" hidden="false" customHeight="false" outlineLevel="0" collapsed="false">
      <c r="A612" s="5" t="s">
        <v>266</v>
      </c>
      <c r="B612" s="5" t="s">
        <v>56</v>
      </c>
      <c r="C612" s="5" t="n">
        <v>2019</v>
      </c>
      <c r="D612" s="5" t="s">
        <v>52</v>
      </c>
      <c r="E612" s="5" t="s">
        <v>57</v>
      </c>
      <c r="F612" s="5" t="s">
        <v>40</v>
      </c>
      <c r="G612" s="6" t="n">
        <v>316</v>
      </c>
      <c r="H612" s="6" t="n">
        <v>47</v>
      </c>
      <c r="I612" s="7" t="n">
        <f aca="false">(G612-H612)/G612</f>
        <v>0.85126582278481</v>
      </c>
      <c r="J612" s="15" t="n">
        <v>-0.117</v>
      </c>
      <c r="K612" s="11" t="str">
        <f aca="false">IF(I612&lt;J612,"TAK","NIE")</f>
        <v>NIE</v>
      </c>
    </row>
    <row r="613" customFormat="false" ht="15" hidden="false" customHeight="false" outlineLevel="0" collapsed="false">
      <c r="A613" s="5" t="s">
        <v>267</v>
      </c>
      <c r="B613" s="5" t="s">
        <v>56</v>
      </c>
      <c r="C613" s="5" t="n">
        <v>2019</v>
      </c>
      <c r="D613" s="5" t="s">
        <v>52</v>
      </c>
      <c r="E613" s="5" t="s">
        <v>57</v>
      </c>
      <c r="F613" s="5" t="s">
        <v>40</v>
      </c>
      <c r="G613" s="6" t="n">
        <v>339</v>
      </c>
      <c r="H613" s="6" t="n">
        <v>228</v>
      </c>
      <c r="I613" s="7" t="n">
        <f aca="false">(G613-H613)/G613</f>
        <v>0.327433628318584</v>
      </c>
      <c r="J613" s="15" t="n">
        <v>-0.117</v>
      </c>
      <c r="K613" s="11" t="str">
        <f aca="false">IF(I613&lt;J613,"TAK","NIE")</f>
        <v>NIE</v>
      </c>
    </row>
    <row r="614" customFormat="false" ht="15" hidden="false" customHeight="false" outlineLevel="0" collapsed="false">
      <c r="A614" s="5" t="s">
        <v>268</v>
      </c>
      <c r="B614" s="5" t="s">
        <v>56</v>
      </c>
      <c r="C614" s="5" t="n">
        <v>2019</v>
      </c>
      <c r="D614" s="5" t="s">
        <v>52</v>
      </c>
      <c r="E614" s="5" t="s">
        <v>57</v>
      </c>
      <c r="F614" s="5" t="s">
        <v>40</v>
      </c>
      <c r="G614" s="6" t="n">
        <v>316</v>
      </c>
      <c r="H614" s="6" t="n">
        <v>56</v>
      </c>
      <c r="I614" s="7" t="n">
        <f aca="false">(G614-H614)/G614</f>
        <v>0.822784810126582</v>
      </c>
      <c r="J614" s="15" t="n">
        <v>-0.117</v>
      </c>
      <c r="K614" s="11" t="str">
        <f aca="false">IF(I614&lt;J614,"TAK","NIE")</f>
        <v>NIE</v>
      </c>
    </row>
    <row r="615" customFormat="false" ht="15" hidden="false" customHeight="false" outlineLevel="0" collapsed="false">
      <c r="A615" s="5" t="s">
        <v>269</v>
      </c>
      <c r="B615" s="5" t="s">
        <v>56</v>
      </c>
      <c r="C615" s="5" t="n">
        <v>2019</v>
      </c>
      <c r="D615" s="5" t="s">
        <v>52</v>
      </c>
      <c r="E615" s="5" t="s">
        <v>57</v>
      </c>
      <c r="F615" s="5" t="s">
        <v>40</v>
      </c>
      <c r="G615" s="6" t="n">
        <v>319</v>
      </c>
      <c r="H615" s="6" t="n">
        <v>163</v>
      </c>
      <c r="I615" s="7" t="n">
        <f aca="false">(G615-H615)/G615</f>
        <v>0.489028213166144</v>
      </c>
      <c r="J615" s="15" t="n">
        <v>-0.117</v>
      </c>
      <c r="K615" s="11" t="str">
        <f aca="false">IF(I615&lt;J615,"TAK","NIE")</f>
        <v>NIE</v>
      </c>
    </row>
    <row r="616" customFormat="false" ht="15" hidden="false" customHeight="false" outlineLevel="0" collapsed="false">
      <c r="A616" s="5" t="s">
        <v>270</v>
      </c>
      <c r="B616" s="5" t="s">
        <v>56</v>
      </c>
      <c r="C616" s="5" t="n">
        <v>2019</v>
      </c>
      <c r="D616" s="5" t="s">
        <v>52</v>
      </c>
      <c r="E616" s="5" t="s">
        <v>57</v>
      </c>
      <c r="F616" s="5" t="s">
        <v>40</v>
      </c>
      <c r="G616" s="6" t="n">
        <v>334</v>
      </c>
      <c r="H616" s="6" t="n">
        <v>99</v>
      </c>
      <c r="I616" s="7" t="n">
        <f aca="false">(G616-H616)/G616</f>
        <v>0.703592814371258</v>
      </c>
      <c r="J616" s="15" t="n">
        <v>-0.117</v>
      </c>
      <c r="K616" s="11" t="str">
        <f aca="false">IF(I616&lt;J616,"TAK","NIE")</f>
        <v>NIE</v>
      </c>
    </row>
    <row r="617" customFormat="false" ht="15" hidden="false" customHeight="false" outlineLevel="0" collapsed="false">
      <c r="A617" s="5" t="s">
        <v>271</v>
      </c>
      <c r="B617" s="5" t="s">
        <v>56</v>
      </c>
      <c r="C617" s="5" t="n">
        <v>2019</v>
      </c>
      <c r="D617" s="5" t="s">
        <v>52</v>
      </c>
      <c r="E617" s="5" t="s">
        <v>57</v>
      </c>
      <c r="F617" s="5" t="s">
        <v>40</v>
      </c>
      <c r="G617" s="6" t="n">
        <v>330</v>
      </c>
      <c r="H617" s="6" t="n">
        <v>24</v>
      </c>
      <c r="I617" s="7" t="n">
        <f aca="false">(G617-H617)/G617</f>
        <v>0.927272727272727</v>
      </c>
      <c r="J617" s="15" t="n">
        <v>-0.117</v>
      </c>
      <c r="K617" s="11" t="str">
        <f aca="false">IF(I617&lt;J617,"TAK","NIE")</f>
        <v>NIE</v>
      </c>
    </row>
    <row r="618" customFormat="false" ht="15" hidden="false" customHeight="false" outlineLevel="0" collapsed="false">
      <c r="A618" s="5" t="s">
        <v>272</v>
      </c>
      <c r="B618" s="5" t="s">
        <v>56</v>
      </c>
      <c r="C618" s="5" t="n">
        <v>2019</v>
      </c>
      <c r="D618" s="5" t="s">
        <v>52</v>
      </c>
      <c r="E618" s="5" t="s">
        <v>57</v>
      </c>
      <c r="F618" s="5" t="s">
        <v>40</v>
      </c>
      <c r="G618" s="6" t="n">
        <v>330</v>
      </c>
      <c r="H618" s="6" t="n">
        <v>146</v>
      </c>
      <c r="I618" s="7" t="n">
        <f aca="false">(G618-H618)/G618</f>
        <v>0.557575757575758</v>
      </c>
      <c r="J618" s="15" t="n">
        <v>-0.117</v>
      </c>
      <c r="K618" s="11" t="str">
        <f aca="false">IF(I618&lt;J618,"TAK","NIE")</f>
        <v>NIE</v>
      </c>
    </row>
    <row r="619" customFormat="false" ht="15" hidden="false" customHeight="false" outlineLevel="0" collapsed="false">
      <c r="A619" s="5" t="s">
        <v>273</v>
      </c>
      <c r="B619" s="5" t="s">
        <v>56</v>
      </c>
      <c r="C619" s="5" t="n">
        <v>2019</v>
      </c>
      <c r="D619" s="5" t="s">
        <v>52</v>
      </c>
      <c r="E619" s="5" t="s">
        <v>57</v>
      </c>
      <c r="F619" s="5" t="s">
        <v>40</v>
      </c>
      <c r="G619" s="6" t="n">
        <v>339</v>
      </c>
      <c r="H619" s="6" t="n">
        <v>149</v>
      </c>
      <c r="I619" s="7" t="n">
        <f aca="false">(G619-H619)/G619</f>
        <v>0.56047197640118</v>
      </c>
      <c r="J619" s="15" t="n">
        <v>-0.117</v>
      </c>
      <c r="K619" s="11" t="str">
        <f aca="false">IF(I619&lt;J619,"TAK","NIE")</f>
        <v>NIE</v>
      </c>
    </row>
    <row r="620" customFormat="false" ht="15" hidden="false" customHeight="false" outlineLevel="0" collapsed="false">
      <c r="A620" s="5" t="s">
        <v>274</v>
      </c>
      <c r="B620" s="5" t="s">
        <v>56</v>
      </c>
      <c r="C620" s="5" t="n">
        <v>2019</v>
      </c>
      <c r="D620" s="5" t="s">
        <v>52</v>
      </c>
      <c r="E620" s="5" t="s">
        <v>57</v>
      </c>
      <c r="F620" s="5" t="s">
        <v>40</v>
      </c>
      <c r="G620" s="6" t="n">
        <v>327</v>
      </c>
      <c r="H620" s="6" t="n">
        <v>107</v>
      </c>
      <c r="I620" s="7" t="n">
        <f aca="false">(G620-H620)/G620</f>
        <v>0.672782874617737</v>
      </c>
      <c r="J620" s="15" t="n">
        <v>-0.117</v>
      </c>
      <c r="K620" s="11" t="str">
        <f aca="false">IF(I620&lt;J620,"TAK","NIE")</f>
        <v>NIE</v>
      </c>
    </row>
    <row r="621" customFormat="false" ht="15" hidden="false" customHeight="false" outlineLevel="0" collapsed="false">
      <c r="A621" s="5" t="s">
        <v>275</v>
      </c>
      <c r="B621" s="5" t="s">
        <v>56</v>
      </c>
      <c r="C621" s="5" t="n">
        <v>2019</v>
      </c>
      <c r="D621" s="5" t="s">
        <v>52</v>
      </c>
      <c r="E621" s="5" t="s">
        <v>57</v>
      </c>
      <c r="F621" s="5" t="s">
        <v>40</v>
      </c>
      <c r="G621" s="6" t="n">
        <v>316</v>
      </c>
      <c r="H621" s="6" t="n">
        <v>118</v>
      </c>
      <c r="I621" s="7" t="n">
        <f aca="false">(G621-H621)/G621</f>
        <v>0.626582278481013</v>
      </c>
      <c r="J621" s="15" t="n">
        <v>-0.117</v>
      </c>
      <c r="K621" s="11" t="str">
        <f aca="false">IF(I621&lt;J621,"TAK","NIE")</f>
        <v>NIE</v>
      </c>
    </row>
    <row r="622" customFormat="false" ht="15" hidden="false" customHeight="false" outlineLevel="0" collapsed="false">
      <c r="A622" s="5" t="s">
        <v>276</v>
      </c>
      <c r="B622" s="5" t="s">
        <v>56</v>
      </c>
      <c r="C622" s="5" t="n">
        <v>2019</v>
      </c>
      <c r="D622" s="5" t="s">
        <v>52</v>
      </c>
      <c r="E622" s="5" t="s">
        <v>57</v>
      </c>
      <c r="F622" s="5" t="s">
        <v>40</v>
      </c>
      <c r="G622" s="6" t="n">
        <v>316</v>
      </c>
      <c r="H622" s="6" t="n">
        <v>67</v>
      </c>
      <c r="I622" s="7" t="n">
        <f aca="false">(G622-H622)/G622</f>
        <v>0.787974683544304</v>
      </c>
      <c r="J622" s="15" t="n">
        <v>-0.117</v>
      </c>
      <c r="K622" s="11" t="str">
        <f aca="false">IF(I622&lt;J622,"TAK","NIE")</f>
        <v>NIE</v>
      </c>
    </row>
    <row r="623" customFormat="false" ht="15" hidden="false" customHeight="false" outlineLevel="0" collapsed="false">
      <c r="A623" s="5" t="s">
        <v>277</v>
      </c>
      <c r="B623" s="5" t="s">
        <v>56</v>
      </c>
      <c r="C623" s="5" t="n">
        <v>2019</v>
      </c>
      <c r="D623" s="5" t="s">
        <v>52</v>
      </c>
      <c r="E623" s="5" t="s">
        <v>57</v>
      </c>
      <c r="F623" s="5" t="s">
        <v>40</v>
      </c>
      <c r="G623" s="6" t="n">
        <v>336</v>
      </c>
      <c r="H623" s="6" t="n">
        <v>181</v>
      </c>
      <c r="I623" s="7" t="n">
        <f aca="false">(G623-H623)/G623</f>
        <v>0.461309523809524</v>
      </c>
      <c r="J623" s="15" t="n">
        <v>-0.117</v>
      </c>
      <c r="K623" s="11" t="str">
        <f aca="false">IF(I623&lt;J623,"TAK","NIE")</f>
        <v>NIE</v>
      </c>
    </row>
    <row r="624" customFormat="false" ht="15" hidden="false" customHeight="false" outlineLevel="0" collapsed="false">
      <c r="A624" s="5" t="s">
        <v>278</v>
      </c>
      <c r="B624" s="5" t="s">
        <v>56</v>
      </c>
      <c r="C624" s="5" t="n">
        <v>2019</v>
      </c>
      <c r="D624" s="5" t="s">
        <v>52</v>
      </c>
      <c r="E624" s="5" t="s">
        <v>57</v>
      </c>
      <c r="F624" s="5" t="s">
        <v>40</v>
      </c>
      <c r="G624" s="6" t="n">
        <v>319</v>
      </c>
      <c r="H624" s="6" t="n">
        <v>213</v>
      </c>
      <c r="I624" s="7" t="n">
        <f aca="false">(G624-H624)/G624</f>
        <v>0.332288401253919</v>
      </c>
      <c r="J624" s="15" t="n">
        <v>-0.117</v>
      </c>
      <c r="K624" s="11" t="str">
        <f aca="false">IF(I624&lt;J624,"TAK","NIE")</f>
        <v>NIE</v>
      </c>
    </row>
    <row r="625" customFormat="false" ht="15" hidden="false" customHeight="false" outlineLevel="0" collapsed="false">
      <c r="A625" s="5" t="s">
        <v>279</v>
      </c>
      <c r="B625" s="5" t="s">
        <v>56</v>
      </c>
      <c r="C625" s="5" t="n">
        <v>2019</v>
      </c>
      <c r="D625" s="5" t="s">
        <v>52</v>
      </c>
      <c r="E625" s="5" t="s">
        <v>57</v>
      </c>
      <c r="F625" s="5" t="s">
        <v>40</v>
      </c>
      <c r="G625" s="6" t="n">
        <v>334</v>
      </c>
      <c r="H625" s="6" t="n">
        <v>138</v>
      </c>
      <c r="I625" s="7" t="n">
        <f aca="false">(G625-H625)/G625</f>
        <v>0.586826347305389</v>
      </c>
      <c r="J625" s="15" t="n">
        <v>-0.117</v>
      </c>
      <c r="K625" s="11" t="str">
        <f aca="false">IF(I625&lt;J625,"TAK","NIE")</f>
        <v>NIE</v>
      </c>
    </row>
    <row r="626" customFormat="false" ht="15" hidden="false" customHeight="false" outlineLevel="0" collapsed="false">
      <c r="A626" s="5" t="s">
        <v>280</v>
      </c>
      <c r="B626" s="5" t="s">
        <v>56</v>
      </c>
      <c r="C626" s="5" t="n">
        <v>2019</v>
      </c>
      <c r="D626" s="5" t="s">
        <v>52</v>
      </c>
      <c r="E626" s="5" t="s">
        <v>57</v>
      </c>
      <c r="F626" s="5" t="s">
        <v>40</v>
      </c>
      <c r="G626" s="6" t="n">
        <v>316</v>
      </c>
      <c r="H626" s="6" t="n">
        <v>224</v>
      </c>
      <c r="I626" s="7" t="n">
        <f aca="false">(G626-H626)/G626</f>
        <v>0.291139240506329</v>
      </c>
      <c r="J626" s="15" t="n">
        <v>-0.117</v>
      </c>
      <c r="K626" s="11" t="str">
        <f aca="false">IF(I626&lt;J626,"TAK","NIE")</f>
        <v>NIE</v>
      </c>
    </row>
    <row r="627" customFormat="false" ht="15" hidden="false" customHeight="false" outlineLevel="0" collapsed="false">
      <c r="A627" s="5" t="s">
        <v>281</v>
      </c>
      <c r="B627" s="5" t="s">
        <v>56</v>
      </c>
      <c r="C627" s="5" t="n">
        <v>2019</v>
      </c>
      <c r="D627" s="5" t="s">
        <v>52</v>
      </c>
      <c r="E627" s="5" t="s">
        <v>57</v>
      </c>
      <c r="F627" s="5" t="s">
        <v>40</v>
      </c>
      <c r="G627" s="6" t="n">
        <v>327</v>
      </c>
      <c r="H627" s="6" t="n">
        <v>77</v>
      </c>
      <c r="I627" s="7" t="n">
        <f aca="false">(G627-H627)/G627</f>
        <v>0.764525993883792</v>
      </c>
      <c r="J627" s="15" t="n">
        <v>-0.117</v>
      </c>
      <c r="K627" s="11" t="str">
        <f aca="false">IF(I627&lt;J627,"TAK","NIE")</f>
        <v>NIE</v>
      </c>
    </row>
    <row r="628" customFormat="false" ht="15" hidden="false" customHeight="false" outlineLevel="0" collapsed="false">
      <c r="A628" s="5" t="s">
        <v>282</v>
      </c>
      <c r="B628" s="5" t="s">
        <v>56</v>
      </c>
      <c r="C628" s="5" t="n">
        <v>2019</v>
      </c>
      <c r="D628" s="5" t="s">
        <v>52</v>
      </c>
      <c r="E628" s="5" t="s">
        <v>57</v>
      </c>
      <c r="F628" s="5" t="s">
        <v>40</v>
      </c>
      <c r="G628" s="6" t="n">
        <v>339</v>
      </c>
      <c r="H628" s="6" t="n">
        <v>154</v>
      </c>
      <c r="I628" s="7" t="n">
        <f aca="false">(G628-H628)/G628</f>
        <v>0.545722713864307</v>
      </c>
      <c r="J628" s="15" t="n">
        <v>-0.117</v>
      </c>
      <c r="K628" s="11" t="str">
        <f aca="false">IF(I628&lt;J628,"TAK","NIE")</f>
        <v>NIE</v>
      </c>
    </row>
    <row r="629" customFormat="false" ht="15" hidden="false" customHeight="false" outlineLevel="0" collapsed="false">
      <c r="A629" s="5" t="s">
        <v>283</v>
      </c>
      <c r="B629" s="5" t="s">
        <v>56</v>
      </c>
      <c r="C629" s="5" t="n">
        <v>2019</v>
      </c>
      <c r="D629" s="5" t="s">
        <v>52</v>
      </c>
      <c r="E629" s="5" t="s">
        <v>57</v>
      </c>
      <c r="F629" s="5" t="s">
        <v>40</v>
      </c>
      <c r="G629" s="6" t="n">
        <v>336</v>
      </c>
      <c r="H629" s="6" t="n">
        <v>157</v>
      </c>
      <c r="I629" s="7" t="n">
        <f aca="false">(G629-H629)/G629</f>
        <v>0.532738095238095</v>
      </c>
      <c r="J629" s="15" t="n">
        <v>-0.117</v>
      </c>
      <c r="K629" s="11" t="str">
        <f aca="false">IF(I629&lt;J629,"TAK","NIE")</f>
        <v>NIE</v>
      </c>
    </row>
    <row r="630" customFormat="false" ht="15" hidden="false" customHeight="false" outlineLevel="0" collapsed="false">
      <c r="A630" s="5" t="s">
        <v>284</v>
      </c>
      <c r="B630" s="5" t="s">
        <v>56</v>
      </c>
      <c r="C630" s="5" t="n">
        <v>2019</v>
      </c>
      <c r="D630" s="5" t="s">
        <v>52</v>
      </c>
      <c r="E630" s="5" t="s">
        <v>57</v>
      </c>
      <c r="F630" s="5" t="s">
        <v>40</v>
      </c>
      <c r="G630" s="6" t="n">
        <v>336</v>
      </c>
      <c r="H630" s="6" t="n">
        <v>146</v>
      </c>
      <c r="I630" s="7" t="n">
        <f aca="false">(G630-H630)/G630</f>
        <v>0.565476190476191</v>
      </c>
      <c r="J630" s="15" t="n">
        <v>-0.117</v>
      </c>
      <c r="K630" s="11" t="str">
        <f aca="false">IF(I630&lt;J630,"TAK","NIE")</f>
        <v>NIE</v>
      </c>
    </row>
    <row r="631" customFormat="false" ht="15" hidden="false" customHeight="false" outlineLevel="0" collapsed="false">
      <c r="A631" s="5" t="s">
        <v>285</v>
      </c>
      <c r="B631" s="5" t="s">
        <v>56</v>
      </c>
      <c r="C631" s="5" t="n">
        <v>2019</v>
      </c>
      <c r="D631" s="5" t="s">
        <v>52</v>
      </c>
      <c r="E631" s="5" t="s">
        <v>57</v>
      </c>
      <c r="F631" s="5" t="s">
        <v>40</v>
      </c>
      <c r="G631" s="6" t="n">
        <v>319</v>
      </c>
      <c r="H631" s="6" t="n">
        <v>205</v>
      </c>
      <c r="I631" s="7" t="n">
        <f aca="false">(G631-H631)/G631</f>
        <v>0.357366771159875</v>
      </c>
      <c r="J631" s="15" t="n">
        <v>-0.117</v>
      </c>
      <c r="K631" s="11" t="str">
        <f aca="false">IF(I631&lt;J631,"TAK","NIE")</f>
        <v>NIE</v>
      </c>
    </row>
    <row r="632" customFormat="false" ht="15" hidden="false" customHeight="false" outlineLevel="0" collapsed="false">
      <c r="A632" s="5" t="s">
        <v>286</v>
      </c>
      <c r="B632" s="5" t="s">
        <v>56</v>
      </c>
      <c r="C632" s="5" t="n">
        <v>2019</v>
      </c>
      <c r="D632" s="5" t="s">
        <v>52</v>
      </c>
      <c r="E632" s="5" t="s">
        <v>57</v>
      </c>
      <c r="F632" s="5" t="s">
        <v>40</v>
      </c>
      <c r="G632" s="6" t="n">
        <v>316</v>
      </c>
      <c r="H632" s="6" t="n">
        <v>215</v>
      </c>
      <c r="I632" s="7" t="n">
        <f aca="false">(G632-H632)/G632</f>
        <v>0.319620253164557</v>
      </c>
      <c r="J632" s="15" t="n">
        <v>-0.117</v>
      </c>
      <c r="K632" s="11" t="str">
        <f aca="false">IF(I632&lt;J632,"TAK","NIE")</f>
        <v>NIE</v>
      </c>
    </row>
    <row r="633" customFormat="false" ht="15" hidden="false" customHeight="false" outlineLevel="0" collapsed="false">
      <c r="A633" s="5" t="s">
        <v>287</v>
      </c>
      <c r="B633" s="5" t="s">
        <v>56</v>
      </c>
      <c r="C633" s="5" t="n">
        <v>2019</v>
      </c>
      <c r="D633" s="5" t="s">
        <v>52</v>
      </c>
      <c r="E633" s="5" t="s">
        <v>57</v>
      </c>
      <c r="F633" s="5" t="s">
        <v>40</v>
      </c>
      <c r="G633" s="6" t="n">
        <v>339</v>
      </c>
      <c r="H633" s="6" t="n">
        <v>108</v>
      </c>
      <c r="I633" s="7" t="n">
        <f aca="false">(G633-H633)/G633</f>
        <v>0.68141592920354</v>
      </c>
      <c r="J633" s="15" t="n">
        <v>-0.117</v>
      </c>
      <c r="K633" s="11" t="str">
        <f aca="false">IF(I633&lt;J633,"TAK","NIE")</f>
        <v>NIE</v>
      </c>
    </row>
    <row r="634" customFormat="false" ht="15" hidden="false" customHeight="false" outlineLevel="0" collapsed="false">
      <c r="A634" s="5" t="s">
        <v>288</v>
      </c>
      <c r="B634" s="5" t="s">
        <v>56</v>
      </c>
      <c r="C634" s="5" t="n">
        <v>2019</v>
      </c>
      <c r="D634" s="5" t="s">
        <v>52</v>
      </c>
      <c r="E634" s="5" t="s">
        <v>57</v>
      </c>
      <c r="F634" s="5" t="s">
        <v>40</v>
      </c>
      <c r="G634" s="6" t="n">
        <v>316</v>
      </c>
      <c r="H634" s="6" t="n">
        <v>228</v>
      </c>
      <c r="I634" s="7" t="n">
        <f aca="false">(G634-H634)/G634</f>
        <v>0.278481012658228</v>
      </c>
      <c r="J634" s="15" t="n">
        <v>-0.117</v>
      </c>
      <c r="K634" s="11" t="str">
        <f aca="false">IF(I634&lt;J634,"TAK","NIE")</f>
        <v>NIE</v>
      </c>
    </row>
    <row r="635" customFormat="false" ht="15" hidden="false" customHeight="false" outlineLevel="0" collapsed="false">
      <c r="A635" s="5" t="s">
        <v>289</v>
      </c>
      <c r="B635" s="5" t="s">
        <v>56</v>
      </c>
      <c r="C635" s="5" t="n">
        <v>2019</v>
      </c>
      <c r="D635" s="5" t="s">
        <v>52</v>
      </c>
      <c r="E635" s="5" t="s">
        <v>57</v>
      </c>
      <c r="F635" s="5" t="s">
        <v>40</v>
      </c>
      <c r="G635" s="6" t="n">
        <v>336</v>
      </c>
      <c r="H635" s="6" t="n">
        <v>116</v>
      </c>
      <c r="I635" s="7" t="n">
        <f aca="false">(G635-H635)/G635</f>
        <v>0.654761904761905</v>
      </c>
      <c r="J635" s="15" t="n">
        <v>-0.117</v>
      </c>
      <c r="K635" s="11" t="str">
        <f aca="false">IF(I635&lt;J635,"TAK","NIE")</f>
        <v>NIE</v>
      </c>
    </row>
    <row r="636" customFormat="false" ht="15" hidden="false" customHeight="false" outlineLevel="0" collapsed="false">
      <c r="A636" s="5" t="s">
        <v>290</v>
      </c>
      <c r="B636" s="5" t="s">
        <v>56</v>
      </c>
      <c r="C636" s="5" t="n">
        <v>2019</v>
      </c>
      <c r="D636" s="5" t="s">
        <v>52</v>
      </c>
      <c r="E636" s="5" t="s">
        <v>57</v>
      </c>
      <c r="F636" s="5" t="s">
        <v>40</v>
      </c>
      <c r="G636" s="6" t="n">
        <v>339</v>
      </c>
      <c r="H636" s="6" t="n">
        <v>229</v>
      </c>
      <c r="I636" s="7" t="n">
        <f aca="false">(G636-H636)/G636</f>
        <v>0.324483775811209</v>
      </c>
      <c r="J636" s="15" t="n">
        <v>-0.117</v>
      </c>
      <c r="K636" s="11" t="str">
        <f aca="false">IF(I636&lt;J636,"TAK","NIE")</f>
        <v>NIE</v>
      </c>
    </row>
    <row r="637" customFormat="false" ht="15" hidden="false" customHeight="false" outlineLevel="0" collapsed="false">
      <c r="A637" s="5" t="s">
        <v>291</v>
      </c>
      <c r="B637" s="5" t="s">
        <v>56</v>
      </c>
      <c r="C637" s="5" t="n">
        <v>2019</v>
      </c>
      <c r="D637" s="5" t="s">
        <v>52</v>
      </c>
      <c r="E637" s="5" t="s">
        <v>57</v>
      </c>
      <c r="F637" s="5" t="s">
        <v>40</v>
      </c>
      <c r="G637" s="6" t="n">
        <v>336</v>
      </c>
      <c r="H637" s="6" t="n">
        <v>217</v>
      </c>
      <c r="I637" s="7" t="n">
        <f aca="false">(G637-H637)/G637</f>
        <v>0.354166666666667</v>
      </c>
      <c r="J637" s="15" t="n">
        <v>-0.117</v>
      </c>
      <c r="K637" s="11" t="str">
        <f aca="false">IF(I637&lt;J637,"TAK","NIE")</f>
        <v>NIE</v>
      </c>
    </row>
    <row r="638" customFormat="false" ht="15" hidden="false" customHeight="false" outlineLevel="0" collapsed="false">
      <c r="A638" s="5" t="s">
        <v>293</v>
      </c>
      <c r="B638" s="5" t="s">
        <v>58</v>
      </c>
      <c r="C638" s="5" t="n">
        <v>2019</v>
      </c>
      <c r="D638" s="5" t="s">
        <v>59</v>
      </c>
      <c r="E638" s="5" t="s">
        <v>38</v>
      </c>
      <c r="F638" s="5" t="s">
        <v>39</v>
      </c>
      <c r="G638" s="6" t="n">
        <v>478</v>
      </c>
      <c r="H638" s="6" t="n">
        <v>52</v>
      </c>
      <c r="I638" s="7" t="n">
        <f aca="false">(G638-H638)/G638</f>
        <v>0.891213389121339</v>
      </c>
      <c r="J638" s="15" t="n">
        <v>0.7198</v>
      </c>
      <c r="K638" s="11" t="str">
        <f aca="false">IF(I638&lt;J638,"TAK","NIE")</f>
        <v>NIE</v>
      </c>
    </row>
    <row r="639" customFormat="false" ht="15" hidden="false" customHeight="false" outlineLevel="0" collapsed="false">
      <c r="A639" s="5" t="s">
        <v>294</v>
      </c>
      <c r="B639" s="5" t="s">
        <v>58</v>
      </c>
      <c r="C639" s="5" t="n">
        <v>2019</v>
      </c>
      <c r="D639" s="5" t="s">
        <v>59</v>
      </c>
      <c r="E639" s="5" t="s">
        <v>38</v>
      </c>
      <c r="F639" s="5" t="s">
        <v>39</v>
      </c>
      <c r="G639" s="6" t="n">
        <v>478</v>
      </c>
      <c r="H639" s="6" t="n">
        <v>106</v>
      </c>
      <c r="I639" s="7" t="n">
        <f aca="false">(G639-H639)/G639</f>
        <v>0.778242677824268</v>
      </c>
      <c r="J639" s="15" t="n">
        <v>0.7198</v>
      </c>
      <c r="K639" s="11" t="str">
        <f aca="false">IF(I639&lt;J639,"TAK","NIE")</f>
        <v>NIE</v>
      </c>
    </row>
    <row r="640" customFormat="false" ht="15" hidden="false" customHeight="false" outlineLevel="0" collapsed="false">
      <c r="A640" s="5" t="s">
        <v>295</v>
      </c>
      <c r="B640" s="5" t="s">
        <v>58</v>
      </c>
      <c r="C640" s="5" t="n">
        <v>2019</v>
      </c>
      <c r="D640" s="5" t="s">
        <v>59</v>
      </c>
      <c r="E640" s="5" t="s">
        <v>38</v>
      </c>
      <c r="F640" s="5" t="s">
        <v>39</v>
      </c>
      <c r="G640" s="6" t="n">
        <v>467</v>
      </c>
      <c r="H640" s="6" t="n">
        <v>52</v>
      </c>
      <c r="I640" s="7" t="n">
        <f aca="false">(G640-H640)/G640</f>
        <v>0.888650963597431</v>
      </c>
      <c r="J640" s="15" t="n">
        <v>0.7198</v>
      </c>
      <c r="K640" s="11" t="str">
        <f aca="false">IF(I640&lt;J640,"TAK","NIE")</f>
        <v>NIE</v>
      </c>
    </row>
    <row r="641" customFormat="false" ht="15" hidden="false" customHeight="false" outlineLevel="0" collapsed="false">
      <c r="A641" s="5" t="s">
        <v>296</v>
      </c>
      <c r="B641" s="5" t="s">
        <v>58</v>
      </c>
      <c r="C641" s="5" t="n">
        <v>2019</v>
      </c>
      <c r="D641" s="5" t="s">
        <v>59</v>
      </c>
      <c r="E641" s="5" t="s">
        <v>38</v>
      </c>
      <c r="F641" s="5" t="s">
        <v>39</v>
      </c>
      <c r="G641" s="6" t="n">
        <v>478</v>
      </c>
      <c r="H641" s="6" t="n">
        <v>55</v>
      </c>
      <c r="I641" s="7" t="n">
        <f aca="false">(G641-H641)/G641</f>
        <v>0.884937238493724</v>
      </c>
      <c r="J641" s="15" t="n">
        <v>0.7198</v>
      </c>
      <c r="K641" s="11" t="str">
        <f aca="false">IF(I641&lt;J641,"TAK","NIE")</f>
        <v>NIE</v>
      </c>
    </row>
    <row r="642" customFormat="false" ht="15" hidden="false" customHeight="false" outlineLevel="0" collapsed="false">
      <c r="A642" s="5" t="s">
        <v>297</v>
      </c>
      <c r="B642" s="5" t="s">
        <v>58</v>
      </c>
      <c r="C642" s="5" t="n">
        <v>2019</v>
      </c>
      <c r="D642" s="5" t="s">
        <v>59</v>
      </c>
      <c r="E642" s="5" t="s">
        <v>38</v>
      </c>
      <c r="F642" s="5" t="s">
        <v>39</v>
      </c>
      <c r="G642" s="6" t="n">
        <v>478</v>
      </c>
      <c r="H642" s="6" t="n">
        <v>11</v>
      </c>
      <c r="I642" s="7" t="n">
        <f aca="false">(G642-H642)/G642</f>
        <v>0.976987447698745</v>
      </c>
      <c r="J642" s="15" t="n">
        <v>0.7198</v>
      </c>
      <c r="K642" s="11" t="str">
        <f aca="false">IF(I642&lt;J642,"TAK","NIE")</f>
        <v>NIE</v>
      </c>
    </row>
    <row r="643" customFormat="false" ht="15" hidden="false" customHeight="false" outlineLevel="0" collapsed="false">
      <c r="A643" s="5" t="s">
        <v>298</v>
      </c>
      <c r="B643" s="5" t="s">
        <v>58</v>
      </c>
      <c r="C643" s="5" t="n">
        <v>2019</v>
      </c>
      <c r="D643" s="5" t="s">
        <v>59</v>
      </c>
      <c r="E643" s="5" t="s">
        <v>38</v>
      </c>
      <c r="F643" s="5" t="s">
        <v>39</v>
      </c>
      <c r="G643" s="6" t="n">
        <v>478</v>
      </c>
      <c r="H643" s="6" t="n">
        <v>31</v>
      </c>
      <c r="I643" s="7" t="n">
        <f aca="false">(G643-H643)/G643</f>
        <v>0.935146443514644</v>
      </c>
      <c r="J643" s="15" t="n">
        <v>0.7198</v>
      </c>
      <c r="K643" s="11" t="str">
        <f aca="false">IF(I643&lt;J643,"TAK","NIE")</f>
        <v>NIE</v>
      </c>
    </row>
    <row r="644" customFormat="false" ht="15" hidden="false" customHeight="false" outlineLevel="0" collapsed="false">
      <c r="A644" s="5" t="s">
        <v>299</v>
      </c>
      <c r="B644" s="5" t="s">
        <v>58</v>
      </c>
      <c r="C644" s="5" t="n">
        <v>2019</v>
      </c>
      <c r="D644" s="5" t="s">
        <v>59</v>
      </c>
      <c r="E644" s="5" t="s">
        <v>38</v>
      </c>
      <c r="F644" s="5" t="s">
        <v>39</v>
      </c>
      <c r="G644" s="6" t="n">
        <v>478</v>
      </c>
      <c r="H644" s="6" t="n">
        <v>42</v>
      </c>
      <c r="I644" s="7" t="n">
        <f aca="false">(G644-H644)/G644</f>
        <v>0.912133891213389</v>
      </c>
      <c r="J644" s="15" t="n">
        <v>0.7198</v>
      </c>
      <c r="K644" s="11" t="str">
        <f aca="false">IF(I644&lt;J644,"TAK","NIE")</f>
        <v>NIE</v>
      </c>
    </row>
    <row r="645" customFormat="false" ht="15" hidden="false" customHeight="false" outlineLevel="0" collapsed="false">
      <c r="A645" s="5" t="s">
        <v>300</v>
      </c>
      <c r="B645" s="5" t="s">
        <v>58</v>
      </c>
      <c r="C645" s="5" t="n">
        <v>2019</v>
      </c>
      <c r="D645" s="5" t="s">
        <v>59</v>
      </c>
      <c r="E645" s="5" t="s">
        <v>38</v>
      </c>
      <c r="F645" s="5" t="s">
        <v>39</v>
      </c>
      <c r="G645" s="6" t="n">
        <v>478</v>
      </c>
      <c r="H645" s="6" t="n">
        <v>95</v>
      </c>
      <c r="I645" s="7" t="n">
        <f aca="false">(G645-H645)/G645</f>
        <v>0.801255230125523</v>
      </c>
      <c r="J645" s="15" t="n">
        <v>0.7198</v>
      </c>
      <c r="K645" s="11" t="str">
        <f aca="false">IF(I645&lt;J645,"TAK","NIE")</f>
        <v>NIE</v>
      </c>
    </row>
    <row r="646" customFormat="false" ht="15" hidden="false" customHeight="false" outlineLevel="0" collapsed="false">
      <c r="A646" s="5" t="s">
        <v>301</v>
      </c>
      <c r="B646" s="5" t="s">
        <v>58</v>
      </c>
      <c r="C646" s="5" t="n">
        <v>2019</v>
      </c>
      <c r="D646" s="5" t="s">
        <v>59</v>
      </c>
      <c r="E646" s="5" t="s">
        <v>38</v>
      </c>
      <c r="F646" s="5" t="s">
        <v>39</v>
      </c>
      <c r="G646" s="6" t="n">
        <v>478</v>
      </c>
      <c r="H646" s="6" t="n">
        <v>51</v>
      </c>
      <c r="I646" s="7" t="n">
        <f aca="false">(G646-H646)/G646</f>
        <v>0.893305439330544</v>
      </c>
      <c r="J646" s="15" t="n">
        <v>0.7198</v>
      </c>
      <c r="K646" s="11" t="str">
        <f aca="false">IF(I646&lt;J646,"TAK","NIE")</f>
        <v>NIE</v>
      </c>
    </row>
    <row r="647" customFormat="false" ht="15" hidden="false" customHeight="false" outlineLevel="0" collapsed="false">
      <c r="A647" s="5" t="s">
        <v>302</v>
      </c>
      <c r="B647" s="5" t="s">
        <v>58</v>
      </c>
      <c r="C647" s="5" t="n">
        <v>2019</v>
      </c>
      <c r="D647" s="5" t="s">
        <v>59</v>
      </c>
      <c r="E647" s="5" t="s">
        <v>38</v>
      </c>
      <c r="F647" s="5" t="s">
        <v>39</v>
      </c>
      <c r="G647" s="6" t="n">
        <v>478</v>
      </c>
      <c r="H647" s="6" t="n">
        <v>34</v>
      </c>
      <c r="I647" s="7" t="n">
        <f aca="false">(G647-H647)/G647</f>
        <v>0.928870292887029</v>
      </c>
      <c r="J647" s="15" t="n">
        <v>0.7198</v>
      </c>
      <c r="K647" s="11" t="str">
        <f aca="false">IF(I647&lt;J647,"TAK","NIE")</f>
        <v>NIE</v>
      </c>
    </row>
    <row r="648" customFormat="false" ht="15" hidden="false" customHeight="false" outlineLevel="0" collapsed="false">
      <c r="A648" s="5" t="s">
        <v>303</v>
      </c>
      <c r="B648" s="5" t="s">
        <v>58</v>
      </c>
      <c r="C648" s="5" t="n">
        <v>2019</v>
      </c>
      <c r="D648" s="5" t="s">
        <v>59</v>
      </c>
      <c r="E648" s="5" t="s">
        <v>38</v>
      </c>
      <c r="F648" s="5" t="s">
        <v>39</v>
      </c>
      <c r="G648" s="6" t="n">
        <v>478</v>
      </c>
      <c r="H648" s="6" t="n">
        <v>67</v>
      </c>
      <c r="I648" s="7" t="n">
        <f aca="false">(G648-H648)/G648</f>
        <v>0.859832635983264</v>
      </c>
      <c r="J648" s="15" t="n">
        <v>0.7198</v>
      </c>
      <c r="K648" s="11" t="str">
        <f aca="false">IF(I648&lt;J648,"TAK","NIE")</f>
        <v>NIE</v>
      </c>
    </row>
    <row r="649" customFormat="false" ht="15" hidden="false" customHeight="false" outlineLevel="0" collapsed="false">
      <c r="A649" s="5" t="s">
        <v>304</v>
      </c>
      <c r="B649" s="5" t="s">
        <v>58</v>
      </c>
      <c r="C649" s="5" t="n">
        <v>2019</v>
      </c>
      <c r="D649" s="5" t="s">
        <v>59</v>
      </c>
      <c r="E649" s="5" t="s">
        <v>38</v>
      </c>
      <c r="F649" s="5" t="s">
        <v>39</v>
      </c>
      <c r="G649" s="6" t="n">
        <v>478</v>
      </c>
      <c r="H649" s="6" t="n">
        <v>22</v>
      </c>
      <c r="I649" s="7" t="n">
        <f aca="false">(G649-H649)/G649</f>
        <v>0.95397489539749</v>
      </c>
      <c r="J649" s="15" t="n">
        <v>0.7198</v>
      </c>
      <c r="K649" s="11" t="str">
        <f aca="false">IF(I649&lt;J649,"TAK","NIE")</f>
        <v>NIE</v>
      </c>
    </row>
    <row r="650" customFormat="false" ht="15" hidden="false" customHeight="false" outlineLevel="0" collapsed="false">
      <c r="A650" s="5" t="s">
        <v>305</v>
      </c>
      <c r="B650" s="5" t="s">
        <v>58</v>
      </c>
      <c r="C650" s="5" t="n">
        <v>2019</v>
      </c>
      <c r="D650" s="5" t="s">
        <v>59</v>
      </c>
      <c r="E650" s="5" t="s">
        <v>38</v>
      </c>
      <c r="F650" s="5" t="s">
        <v>39</v>
      </c>
      <c r="G650" s="6" t="n">
        <v>478</v>
      </c>
      <c r="H650" s="6" t="n">
        <v>28</v>
      </c>
      <c r="I650" s="7" t="n">
        <f aca="false">(G650-H650)/G650</f>
        <v>0.941422594142259</v>
      </c>
      <c r="J650" s="15" t="n">
        <v>0.7198</v>
      </c>
      <c r="K650" s="11" t="str">
        <f aca="false">IF(I650&lt;J650,"TAK","NIE")</f>
        <v>NIE</v>
      </c>
    </row>
    <row r="651" customFormat="false" ht="15" hidden="false" customHeight="false" outlineLevel="0" collapsed="false">
      <c r="A651" s="5" t="s">
        <v>306</v>
      </c>
      <c r="B651" s="5" t="s">
        <v>58</v>
      </c>
      <c r="C651" s="5" t="n">
        <v>2019</v>
      </c>
      <c r="D651" s="5" t="s">
        <v>59</v>
      </c>
      <c r="E651" s="5" t="s">
        <v>38</v>
      </c>
      <c r="F651" s="5" t="s">
        <v>39</v>
      </c>
      <c r="G651" s="6" t="n">
        <v>478</v>
      </c>
      <c r="H651" s="6" t="n">
        <v>23</v>
      </c>
      <c r="I651" s="7" t="n">
        <f aca="false">(G651-H651)/G651</f>
        <v>0.951882845188285</v>
      </c>
      <c r="J651" s="15" t="n">
        <v>0.7198</v>
      </c>
      <c r="K651" s="11" t="str">
        <f aca="false">IF(I651&lt;J651,"TAK","NIE")</f>
        <v>NIE</v>
      </c>
    </row>
    <row r="652" customFormat="false" ht="15" hidden="false" customHeight="false" outlineLevel="0" collapsed="false">
      <c r="A652" s="5" t="s">
        <v>307</v>
      </c>
      <c r="B652" s="5" t="s">
        <v>58</v>
      </c>
      <c r="C652" s="5" t="n">
        <v>2019</v>
      </c>
      <c r="D652" s="5" t="s">
        <v>59</v>
      </c>
      <c r="E652" s="5" t="s">
        <v>38</v>
      </c>
      <c r="F652" s="5" t="s">
        <v>39</v>
      </c>
      <c r="G652" s="6" t="n">
        <v>478</v>
      </c>
      <c r="H652" s="6" t="n">
        <v>42</v>
      </c>
      <c r="I652" s="7" t="n">
        <f aca="false">(G652-H652)/G652</f>
        <v>0.912133891213389</v>
      </c>
      <c r="J652" s="15" t="n">
        <v>0.7198</v>
      </c>
      <c r="K652" s="11" t="str">
        <f aca="false">IF(I652&lt;J652,"TAK","NIE")</f>
        <v>NIE</v>
      </c>
    </row>
    <row r="653" customFormat="false" ht="15" hidden="false" customHeight="false" outlineLevel="0" collapsed="false">
      <c r="A653" s="5" t="s">
        <v>308</v>
      </c>
      <c r="B653" s="5" t="s">
        <v>58</v>
      </c>
      <c r="C653" s="5" t="n">
        <v>2019</v>
      </c>
      <c r="D653" s="5" t="s">
        <v>59</v>
      </c>
      <c r="E653" s="5" t="s">
        <v>38</v>
      </c>
      <c r="F653" s="5" t="s">
        <v>39</v>
      </c>
      <c r="G653" s="6" t="n">
        <v>478</v>
      </c>
      <c r="H653" s="6" t="n">
        <v>35</v>
      </c>
      <c r="I653" s="7" t="n">
        <f aca="false">(G653-H653)/G653</f>
        <v>0.926778242677824</v>
      </c>
      <c r="J653" s="15" t="n">
        <v>0.7198</v>
      </c>
      <c r="K653" s="11" t="str">
        <f aca="false">IF(I653&lt;J653,"TAK","NIE")</f>
        <v>NIE</v>
      </c>
    </row>
    <row r="654" customFormat="false" ht="15" hidden="false" customHeight="false" outlineLevel="0" collapsed="false">
      <c r="A654" s="5" t="s">
        <v>309</v>
      </c>
      <c r="B654" s="5" t="s">
        <v>58</v>
      </c>
      <c r="C654" s="5" t="n">
        <v>2019</v>
      </c>
      <c r="D654" s="5" t="s">
        <v>59</v>
      </c>
      <c r="E654" s="5" t="s">
        <v>38</v>
      </c>
      <c r="F654" s="5" t="s">
        <v>39</v>
      </c>
      <c r="G654" s="6" t="n">
        <v>478</v>
      </c>
      <c r="H654" s="6" t="n">
        <v>0</v>
      </c>
      <c r="I654" s="7" t="n">
        <f aca="false">(G654-H654)/G654</f>
        <v>1</v>
      </c>
      <c r="J654" s="15" t="n">
        <v>0.7198</v>
      </c>
      <c r="K654" s="11" t="str">
        <f aca="false">IF(I654&lt;J654,"TAK","NIE")</f>
        <v>NIE</v>
      </c>
    </row>
    <row r="655" customFormat="false" ht="15" hidden="false" customHeight="false" outlineLevel="0" collapsed="false">
      <c r="A655" s="5" t="s">
        <v>310</v>
      </c>
      <c r="B655" s="5" t="s">
        <v>58</v>
      </c>
      <c r="C655" s="5" t="n">
        <v>2019</v>
      </c>
      <c r="D655" s="5" t="s">
        <v>59</v>
      </c>
      <c r="E655" s="5" t="s">
        <v>38</v>
      </c>
      <c r="F655" s="5" t="s">
        <v>39</v>
      </c>
      <c r="G655" s="6" t="n">
        <v>467</v>
      </c>
      <c r="H655" s="6" t="n">
        <v>73</v>
      </c>
      <c r="I655" s="7" t="n">
        <f aca="false">(G655-H655)/G655</f>
        <v>0.843683083511777</v>
      </c>
      <c r="J655" s="15" t="n">
        <v>0.7198</v>
      </c>
      <c r="K655" s="11" t="str">
        <f aca="false">IF(I655&lt;J655,"TAK","NIE")</f>
        <v>NIE</v>
      </c>
    </row>
    <row r="656" customFormat="false" ht="15" hidden="false" customHeight="false" outlineLevel="0" collapsed="false">
      <c r="A656" s="5" t="s">
        <v>311</v>
      </c>
      <c r="B656" s="5" t="s">
        <v>58</v>
      </c>
      <c r="C656" s="5" t="n">
        <v>2019</v>
      </c>
      <c r="D656" s="5" t="s">
        <v>59</v>
      </c>
      <c r="E656" s="5" t="s">
        <v>38</v>
      </c>
      <c r="F656" s="5" t="s">
        <v>39</v>
      </c>
      <c r="G656" s="6" t="n">
        <v>478</v>
      </c>
      <c r="H656" s="6" t="n">
        <v>98</v>
      </c>
      <c r="I656" s="7" t="n">
        <f aca="false">(G656-H656)/G656</f>
        <v>0.794979079497908</v>
      </c>
      <c r="J656" s="15" t="n">
        <v>0.7198</v>
      </c>
      <c r="K656" s="11" t="str">
        <f aca="false">IF(I656&lt;J656,"TAK","NIE")</f>
        <v>NIE</v>
      </c>
    </row>
    <row r="657" customFormat="false" ht="15" hidden="false" customHeight="false" outlineLevel="0" collapsed="false">
      <c r="A657" s="5" t="s">
        <v>312</v>
      </c>
      <c r="B657" s="5" t="s">
        <v>58</v>
      </c>
      <c r="C657" s="5" t="n">
        <v>2019</v>
      </c>
      <c r="D657" s="5" t="s">
        <v>59</v>
      </c>
      <c r="E657" s="5" t="s">
        <v>38</v>
      </c>
      <c r="F657" s="5" t="s">
        <v>39</v>
      </c>
      <c r="G657" s="6" t="n">
        <v>478</v>
      </c>
      <c r="H657" s="6" t="n">
        <v>103</v>
      </c>
      <c r="I657" s="7" t="n">
        <f aca="false">(G657-H657)/G657</f>
        <v>0.784518828451883</v>
      </c>
      <c r="J657" s="15" t="n">
        <v>0.7198</v>
      </c>
      <c r="K657" s="11" t="str">
        <f aca="false">IF(I657&lt;J657,"TAK","NIE")</f>
        <v>NIE</v>
      </c>
    </row>
    <row r="658" customFormat="false" ht="15" hidden="false" customHeight="false" outlineLevel="0" collapsed="false">
      <c r="A658" s="5" t="s">
        <v>313</v>
      </c>
      <c r="B658" s="5" t="s">
        <v>58</v>
      </c>
      <c r="C658" s="5" t="n">
        <v>2019</v>
      </c>
      <c r="D658" s="5" t="s">
        <v>59</v>
      </c>
      <c r="E658" s="5" t="s">
        <v>38</v>
      </c>
      <c r="F658" s="5" t="s">
        <v>39</v>
      </c>
      <c r="G658" s="6" t="n">
        <v>478</v>
      </c>
      <c r="H658" s="6" t="n">
        <v>51</v>
      </c>
      <c r="I658" s="7" t="n">
        <f aca="false">(G658-H658)/G658</f>
        <v>0.893305439330544</v>
      </c>
      <c r="J658" s="15" t="n">
        <v>0.7198</v>
      </c>
      <c r="K658" s="11" t="str">
        <f aca="false">IF(I658&lt;J658,"TAK","NIE")</f>
        <v>NIE</v>
      </c>
    </row>
    <row r="659" customFormat="false" ht="15" hidden="false" customHeight="false" outlineLevel="0" collapsed="false">
      <c r="A659" s="5" t="s">
        <v>314</v>
      </c>
      <c r="B659" s="5" t="s">
        <v>58</v>
      </c>
      <c r="C659" s="5" t="n">
        <v>2019</v>
      </c>
      <c r="D659" s="5" t="s">
        <v>59</v>
      </c>
      <c r="E659" s="5" t="s">
        <v>38</v>
      </c>
      <c r="F659" s="5" t="s">
        <v>39</v>
      </c>
      <c r="G659" s="6" t="n">
        <v>478</v>
      </c>
      <c r="H659" s="6" t="n">
        <v>94</v>
      </c>
      <c r="I659" s="7" t="n">
        <f aca="false">(G659-H659)/G659</f>
        <v>0.803347280334728</v>
      </c>
      <c r="J659" s="15" t="n">
        <v>0.7198</v>
      </c>
      <c r="K659" s="11" t="str">
        <f aca="false">IF(I659&lt;J659,"TAK","NIE")</f>
        <v>NIE</v>
      </c>
    </row>
    <row r="660" customFormat="false" ht="15" hidden="false" customHeight="false" outlineLevel="0" collapsed="false">
      <c r="A660" s="5" t="s">
        <v>293</v>
      </c>
      <c r="B660" s="5" t="s">
        <v>58</v>
      </c>
      <c r="C660" s="5" t="n">
        <v>2019</v>
      </c>
      <c r="D660" s="5" t="s">
        <v>59</v>
      </c>
      <c r="E660" s="5" t="s">
        <v>38</v>
      </c>
      <c r="F660" s="5" t="s">
        <v>40</v>
      </c>
      <c r="G660" s="6" t="n">
        <v>550</v>
      </c>
      <c r="H660" s="6" t="n">
        <v>86</v>
      </c>
      <c r="I660" s="7" t="n">
        <f aca="false">(G660-H660)/G660</f>
        <v>0.843636363636364</v>
      </c>
      <c r="J660" s="15" t="n">
        <v>0.6027</v>
      </c>
      <c r="K660" s="11" t="str">
        <f aca="false">IF(I660&lt;J660,"TAK","NIE")</f>
        <v>NIE</v>
      </c>
    </row>
    <row r="661" customFormat="false" ht="15" hidden="false" customHeight="false" outlineLevel="0" collapsed="false">
      <c r="A661" s="5" t="s">
        <v>294</v>
      </c>
      <c r="B661" s="5" t="s">
        <v>58</v>
      </c>
      <c r="C661" s="5" t="n">
        <v>2019</v>
      </c>
      <c r="D661" s="5" t="s">
        <v>59</v>
      </c>
      <c r="E661" s="5" t="s">
        <v>38</v>
      </c>
      <c r="F661" s="5" t="s">
        <v>40</v>
      </c>
      <c r="G661" s="6" t="n">
        <v>591</v>
      </c>
      <c r="H661" s="6" t="n">
        <v>183</v>
      </c>
      <c r="I661" s="7" t="n">
        <f aca="false">(G661-H661)/G661</f>
        <v>0.690355329949239</v>
      </c>
      <c r="J661" s="15" t="n">
        <v>0.6027</v>
      </c>
      <c r="K661" s="11" t="str">
        <f aca="false">IF(I661&lt;J661,"TAK","NIE")</f>
        <v>NIE</v>
      </c>
    </row>
    <row r="662" customFormat="false" ht="15" hidden="false" customHeight="false" outlineLevel="0" collapsed="false">
      <c r="A662" s="5" t="s">
        <v>295</v>
      </c>
      <c r="B662" s="5" t="s">
        <v>58</v>
      </c>
      <c r="C662" s="5" t="n">
        <v>2019</v>
      </c>
      <c r="D662" s="5" t="s">
        <v>59</v>
      </c>
      <c r="E662" s="5" t="s">
        <v>38</v>
      </c>
      <c r="F662" s="5" t="s">
        <v>40</v>
      </c>
      <c r="G662" s="6" t="n">
        <v>550</v>
      </c>
      <c r="H662" s="6" t="n">
        <v>65</v>
      </c>
      <c r="I662" s="7" t="n">
        <f aca="false">(G662-H662)/G662</f>
        <v>0.881818181818182</v>
      </c>
      <c r="J662" s="15" t="n">
        <v>0.6027</v>
      </c>
      <c r="K662" s="11" t="str">
        <f aca="false">IF(I662&lt;J662,"TAK","NIE")</f>
        <v>NIE</v>
      </c>
    </row>
    <row r="663" customFormat="false" ht="15" hidden="false" customHeight="false" outlineLevel="0" collapsed="false">
      <c r="A663" s="5" t="s">
        <v>296</v>
      </c>
      <c r="B663" s="5" t="s">
        <v>58</v>
      </c>
      <c r="C663" s="5" t="n">
        <v>2019</v>
      </c>
      <c r="D663" s="5" t="s">
        <v>59</v>
      </c>
      <c r="E663" s="5" t="s">
        <v>38</v>
      </c>
      <c r="F663" s="5" t="s">
        <v>40</v>
      </c>
      <c r="G663" s="6" t="n">
        <v>591</v>
      </c>
      <c r="H663" s="6" t="n">
        <v>125</v>
      </c>
      <c r="I663" s="7" t="n">
        <f aca="false">(G663-H663)/G663</f>
        <v>0.788494077834179</v>
      </c>
      <c r="J663" s="15" t="n">
        <v>0.6027</v>
      </c>
      <c r="K663" s="11" t="str">
        <f aca="false">IF(I663&lt;J663,"TAK","NIE")</f>
        <v>NIE</v>
      </c>
    </row>
    <row r="664" customFormat="false" ht="15" hidden="false" customHeight="false" outlineLevel="0" collapsed="false">
      <c r="A664" s="5" t="s">
        <v>297</v>
      </c>
      <c r="B664" s="5" t="s">
        <v>58</v>
      </c>
      <c r="C664" s="5" t="n">
        <v>2019</v>
      </c>
      <c r="D664" s="5" t="s">
        <v>59</v>
      </c>
      <c r="E664" s="5" t="s">
        <v>38</v>
      </c>
      <c r="F664" s="5" t="s">
        <v>40</v>
      </c>
      <c r="G664" s="6" t="n">
        <v>550</v>
      </c>
      <c r="H664" s="6" t="n">
        <v>73</v>
      </c>
      <c r="I664" s="7" t="n">
        <f aca="false">(G664-H664)/G664</f>
        <v>0.867272727272727</v>
      </c>
      <c r="J664" s="15" t="n">
        <v>0.6027</v>
      </c>
      <c r="K664" s="11" t="str">
        <f aca="false">IF(I664&lt;J664,"TAK","NIE")</f>
        <v>NIE</v>
      </c>
    </row>
    <row r="665" customFormat="false" ht="15" hidden="false" customHeight="false" outlineLevel="0" collapsed="false">
      <c r="A665" s="5" t="s">
        <v>298</v>
      </c>
      <c r="B665" s="5" t="s">
        <v>58</v>
      </c>
      <c r="C665" s="5" t="n">
        <v>2019</v>
      </c>
      <c r="D665" s="5" t="s">
        <v>59</v>
      </c>
      <c r="E665" s="5" t="s">
        <v>38</v>
      </c>
      <c r="F665" s="5" t="s">
        <v>40</v>
      </c>
      <c r="G665" s="6" t="n">
        <v>550</v>
      </c>
      <c r="H665" s="6" t="n">
        <v>95</v>
      </c>
      <c r="I665" s="7" t="n">
        <f aca="false">(G665-H665)/G665</f>
        <v>0.827272727272727</v>
      </c>
      <c r="J665" s="15" t="n">
        <v>0.6027</v>
      </c>
      <c r="K665" s="11" t="str">
        <f aca="false">IF(I665&lt;J665,"TAK","NIE")</f>
        <v>NIE</v>
      </c>
    </row>
    <row r="666" customFormat="false" ht="15" hidden="false" customHeight="false" outlineLevel="0" collapsed="false">
      <c r="A666" s="5" t="s">
        <v>299</v>
      </c>
      <c r="B666" s="5" t="s">
        <v>58</v>
      </c>
      <c r="C666" s="5" t="n">
        <v>2019</v>
      </c>
      <c r="D666" s="5" t="s">
        <v>59</v>
      </c>
      <c r="E666" s="5" t="s">
        <v>38</v>
      </c>
      <c r="F666" s="5" t="s">
        <v>40</v>
      </c>
      <c r="G666" s="6" t="n">
        <v>591</v>
      </c>
      <c r="H666" s="6" t="n">
        <v>144</v>
      </c>
      <c r="I666" s="7" t="n">
        <f aca="false">(G666-H666)/G666</f>
        <v>0.756345177664975</v>
      </c>
      <c r="J666" s="15" t="n">
        <v>0.6027</v>
      </c>
      <c r="K666" s="11" t="str">
        <f aca="false">IF(I666&lt;J666,"TAK","NIE")</f>
        <v>NIE</v>
      </c>
    </row>
    <row r="667" customFormat="false" ht="15" hidden="false" customHeight="false" outlineLevel="0" collapsed="false">
      <c r="A667" s="5" t="s">
        <v>300</v>
      </c>
      <c r="B667" s="5" t="s">
        <v>58</v>
      </c>
      <c r="C667" s="5" t="n">
        <v>2019</v>
      </c>
      <c r="D667" s="5" t="s">
        <v>59</v>
      </c>
      <c r="E667" s="5" t="s">
        <v>38</v>
      </c>
      <c r="F667" s="5" t="s">
        <v>40</v>
      </c>
      <c r="G667" s="6" t="n">
        <v>591</v>
      </c>
      <c r="H667" s="6" t="n">
        <v>213</v>
      </c>
      <c r="I667" s="7" t="n">
        <f aca="false">(G667-H667)/G667</f>
        <v>0.639593908629442</v>
      </c>
      <c r="J667" s="15" t="n">
        <v>0.6027</v>
      </c>
      <c r="K667" s="11" t="str">
        <f aca="false">IF(I667&lt;J667,"TAK","NIE")</f>
        <v>NIE</v>
      </c>
    </row>
    <row r="668" customFormat="false" ht="15" hidden="false" customHeight="false" outlineLevel="0" collapsed="false">
      <c r="A668" s="5" t="s">
        <v>301</v>
      </c>
      <c r="B668" s="5" t="s">
        <v>58</v>
      </c>
      <c r="C668" s="5" t="n">
        <v>2019</v>
      </c>
      <c r="D668" s="5" t="s">
        <v>59</v>
      </c>
      <c r="E668" s="5" t="s">
        <v>38</v>
      </c>
      <c r="F668" s="5" t="s">
        <v>40</v>
      </c>
      <c r="G668" s="6" t="n">
        <v>591</v>
      </c>
      <c r="H668" s="6" t="n">
        <v>146</v>
      </c>
      <c r="I668" s="7" t="n">
        <f aca="false">(G668-H668)/G668</f>
        <v>0.752961082910322</v>
      </c>
      <c r="J668" s="15" t="n">
        <v>0.6027</v>
      </c>
      <c r="K668" s="11" t="str">
        <f aca="false">IF(I668&lt;J668,"TAK","NIE")</f>
        <v>NIE</v>
      </c>
    </row>
    <row r="669" customFormat="false" ht="15" hidden="false" customHeight="false" outlineLevel="0" collapsed="false">
      <c r="A669" s="5" t="s">
        <v>302</v>
      </c>
      <c r="B669" s="5" t="s">
        <v>58</v>
      </c>
      <c r="C669" s="5" t="n">
        <v>2019</v>
      </c>
      <c r="D669" s="5" t="s">
        <v>59</v>
      </c>
      <c r="E669" s="5" t="s">
        <v>38</v>
      </c>
      <c r="F669" s="5" t="s">
        <v>40</v>
      </c>
      <c r="G669" s="6" t="n">
        <v>591</v>
      </c>
      <c r="H669" s="6" t="n">
        <v>119</v>
      </c>
      <c r="I669" s="7" t="n">
        <f aca="false">(G669-H669)/G669</f>
        <v>0.798646362098139</v>
      </c>
      <c r="J669" s="15" t="n">
        <v>0.6027</v>
      </c>
      <c r="K669" s="11" t="str">
        <f aca="false">IF(I669&lt;J669,"TAK","NIE")</f>
        <v>NIE</v>
      </c>
    </row>
    <row r="670" customFormat="false" ht="15" hidden="false" customHeight="false" outlineLevel="0" collapsed="false">
      <c r="A670" s="5" t="s">
        <v>303</v>
      </c>
      <c r="B670" s="5" t="s">
        <v>58</v>
      </c>
      <c r="C670" s="5" t="n">
        <v>2019</v>
      </c>
      <c r="D670" s="5" t="s">
        <v>59</v>
      </c>
      <c r="E670" s="5" t="s">
        <v>38</v>
      </c>
      <c r="F670" s="5" t="s">
        <v>40</v>
      </c>
      <c r="G670" s="6" t="n">
        <v>591</v>
      </c>
      <c r="H670" s="6" t="n">
        <v>112</v>
      </c>
      <c r="I670" s="7" t="n">
        <f aca="false">(G670-H670)/G670</f>
        <v>0.810490693739425</v>
      </c>
      <c r="J670" s="15" t="n">
        <v>0.6027</v>
      </c>
      <c r="K670" s="11" t="str">
        <f aca="false">IF(I670&lt;J670,"TAK","NIE")</f>
        <v>NIE</v>
      </c>
    </row>
    <row r="671" customFormat="false" ht="15" hidden="false" customHeight="false" outlineLevel="0" collapsed="false">
      <c r="A671" s="5" t="s">
        <v>304</v>
      </c>
      <c r="B671" s="5" t="s">
        <v>58</v>
      </c>
      <c r="C671" s="5" t="n">
        <v>2019</v>
      </c>
      <c r="D671" s="5" t="s">
        <v>59</v>
      </c>
      <c r="E671" s="5" t="s">
        <v>38</v>
      </c>
      <c r="F671" s="5" t="s">
        <v>40</v>
      </c>
      <c r="G671" s="6" t="n">
        <v>591</v>
      </c>
      <c r="H671" s="6" t="n">
        <v>94</v>
      </c>
      <c r="I671" s="7" t="n">
        <f aca="false">(G671-H671)/G671</f>
        <v>0.840947546531303</v>
      </c>
      <c r="J671" s="15" t="n">
        <v>0.6027</v>
      </c>
      <c r="K671" s="11" t="str">
        <f aca="false">IF(I671&lt;J671,"TAK","NIE")</f>
        <v>NIE</v>
      </c>
    </row>
    <row r="672" customFormat="false" ht="15" hidden="false" customHeight="false" outlineLevel="0" collapsed="false">
      <c r="A672" s="5" t="s">
        <v>305</v>
      </c>
      <c r="B672" s="5" t="s">
        <v>58</v>
      </c>
      <c r="C672" s="5" t="n">
        <v>2019</v>
      </c>
      <c r="D672" s="5" t="s">
        <v>59</v>
      </c>
      <c r="E672" s="5" t="s">
        <v>38</v>
      </c>
      <c r="F672" s="5" t="s">
        <v>40</v>
      </c>
      <c r="G672" s="6" t="n">
        <v>550</v>
      </c>
      <c r="H672" s="6" t="n">
        <v>70</v>
      </c>
      <c r="I672" s="7" t="n">
        <f aca="false">(G672-H672)/G672</f>
        <v>0.872727272727273</v>
      </c>
      <c r="J672" s="15" t="n">
        <v>0.6027</v>
      </c>
      <c r="K672" s="11" t="str">
        <f aca="false">IF(I672&lt;J672,"TAK","NIE")</f>
        <v>NIE</v>
      </c>
    </row>
    <row r="673" customFormat="false" ht="15" hidden="false" customHeight="false" outlineLevel="0" collapsed="false">
      <c r="A673" s="5" t="s">
        <v>306</v>
      </c>
      <c r="B673" s="5" t="s">
        <v>58</v>
      </c>
      <c r="C673" s="5" t="n">
        <v>2019</v>
      </c>
      <c r="D673" s="5" t="s">
        <v>59</v>
      </c>
      <c r="E673" s="5" t="s">
        <v>38</v>
      </c>
      <c r="F673" s="5" t="s">
        <v>40</v>
      </c>
      <c r="G673" s="6" t="n">
        <v>550</v>
      </c>
      <c r="H673" s="6" t="n">
        <v>51</v>
      </c>
      <c r="I673" s="7" t="n">
        <f aca="false">(G673-H673)/G673</f>
        <v>0.907272727272727</v>
      </c>
      <c r="J673" s="15" t="n">
        <v>0.6027</v>
      </c>
      <c r="K673" s="11" t="str">
        <f aca="false">IF(I673&lt;J673,"TAK","NIE")</f>
        <v>NIE</v>
      </c>
    </row>
    <row r="674" customFormat="false" ht="15" hidden="false" customHeight="false" outlineLevel="0" collapsed="false">
      <c r="A674" s="5" t="s">
        <v>307</v>
      </c>
      <c r="B674" s="5" t="s">
        <v>58</v>
      </c>
      <c r="C674" s="5" t="n">
        <v>2019</v>
      </c>
      <c r="D674" s="5" t="s">
        <v>59</v>
      </c>
      <c r="E674" s="5" t="s">
        <v>38</v>
      </c>
      <c r="F674" s="5" t="s">
        <v>40</v>
      </c>
      <c r="G674" s="6" t="n">
        <v>550</v>
      </c>
      <c r="H674" s="6" t="n">
        <v>48</v>
      </c>
      <c r="I674" s="7" t="n">
        <f aca="false">(G674-H674)/G674</f>
        <v>0.912727272727273</v>
      </c>
      <c r="J674" s="15" t="n">
        <v>0.6027</v>
      </c>
      <c r="K674" s="11" t="str">
        <f aca="false">IF(I674&lt;J674,"TAK","NIE")</f>
        <v>NIE</v>
      </c>
    </row>
    <row r="675" customFormat="false" ht="15" hidden="false" customHeight="false" outlineLevel="0" collapsed="false">
      <c r="A675" s="5" t="s">
        <v>308</v>
      </c>
      <c r="B675" s="5" t="s">
        <v>58</v>
      </c>
      <c r="C675" s="5" t="n">
        <v>2019</v>
      </c>
      <c r="D675" s="5" t="s">
        <v>59</v>
      </c>
      <c r="E675" s="5" t="s">
        <v>38</v>
      </c>
      <c r="F675" s="5" t="s">
        <v>40</v>
      </c>
      <c r="G675" s="6" t="n">
        <v>550</v>
      </c>
      <c r="H675" s="6" t="n">
        <v>78</v>
      </c>
      <c r="I675" s="7" t="n">
        <f aca="false">(G675-H675)/G675</f>
        <v>0.858181818181818</v>
      </c>
      <c r="J675" s="15" t="n">
        <v>0.6027</v>
      </c>
      <c r="K675" s="11" t="str">
        <f aca="false">IF(I675&lt;J675,"TAK","NIE")</f>
        <v>NIE</v>
      </c>
    </row>
    <row r="676" customFormat="false" ht="15" hidden="false" customHeight="false" outlineLevel="0" collapsed="false">
      <c r="A676" s="5" t="s">
        <v>309</v>
      </c>
      <c r="B676" s="5" t="s">
        <v>58</v>
      </c>
      <c r="C676" s="5" t="n">
        <v>2019</v>
      </c>
      <c r="D676" s="5" t="s">
        <v>59</v>
      </c>
      <c r="E676" s="5" t="s">
        <v>38</v>
      </c>
      <c r="F676" s="5" t="s">
        <v>40</v>
      </c>
      <c r="G676" s="6" t="n">
        <v>550</v>
      </c>
      <c r="H676" s="6" t="n">
        <v>7</v>
      </c>
      <c r="I676" s="7" t="n">
        <f aca="false">(G676-H676)/G676</f>
        <v>0.987272727272727</v>
      </c>
      <c r="J676" s="15" t="n">
        <v>0.6027</v>
      </c>
      <c r="K676" s="11" t="str">
        <f aca="false">IF(I676&lt;J676,"TAK","NIE")</f>
        <v>NIE</v>
      </c>
    </row>
    <row r="677" customFormat="false" ht="15" hidden="false" customHeight="false" outlineLevel="0" collapsed="false">
      <c r="A677" s="5" t="s">
        <v>310</v>
      </c>
      <c r="B677" s="5" t="s">
        <v>58</v>
      </c>
      <c r="C677" s="5" t="n">
        <v>2019</v>
      </c>
      <c r="D677" s="5" t="s">
        <v>59</v>
      </c>
      <c r="E677" s="5" t="s">
        <v>38</v>
      </c>
      <c r="F677" s="5" t="s">
        <v>40</v>
      </c>
      <c r="G677" s="6" t="n">
        <v>591</v>
      </c>
      <c r="H677" s="6" t="n">
        <v>154</v>
      </c>
      <c r="I677" s="7" t="n">
        <f aca="false">(G677-H677)/G677</f>
        <v>0.739424703891709</v>
      </c>
      <c r="J677" s="15" t="n">
        <v>0.6027</v>
      </c>
      <c r="K677" s="11" t="str">
        <f aca="false">IF(I677&lt;J677,"TAK","NIE")</f>
        <v>NIE</v>
      </c>
    </row>
    <row r="678" customFormat="false" ht="15" hidden="false" customHeight="false" outlineLevel="0" collapsed="false">
      <c r="A678" s="5" t="s">
        <v>311</v>
      </c>
      <c r="B678" s="5" t="s">
        <v>58</v>
      </c>
      <c r="C678" s="5" t="n">
        <v>2019</v>
      </c>
      <c r="D678" s="5" t="s">
        <v>59</v>
      </c>
      <c r="E678" s="5" t="s">
        <v>38</v>
      </c>
      <c r="F678" s="5" t="s">
        <v>40</v>
      </c>
      <c r="G678" s="6" t="n">
        <v>550</v>
      </c>
      <c r="H678" s="6" t="n">
        <v>68</v>
      </c>
      <c r="I678" s="7" t="n">
        <f aca="false">(G678-H678)/G678</f>
        <v>0.876363636363636</v>
      </c>
      <c r="J678" s="15" t="n">
        <v>0.6027</v>
      </c>
      <c r="K678" s="11" t="str">
        <f aca="false">IF(I678&lt;J678,"TAK","NIE")</f>
        <v>NIE</v>
      </c>
    </row>
    <row r="679" customFormat="false" ht="15" hidden="false" customHeight="false" outlineLevel="0" collapsed="false">
      <c r="A679" s="5" t="s">
        <v>312</v>
      </c>
      <c r="B679" s="5" t="s">
        <v>58</v>
      </c>
      <c r="C679" s="5" t="n">
        <v>2019</v>
      </c>
      <c r="D679" s="5" t="s">
        <v>59</v>
      </c>
      <c r="E679" s="5" t="s">
        <v>38</v>
      </c>
      <c r="F679" s="5" t="s">
        <v>40</v>
      </c>
      <c r="G679" s="6" t="n">
        <v>591</v>
      </c>
      <c r="H679" s="6" t="n">
        <v>116</v>
      </c>
      <c r="I679" s="7" t="n">
        <f aca="false">(G679-H679)/G679</f>
        <v>0.803722504230119</v>
      </c>
      <c r="J679" s="15" t="n">
        <v>0.6027</v>
      </c>
      <c r="K679" s="11" t="str">
        <f aca="false">IF(I679&lt;J679,"TAK","NIE")</f>
        <v>NIE</v>
      </c>
    </row>
    <row r="680" customFormat="false" ht="15" hidden="false" customHeight="false" outlineLevel="0" collapsed="false">
      <c r="A680" s="5" t="s">
        <v>313</v>
      </c>
      <c r="B680" s="5" t="s">
        <v>58</v>
      </c>
      <c r="C680" s="5" t="n">
        <v>2019</v>
      </c>
      <c r="D680" s="5" t="s">
        <v>59</v>
      </c>
      <c r="E680" s="5" t="s">
        <v>38</v>
      </c>
      <c r="F680" s="5" t="s">
        <v>40</v>
      </c>
      <c r="G680" s="6" t="n">
        <v>550</v>
      </c>
      <c r="H680" s="6" t="n">
        <v>82</v>
      </c>
      <c r="I680" s="7" t="n">
        <f aca="false">(G680-H680)/G680</f>
        <v>0.850909090909091</v>
      </c>
      <c r="J680" s="15" t="n">
        <v>0.6027</v>
      </c>
      <c r="K680" s="11" t="str">
        <f aca="false">IF(I680&lt;J680,"TAK","NIE")</f>
        <v>NIE</v>
      </c>
    </row>
    <row r="681" customFormat="false" ht="15" hidden="false" customHeight="false" outlineLevel="0" collapsed="false">
      <c r="A681" s="5" t="s">
        <v>314</v>
      </c>
      <c r="B681" s="5" t="s">
        <v>58</v>
      </c>
      <c r="C681" s="5" t="n">
        <v>2019</v>
      </c>
      <c r="D681" s="5" t="s">
        <v>59</v>
      </c>
      <c r="E681" s="5" t="s">
        <v>38</v>
      </c>
      <c r="F681" s="5" t="s">
        <v>40</v>
      </c>
      <c r="G681" s="6" t="n">
        <v>591</v>
      </c>
      <c r="H681" s="6" t="n">
        <v>192</v>
      </c>
      <c r="I681" s="7" t="n">
        <f aca="false">(G681-H681)/G681</f>
        <v>0.6751269035533</v>
      </c>
      <c r="J681" s="15" t="n">
        <v>0.6027</v>
      </c>
      <c r="K681" s="11" t="str">
        <f aca="false">IF(I681&lt;J681,"TAK","NIE")</f>
        <v>NIE</v>
      </c>
    </row>
    <row r="682" customFormat="false" ht="15" hidden="false" customHeight="false" outlineLevel="0" collapsed="false">
      <c r="A682" s="5" t="s">
        <v>293</v>
      </c>
      <c r="B682" s="5" t="s">
        <v>60</v>
      </c>
      <c r="C682" s="5" t="n">
        <v>2019</v>
      </c>
      <c r="D682" s="5" t="s">
        <v>59</v>
      </c>
      <c r="E682" s="5" t="s">
        <v>46</v>
      </c>
      <c r="F682" s="5" t="s">
        <v>39</v>
      </c>
      <c r="G682" s="6" t="n">
        <v>611</v>
      </c>
      <c r="H682" s="6" t="n">
        <v>34</v>
      </c>
      <c r="I682" s="7" t="n">
        <f aca="false">(G682-H682)/G682</f>
        <v>0.944353518821604</v>
      </c>
      <c r="J682" s="15" t="n">
        <v>0.4965</v>
      </c>
      <c r="K682" s="11" t="str">
        <f aca="false">IF(I682&lt;J682,"TAK","NIE")</f>
        <v>NIE</v>
      </c>
    </row>
    <row r="683" customFormat="false" ht="15" hidden="false" customHeight="false" outlineLevel="0" collapsed="false">
      <c r="A683" s="5" t="s">
        <v>294</v>
      </c>
      <c r="B683" s="5" t="s">
        <v>60</v>
      </c>
      <c r="C683" s="5" t="n">
        <v>2019</v>
      </c>
      <c r="D683" s="5" t="s">
        <v>59</v>
      </c>
      <c r="E683" s="5" t="s">
        <v>46</v>
      </c>
      <c r="F683" s="5" t="s">
        <v>39</v>
      </c>
      <c r="G683" s="6" t="n">
        <v>611</v>
      </c>
      <c r="H683" s="6" t="n">
        <v>133</v>
      </c>
      <c r="I683" s="7" t="n">
        <f aca="false">(G683-H683)/G683</f>
        <v>0.782324058919804</v>
      </c>
      <c r="J683" s="15" t="n">
        <v>0.4965</v>
      </c>
      <c r="K683" s="11" t="str">
        <f aca="false">IF(I683&lt;J683,"TAK","NIE")</f>
        <v>NIE</v>
      </c>
    </row>
    <row r="684" customFormat="false" ht="15" hidden="false" customHeight="false" outlineLevel="0" collapsed="false">
      <c r="A684" s="5" t="s">
        <v>295</v>
      </c>
      <c r="B684" s="5" t="s">
        <v>60</v>
      </c>
      <c r="C684" s="5" t="n">
        <v>2019</v>
      </c>
      <c r="D684" s="5" t="s">
        <v>59</v>
      </c>
      <c r="E684" s="5" t="s">
        <v>46</v>
      </c>
      <c r="F684" s="5" t="s">
        <v>39</v>
      </c>
      <c r="G684" s="6" t="n">
        <v>611</v>
      </c>
      <c r="H684" s="6" t="n">
        <v>80</v>
      </c>
      <c r="I684" s="7" t="n">
        <f aca="false">(G684-H684)/G684</f>
        <v>0.869067103109656</v>
      </c>
      <c r="J684" s="15" t="n">
        <v>0.4965</v>
      </c>
      <c r="K684" s="11" t="str">
        <f aca="false">IF(I684&lt;J684,"TAK","NIE")</f>
        <v>NIE</v>
      </c>
    </row>
    <row r="685" customFormat="false" ht="15" hidden="false" customHeight="false" outlineLevel="0" collapsed="false">
      <c r="A685" s="5" t="s">
        <v>296</v>
      </c>
      <c r="B685" s="5" t="s">
        <v>60</v>
      </c>
      <c r="C685" s="5" t="n">
        <v>2019</v>
      </c>
      <c r="D685" s="5" t="s">
        <v>59</v>
      </c>
      <c r="E685" s="5" t="s">
        <v>46</v>
      </c>
      <c r="F685" s="5" t="s">
        <v>39</v>
      </c>
      <c r="G685" s="6" t="n">
        <v>611</v>
      </c>
      <c r="H685" s="6" t="n">
        <v>188</v>
      </c>
      <c r="I685" s="7" t="n">
        <f aca="false">(G685-H685)/G685</f>
        <v>0.692307692307692</v>
      </c>
      <c r="J685" s="15" t="n">
        <v>0.4965</v>
      </c>
      <c r="K685" s="11" t="str">
        <f aca="false">IF(I685&lt;J685,"TAK","NIE")</f>
        <v>NIE</v>
      </c>
    </row>
    <row r="686" customFormat="false" ht="15" hidden="false" customHeight="false" outlineLevel="0" collapsed="false">
      <c r="A686" s="5" t="s">
        <v>297</v>
      </c>
      <c r="B686" s="5" t="s">
        <v>60</v>
      </c>
      <c r="C686" s="5" t="n">
        <v>2019</v>
      </c>
      <c r="D686" s="5" t="s">
        <v>59</v>
      </c>
      <c r="E686" s="5" t="s">
        <v>46</v>
      </c>
      <c r="F686" s="5" t="s">
        <v>39</v>
      </c>
      <c r="G686" s="6" t="n">
        <v>611</v>
      </c>
      <c r="H686" s="6" t="n">
        <v>40</v>
      </c>
      <c r="I686" s="7" t="n">
        <f aca="false">(G686-H686)/G686</f>
        <v>0.934533551554828</v>
      </c>
      <c r="J686" s="15" t="n">
        <v>0.4965</v>
      </c>
      <c r="K686" s="11" t="str">
        <f aca="false">IF(I686&lt;J686,"TAK","NIE")</f>
        <v>NIE</v>
      </c>
    </row>
    <row r="687" customFormat="false" ht="15" hidden="false" customHeight="false" outlineLevel="0" collapsed="false">
      <c r="A687" s="5" t="s">
        <v>298</v>
      </c>
      <c r="B687" s="5" t="s">
        <v>60</v>
      </c>
      <c r="C687" s="5" t="n">
        <v>2019</v>
      </c>
      <c r="D687" s="5" t="s">
        <v>59</v>
      </c>
      <c r="E687" s="5" t="s">
        <v>46</v>
      </c>
      <c r="F687" s="5" t="s">
        <v>39</v>
      </c>
      <c r="G687" s="6" t="n">
        <v>611</v>
      </c>
      <c r="H687" s="6" t="n">
        <v>97</v>
      </c>
      <c r="I687" s="7" t="n">
        <f aca="false">(G687-H687)/G687</f>
        <v>0.841243862520458</v>
      </c>
      <c r="J687" s="15" t="n">
        <v>0.4965</v>
      </c>
      <c r="K687" s="11" t="str">
        <f aca="false">IF(I687&lt;J687,"TAK","NIE")</f>
        <v>NIE</v>
      </c>
    </row>
    <row r="688" customFormat="false" ht="15" hidden="false" customHeight="false" outlineLevel="0" collapsed="false">
      <c r="A688" s="5" t="s">
        <v>299</v>
      </c>
      <c r="B688" s="5" t="s">
        <v>60</v>
      </c>
      <c r="C688" s="5" t="n">
        <v>2019</v>
      </c>
      <c r="D688" s="5" t="s">
        <v>59</v>
      </c>
      <c r="E688" s="5" t="s">
        <v>46</v>
      </c>
      <c r="F688" s="5" t="s">
        <v>39</v>
      </c>
      <c r="G688" s="6" t="n">
        <v>611</v>
      </c>
      <c r="H688" s="6" t="n">
        <v>267</v>
      </c>
      <c r="I688" s="7" t="n">
        <f aca="false">(G688-H688)/G688</f>
        <v>0.563011456628478</v>
      </c>
      <c r="J688" s="15" t="n">
        <v>0.4965</v>
      </c>
      <c r="K688" s="11" t="str">
        <f aca="false">IF(I688&lt;J688,"TAK","NIE")</f>
        <v>NIE</v>
      </c>
    </row>
    <row r="689" customFormat="false" ht="15" hidden="false" customHeight="false" outlineLevel="0" collapsed="false">
      <c r="A689" s="5" t="s">
        <v>300</v>
      </c>
      <c r="B689" s="5" t="s">
        <v>60</v>
      </c>
      <c r="C689" s="5" t="n">
        <v>2019</v>
      </c>
      <c r="D689" s="5" t="s">
        <v>59</v>
      </c>
      <c r="E689" s="5" t="s">
        <v>46</v>
      </c>
      <c r="F689" s="5" t="s">
        <v>39</v>
      </c>
      <c r="G689" s="6" t="n">
        <v>611</v>
      </c>
      <c r="H689" s="6" t="n">
        <v>214</v>
      </c>
      <c r="I689" s="7" t="n">
        <f aca="false">(G689-H689)/G689</f>
        <v>0.649754500818331</v>
      </c>
      <c r="J689" s="15" t="n">
        <v>0.4965</v>
      </c>
      <c r="K689" s="11" t="str">
        <f aca="false">IF(I689&lt;J689,"TAK","NIE")</f>
        <v>NIE</v>
      </c>
    </row>
    <row r="690" customFormat="false" ht="15" hidden="false" customHeight="false" outlineLevel="0" collapsed="false">
      <c r="A690" s="5" t="s">
        <v>301</v>
      </c>
      <c r="B690" s="5" t="s">
        <v>60</v>
      </c>
      <c r="C690" s="5" t="n">
        <v>2019</v>
      </c>
      <c r="D690" s="5" t="s">
        <v>59</v>
      </c>
      <c r="E690" s="5" t="s">
        <v>46</v>
      </c>
      <c r="F690" s="5" t="s">
        <v>39</v>
      </c>
      <c r="G690" s="6" t="n">
        <v>611</v>
      </c>
      <c r="H690" s="6" t="n">
        <v>108</v>
      </c>
      <c r="I690" s="7" t="n">
        <f aca="false">(G690-H690)/G690</f>
        <v>0.823240589198036</v>
      </c>
      <c r="J690" s="15" t="n">
        <v>0.4965</v>
      </c>
      <c r="K690" s="11" t="str">
        <f aca="false">IF(I690&lt;J690,"TAK","NIE")</f>
        <v>NIE</v>
      </c>
    </row>
    <row r="691" customFormat="false" ht="15" hidden="false" customHeight="false" outlineLevel="0" collapsed="false">
      <c r="A691" s="5" t="s">
        <v>302</v>
      </c>
      <c r="B691" s="5" t="s">
        <v>60</v>
      </c>
      <c r="C691" s="5" t="n">
        <v>2019</v>
      </c>
      <c r="D691" s="5" t="s">
        <v>59</v>
      </c>
      <c r="E691" s="5" t="s">
        <v>46</v>
      </c>
      <c r="F691" s="5" t="s">
        <v>39</v>
      </c>
      <c r="G691" s="6" t="n">
        <v>611</v>
      </c>
      <c r="H691" s="6" t="n">
        <v>62</v>
      </c>
      <c r="I691" s="7" t="n">
        <f aca="false">(G691-H691)/G691</f>
        <v>0.898527004909984</v>
      </c>
      <c r="J691" s="15" t="n">
        <v>0.4965</v>
      </c>
      <c r="K691" s="11" t="str">
        <f aca="false">IF(I691&lt;J691,"TAK","NIE")</f>
        <v>NIE</v>
      </c>
    </row>
    <row r="692" customFormat="false" ht="15" hidden="false" customHeight="false" outlineLevel="0" collapsed="false">
      <c r="A692" s="5" t="s">
        <v>303</v>
      </c>
      <c r="B692" s="5" t="s">
        <v>60</v>
      </c>
      <c r="C692" s="5" t="n">
        <v>2019</v>
      </c>
      <c r="D692" s="5" t="s">
        <v>59</v>
      </c>
      <c r="E692" s="5" t="s">
        <v>46</v>
      </c>
      <c r="F692" s="5" t="s">
        <v>39</v>
      </c>
      <c r="G692" s="6" t="n">
        <v>611</v>
      </c>
      <c r="H692" s="6" t="n">
        <v>121</v>
      </c>
      <c r="I692" s="7" t="n">
        <f aca="false">(G692-H692)/G692</f>
        <v>0.801963993453355</v>
      </c>
      <c r="J692" s="15" t="n">
        <v>0.4965</v>
      </c>
      <c r="K692" s="11" t="str">
        <f aca="false">IF(I692&lt;J692,"TAK","NIE")</f>
        <v>NIE</v>
      </c>
    </row>
    <row r="693" customFormat="false" ht="15" hidden="false" customHeight="false" outlineLevel="0" collapsed="false">
      <c r="A693" s="5" t="s">
        <v>304</v>
      </c>
      <c r="B693" s="5" t="s">
        <v>60</v>
      </c>
      <c r="C693" s="5" t="n">
        <v>2019</v>
      </c>
      <c r="D693" s="5" t="s">
        <v>59</v>
      </c>
      <c r="E693" s="5" t="s">
        <v>46</v>
      </c>
      <c r="F693" s="5" t="s">
        <v>39</v>
      </c>
      <c r="G693" s="6" t="n">
        <v>611</v>
      </c>
      <c r="H693" s="6" t="n">
        <v>71</v>
      </c>
      <c r="I693" s="7" t="n">
        <f aca="false">(G693-H693)/G693</f>
        <v>0.88379705400982</v>
      </c>
      <c r="J693" s="15" t="n">
        <v>0.4965</v>
      </c>
      <c r="K693" s="11" t="str">
        <f aca="false">IF(I693&lt;J693,"TAK","NIE")</f>
        <v>NIE</v>
      </c>
    </row>
    <row r="694" customFormat="false" ht="15" hidden="false" customHeight="false" outlineLevel="0" collapsed="false">
      <c r="A694" s="5" t="s">
        <v>305</v>
      </c>
      <c r="B694" s="5" t="s">
        <v>60</v>
      </c>
      <c r="C694" s="5" t="n">
        <v>2019</v>
      </c>
      <c r="D694" s="5" t="s">
        <v>59</v>
      </c>
      <c r="E694" s="5" t="s">
        <v>46</v>
      </c>
      <c r="F694" s="5" t="s">
        <v>39</v>
      </c>
      <c r="G694" s="6" t="n">
        <v>611</v>
      </c>
      <c r="H694" s="6" t="n">
        <v>40</v>
      </c>
      <c r="I694" s="7" t="n">
        <f aca="false">(G694-H694)/G694</f>
        <v>0.934533551554828</v>
      </c>
      <c r="J694" s="15" t="n">
        <v>0.4965</v>
      </c>
      <c r="K694" s="11" t="str">
        <f aca="false">IF(I694&lt;J694,"TAK","NIE")</f>
        <v>NIE</v>
      </c>
    </row>
    <row r="695" customFormat="false" ht="15" hidden="false" customHeight="false" outlineLevel="0" collapsed="false">
      <c r="A695" s="5" t="s">
        <v>306</v>
      </c>
      <c r="B695" s="5" t="s">
        <v>60</v>
      </c>
      <c r="C695" s="5" t="n">
        <v>2019</v>
      </c>
      <c r="D695" s="5" t="s">
        <v>59</v>
      </c>
      <c r="E695" s="5" t="s">
        <v>46</v>
      </c>
      <c r="F695" s="5" t="s">
        <v>39</v>
      </c>
      <c r="G695" s="6" t="n">
        <v>611</v>
      </c>
      <c r="H695" s="6" t="n">
        <v>185</v>
      </c>
      <c r="I695" s="7" t="n">
        <f aca="false">(G695-H695)/G695</f>
        <v>0.69721767594108</v>
      </c>
      <c r="J695" s="15" t="n">
        <v>0.4965</v>
      </c>
      <c r="K695" s="11" t="str">
        <f aca="false">IF(I695&lt;J695,"TAK","NIE")</f>
        <v>NIE</v>
      </c>
    </row>
    <row r="696" customFormat="false" ht="15" hidden="false" customHeight="false" outlineLevel="0" collapsed="false">
      <c r="A696" s="5" t="s">
        <v>307</v>
      </c>
      <c r="B696" s="5" t="s">
        <v>60</v>
      </c>
      <c r="C696" s="5" t="n">
        <v>2019</v>
      </c>
      <c r="D696" s="5" t="s">
        <v>59</v>
      </c>
      <c r="E696" s="5" t="s">
        <v>46</v>
      </c>
      <c r="F696" s="5" t="s">
        <v>39</v>
      </c>
      <c r="G696" s="6" t="n">
        <v>611</v>
      </c>
      <c r="H696" s="6" t="n">
        <v>42</v>
      </c>
      <c r="I696" s="7" t="n">
        <f aca="false">(G696-H696)/G696</f>
        <v>0.93126022913257</v>
      </c>
      <c r="J696" s="15" t="n">
        <v>0.4965</v>
      </c>
      <c r="K696" s="11" t="str">
        <f aca="false">IF(I696&lt;J696,"TAK","NIE")</f>
        <v>NIE</v>
      </c>
    </row>
    <row r="697" customFormat="false" ht="15" hidden="false" customHeight="false" outlineLevel="0" collapsed="false">
      <c r="A697" s="5" t="s">
        <v>308</v>
      </c>
      <c r="B697" s="5" t="s">
        <v>60</v>
      </c>
      <c r="C697" s="5" t="n">
        <v>2019</v>
      </c>
      <c r="D697" s="5" t="s">
        <v>59</v>
      </c>
      <c r="E697" s="5" t="s">
        <v>46</v>
      </c>
      <c r="F697" s="5" t="s">
        <v>39</v>
      </c>
      <c r="G697" s="6" t="n">
        <v>611</v>
      </c>
      <c r="H697" s="6" t="n">
        <v>126</v>
      </c>
      <c r="I697" s="7" t="n">
        <f aca="false">(G697-H697)/G697</f>
        <v>0.793780687397709</v>
      </c>
      <c r="J697" s="15" t="n">
        <v>0.4965</v>
      </c>
      <c r="K697" s="11" t="str">
        <f aca="false">IF(I697&lt;J697,"TAK","NIE")</f>
        <v>NIE</v>
      </c>
    </row>
    <row r="698" customFormat="false" ht="15" hidden="false" customHeight="false" outlineLevel="0" collapsed="false">
      <c r="A698" s="5" t="s">
        <v>309</v>
      </c>
      <c r="B698" s="5" t="s">
        <v>60</v>
      </c>
      <c r="C698" s="5" t="n">
        <v>2019</v>
      </c>
      <c r="D698" s="5" t="s">
        <v>59</v>
      </c>
      <c r="E698" s="5" t="s">
        <v>46</v>
      </c>
      <c r="F698" s="5" t="s">
        <v>39</v>
      </c>
      <c r="G698" s="6" t="n">
        <v>611</v>
      </c>
      <c r="H698" s="6" t="n">
        <v>12</v>
      </c>
      <c r="I698" s="7" t="n">
        <f aca="false">(G698-H698)/G698</f>
        <v>0.980360065466449</v>
      </c>
      <c r="J698" s="15" t="n">
        <v>0.4965</v>
      </c>
      <c r="K698" s="11" t="str">
        <f aca="false">IF(I698&lt;J698,"TAK","NIE")</f>
        <v>NIE</v>
      </c>
    </row>
    <row r="699" customFormat="false" ht="15" hidden="false" customHeight="false" outlineLevel="0" collapsed="false">
      <c r="A699" s="5" t="s">
        <v>310</v>
      </c>
      <c r="B699" s="5" t="s">
        <v>60</v>
      </c>
      <c r="C699" s="5" t="n">
        <v>2019</v>
      </c>
      <c r="D699" s="5" t="s">
        <v>59</v>
      </c>
      <c r="E699" s="5" t="s">
        <v>46</v>
      </c>
      <c r="F699" s="5" t="s">
        <v>39</v>
      </c>
      <c r="G699" s="6" t="n">
        <v>611</v>
      </c>
      <c r="H699" s="6" t="n">
        <v>185</v>
      </c>
      <c r="I699" s="7" t="n">
        <f aca="false">(G699-H699)/G699</f>
        <v>0.69721767594108</v>
      </c>
      <c r="J699" s="15" t="n">
        <v>0.4965</v>
      </c>
      <c r="K699" s="11" t="str">
        <f aca="false">IF(I699&lt;J699,"TAK","NIE")</f>
        <v>NIE</v>
      </c>
    </row>
    <row r="700" customFormat="false" ht="15" hidden="false" customHeight="false" outlineLevel="0" collapsed="false">
      <c r="A700" s="5" t="s">
        <v>311</v>
      </c>
      <c r="B700" s="5" t="s">
        <v>60</v>
      </c>
      <c r="C700" s="5" t="n">
        <v>2019</v>
      </c>
      <c r="D700" s="5" t="s">
        <v>59</v>
      </c>
      <c r="E700" s="5" t="s">
        <v>46</v>
      </c>
      <c r="F700" s="5" t="s">
        <v>39</v>
      </c>
      <c r="G700" s="6" t="n">
        <v>611</v>
      </c>
      <c r="H700" s="6" t="n">
        <v>162</v>
      </c>
      <c r="I700" s="7" t="n">
        <f aca="false">(G700-H700)/G700</f>
        <v>0.734860883797054</v>
      </c>
      <c r="J700" s="15" t="n">
        <v>0.4965</v>
      </c>
      <c r="K700" s="11" t="str">
        <f aca="false">IF(I700&lt;J700,"TAK","NIE")</f>
        <v>NIE</v>
      </c>
    </row>
    <row r="701" customFormat="false" ht="15" hidden="false" customHeight="false" outlineLevel="0" collapsed="false">
      <c r="A701" s="5" t="s">
        <v>312</v>
      </c>
      <c r="B701" s="5" t="s">
        <v>60</v>
      </c>
      <c r="C701" s="5" t="n">
        <v>2019</v>
      </c>
      <c r="D701" s="5" t="s">
        <v>59</v>
      </c>
      <c r="E701" s="5" t="s">
        <v>46</v>
      </c>
      <c r="F701" s="5" t="s">
        <v>39</v>
      </c>
      <c r="G701" s="6" t="n">
        <v>611</v>
      </c>
      <c r="H701" s="6" t="n">
        <v>150</v>
      </c>
      <c r="I701" s="7" t="n">
        <f aca="false">(G701-H701)/G701</f>
        <v>0.754500818330606</v>
      </c>
      <c r="J701" s="15" t="n">
        <v>0.4965</v>
      </c>
      <c r="K701" s="11" t="str">
        <f aca="false">IF(I701&lt;J701,"TAK","NIE")</f>
        <v>NIE</v>
      </c>
    </row>
    <row r="702" customFormat="false" ht="15" hidden="false" customHeight="false" outlineLevel="0" collapsed="false">
      <c r="A702" s="5" t="s">
        <v>313</v>
      </c>
      <c r="B702" s="5" t="s">
        <v>60</v>
      </c>
      <c r="C702" s="5" t="n">
        <v>2019</v>
      </c>
      <c r="D702" s="5" t="s">
        <v>59</v>
      </c>
      <c r="E702" s="5" t="s">
        <v>46</v>
      </c>
      <c r="F702" s="5" t="s">
        <v>39</v>
      </c>
      <c r="G702" s="6" t="n">
        <v>611</v>
      </c>
      <c r="H702" s="6" t="n">
        <v>107</v>
      </c>
      <c r="I702" s="7" t="n">
        <f aca="false">(G702-H702)/G702</f>
        <v>0.824877250409165</v>
      </c>
      <c r="J702" s="15" t="n">
        <v>0.4965</v>
      </c>
      <c r="K702" s="11" t="str">
        <f aca="false">IF(I702&lt;J702,"TAK","NIE")</f>
        <v>NIE</v>
      </c>
    </row>
    <row r="703" customFormat="false" ht="15" hidden="false" customHeight="false" outlineLevel="0" collapsed="false">
      <c r="A703" s="5" t="s">
        <v>314</v>
      </c>
      <c r="B703" s="5" t="s">
        <v>60</v>
      </c>
      <c r="C703" s="5" t="n">
        <v>2019</v>
      </c>
      <c r="D703" s="5" t="s">
        <v>59</v>
      </c>
      <c r="E703" s="5" t="s">
        <v>46</v>
      </c>
      <c r="F703" s="5" t="s">
        <v>39</v>
      </c>
      <c r="G703" s="6" t="n">
        <v>611</v>
      </c>
      <c r="H703" s="6" t="n">
        <v>160</v>
      </c>
      <c r="I703" s="7" t="n">
        <f aca="false">(G703-H703)/G703</f>
        <v>0.738134206219313</v>
      </c>
      <c r="J703" s="15" t="n">
        <v>0.4965</v>
      </c>
      <c r="K703" s="11" t="str">
        <f aca="false">IF(I703&lt;J703,"TAK","NIE")</f>
        <v>NIE</v>
      </c>
    </row>
    <row r="704" customFormat="false" ht="15" hidden="false" customHeight="false" outlineLevel="0" collapsed="false">
      <c r="A704" s="5" t="s">
        <v>293</v>
      </c>
      <c r="B704" s="5" t="s">
        <v>60</v>
      </c>
      <c r="C704" s="5" t="n">
        <v>2019</v>
      </c>
      <c r="D704" s="5" t="s">
        <v>59</v>
      </c>
      <c r="E704" s="5" t="s">
        <v>46</v>
      </c>
      <c r="F704" s="5" t="s">
        <v>40</v>
      </c>
      <c r="G704" s="6" t="n">
        <v>514</v>
      </c>
      <c r="H704" s="6" t="n">
        <v>94</v>
      </c>
      <c r="I704" s="7" t="n">
        <f aca="false">(G704-H704)/G704</f>
        <v>0.817120622568093</v>
      </c>
      <c r="J704" s="15" t="n">
        <v>0.4832</v>
      </c>
      <c r="K704" s="11" t="str">
        <f aca="false">IF(I704&lt;J704,"TAK","NIE")</f>
        <v>NIE</v>
      </c>
    </row>
    <row r="705" customFormat="false" ht="15" hidden="false" customHeight="false" outlineLevel="0" collapsed="false">
      <c r="A705" s="5" t="s">
        <v>294</v>
      </c>
      <c r="B705" s="5" t="s">
        <v>60</v>
      </c>
      <c r="C705" s="5" t="n">
        <v>2019</v>
      </c>
      <c r="D705" s="5" t="s">
        <v>59</v>
      </c>
      <c r="E705" s="5" t="s">
        <v>46</v>
      </c>
      <c r="F705" s="5" t="s">
        <v>40</v>
      </c>
      <c r="G705" s="6" t="n">
        <v>514</v>
      </c>
      <c r="H705" s="6" t="n">
        <v>162</v>
      </c>
      <c r="I705" s="7" t="n">
        <f aca="false">(G705-H705)/G705</f>
        <v>0.684824902723735</v>
      </c>
      <c r="J705" s="15" t="n">
        <v>0.4832</v>
      </c>
      <c r="K705" s="11" t="str">
        <f aca="false">IF(I705&lt;J705,"TAK","NIE")</f>
        <v>NIE</v>
      </c>
    </row>
    <row r="706" customFormat="false" ht="15" hidden="false" customHeight="false" outlineLevel="0" collapsed="false">
      <c r="A706" s="5" t="s">
        <v>295</v>
      </c>
      <c r="B706" s="5" t="s">
        <v>60</v>
      </c>
      <c r="C706" s="5" t="n">
        <v>2019</v>
      </c>
      <c r="D706" s="5" t="s">
        <v>59</v>
      </c>
      <c r="E706" s="5" t="s">
        <v>46</v>
      </c>
      <c r="F706" s="5" t="s">
        <v>40</v>
      </c>
      <c r="G706" s="6" t="n">
        <v>514</v>
      </c>
      <c r="H706" s="6" t="n">
        <v>132</v>
      </c>
      <c r="I706" s="7" t="n">
        <f aca="false">(G706-H706)/G706</f>
        <v>0.743190661478599</v>
      </c>
      <c r="J706" s="15" t="n">
        <v>0.4832</v>
      </c>
      <c r="K706" s="11" t="str">
        <f aca="false">IF(I706&lt;J706,"TAK","NIE")</f>
        <v>NIE</v>
      </c>
    </row>
    <row r="707" customFormat="false" ht="15" hidden="false" customHeight="false" outlineLevel="0" collapsed="false">
      <c r="A707" s="5" t="s">
        <v>296</v>
      </c>
      <c r="B707" s="5" t="s">
        <v>60</v>
      </c>
      <c r="C707" s="5" t="n">
        <v>2019</v>
      </c>
      <c r="D707" s="5" t="s">
        <v>59</v>
      </c>
      <c r="E707" s="5" t="s">
        <v>46</v>
      </c>
      <c r="F707" s="5" t="s">
        <v>40</v>
      </c>
      <c r="G707" s="6" t="n">
        <v>514</v>
      </c>
      <c r="H707" s="6" t="n">
        <v>181</v>
      </c>
      <c r="I707" s="7" t="n">
        <f aca="false">(G707-H707)/G707</f>
        <v>0.647859922178988</v>
      </c>
      <c r="J707" s="15" t="n">
        <v>0.4832</v>
      </c>
      <c r="K707" s="11" t="str">
        <f aca="false">IF(I707&lt;J707,"TAK","NIE")</f>
        <v>NIE</v>
      </c>
    </row>
    <row r="708" customFormat="false" ht="15" hidden="false" customHeight="false" outlineLevel="0" collapsed="false">
      <c r="A708" s="5" t="s">
        <v>297</v>
      </c>
      <c r="B708" s="5" t="s">
        <v>60</v>
      </c>
      <c r="C708" s="5" t="n">
        <v>2019</v>
      </c>
      <c r="D708" s="5" t="s">
        <v>59</v>
      </c>
      <c r="E708" s="5" t="s">
        <v>46</v>
      </c>
      <c r="F708" s="5" t="s">
        <v>40</v>
      </c>
      <c r="G708" s="6" t="n">
        <v>514</v>
      </c>
      <c r="H708" s="6" t="n">
        <v>99</v>
      </c>
      <c r="I708" s="7" t="n">
        <f aca="false">(G708-H708)/G708</f>
        <v>0.807392996108949</v>
      </c>
      <c r="J708" s="15" t="n">
        <v>0.4832</v>
      </c>
      <c r="K708" s="11" t="str">
        <f aca="false">IF(I708&lt;J708,"TAK","NIE")</f>
        <v>NIE</v>
      </c>
    </row>
    <row r="709" customFormat="false" ht="15" hidden="false" customHeight="false" outlineLevel="0" collapsed="false">
      <c r="A709" s="5" t="s">
        <v>298</v>
      </c>
      <c r="B709" s="5" t="s">
        <v>60</v>
      </c>
      <c r="C709" s="5" t="n">
        <v>2019</v>
      </c>
      <c r="D709" s="5" t="s">
        <v>59</v>
      </c>
      <c r="E709" s="5" t="s">
        <v>46</v>
      </c>
      <c r="F709" s="5" t="s">
        <v>40</v>
      </c>
      <c r="G709" s="6" t="n">
        <v>514</v>
      </c>
      <c r="H709" s="6" t="n">
        <v>118</v>
      </c>
      <c r="I709" s="7" t="n">
        <f aca="false">(G709-H709)/G709</f>
        <v>0.770428015564202</v>
      </c>
      <c r="J709" s="15" t="n">
        <v>0.4832</v>
      </c>
      <c r="K709" s="11" t="str">
        <f aca="false">IF(I709&lt;J709,"TAK","NIE")</f>
        <v>NIE</v>
      </c>
    </row>
    <row r="710" customFormat="false" ht="15" hidden="false" customHeight="false" outlineLevel="0" collapsed="false">
      <c r="A710" s="5" t="s">
        <v>299</v>
      </c>
      <c r="B710" s="5" t="s">
        <v>60</v>
      </c>
      <c r="C710" s="5" t="n">
        <v>2019</v>
      </c>
      <c r="D710" s="5" t="s">
        <v>59</v>
      </c>
      <c r="E710" s="5" t="s">
        <v>46</v>
      </c>
      <c r="F710" s="5" t="s">
        <v>40</v>
      </c>
      <c r="G710" s="6" t="n">
        <v>514</v>
      </c>
      <c r="H710" s="6" t="n">
        <v>274</v>
      </c>
      <c r="I710" s="7" t="n">
        <f aca="false">(G710-H710)/G710</f>
        <v>0.466926070038911</v>
      </c>
      <c r="J710" s="15" t="n">
        <v>0.4832</v>
      </c>
      <c r="K710" s="11" t="str">
        <f aca="false">IF(I710&lt;J710,"TAK","NIE")</f>
        <v>TAK</v>
      </c>
    </row>
    <row r="711" customFormat="false" ht="15" hidden="false" customHeight="false" outlineLevel="0" collapsed="false">
      <c r="A711" s="5" t="s">
        <v>300</v>
      </c>
      <c r="B711" s="5" t="s">
        <v>60</v>
      </c>
      <c r="C711" s="5" t="n">
        <v>2019</v>
      </c>
      <c r="D711" s="5" t="s">
        <v>59</v>
      </c>
      <c r="E711" s="5" t="s">
        <v>46</v>
      </c>
      <c r="F711" s="5" t="s">
        <v>40</v>
      </c>
      <c r="G711" s="6" t="n">
        <v>514</v>
      </c>
      <c r="H711" s="6" t="n">
        <v>190</v>
      </c>
      <c r="I711" s="7" t="n">
        <f aca="false">(G711-H711)/G711</f>
        <v>0.630350194552529</v>
      </c>
      <c r="J711" s="15" t="n">
        <v>0.4832</v>
      </c>
      <c r="K711" s="11" t="str">
        <f aca="false">IF(I711&lt;J711,"TAK","NIE")</f>
        <v>NIE</v>
      </c>
    </row>
    <row r="712" customFormat="false" ht="15" hidden="false" customHeight="false" outlineLevel="0" collapsed="false">
      <c r="A712" s="5" t="s">
        <v>301</v>
      </c>
      <c r="B712" s="5" t="s">
        <v>60</v>
      </c>
      <c r="C712" s="5" t="n">
        <v>2019</v>
      </c>
      <c r="D712" s="5" t="s">
        <v>59</v>
      </c>
      <c r="E712" s="5" t="s">
        <v>46</v>
      </c>
      <c r="F712" s="5" t="s">
        <v>40</v>
      </c>
      <c r="G712" s="6" t="n">
        <v>514</v>
      </c>
      <c r="H712" s="6" t="n">
        <v>187</v>
      </c>
      <c r="I712" s="7" t="n">
        <f aca="false">(G712-H712)/G712</f>
        <v>0.636186770428016</v>
      </c>
      <c r="J712" s="15" t="n">
        <v>0.4832</v>
      </c>
      <c r="K712" s="11" t="str">
        <f aca="false">IF(I712&lt;J712,"TAK","NIE")</f>
        <v>NIE</v>
      </c>
    </row>
    <row r="713" customFormat="false" ht="15" hidden="false" customHeight="false" outlineLevel="0" collapsed="false">
      <c r="A713" s="5" t="s">
        <v>302</v>
      </c>
      <c r="B713" s="5" t="s">
        <v>60</v>
      </c>
      <c r="C713" s="5" t="n">
        <v>2019</v>
      </c>
      <c r="D713" s="5" t="s">
        <v>59</v>
      </c>
      <c r="E713" s="5" t="s">
        <v>46</v>
      </c>
      <c r="F713" s="5" t="s">
        <v>40</v>
      </c>
      <c r="G713" s="6" t="n">
        <v>514</v>
      </c>
      <c r="H713" s="6" t="n">
        <v>134</v>
      </c>
      <c r="I713" s="7" t="n">
        <f aca="false">(G713-H713)/G713</f>
        <v>0.739299610894942</v>
      </c>
      <c r="J713" s="15" t="n">
        <v>0.4832</v>
      </c>
      <c r="K713" s="11" t="str">
        <f aca="false">IF(I713&lt;J713,"TAK","NIE")</f>
        <v>NIE</v>
      </c>
    </row>
    <row r="714" customFormat="false" ht="15" hidden="false" customHeight="false" outlineLevel="0" collapsed="false">
      <c r="A714" s="5" t="s">
        <v>303</v>
      </c>
      <c r="B714" s="5" t="s">
        <v>60</v>
      </c>
      <c r="C714" s="5" t="n">
        <v>2019</v>
      </c>
      <c r="D714" s="5" t="s">
        <v>59</v>
      </c>
      <c r="E714" s="5" t="s">
        <v>46</v>
      </c>
      <c r="F714" s="5" t="s">
        <v>40</v>
      </c>
      <c r="G714" s="6" t="n">
        <v>514</v>
      </c>
      <c r="H714" s="6" t="n">
        <v>187</v>
      </c>
      <c r="I714" s="7" t="n">
        <f aca="false">(G714-H714)/G714</f>
        <v>0.636186770428016</v>
      </c>
      <c r="J714" s="15" t="n">
        <v>0.4832</v>
      </c>
      <c r="K714" s="11" t="str">
        <f aca="false">IF(I714&lt;J714,"TAK","NIE")</f>
        <v>NIE</v>
      </c>
    </row>
    <row r="715" customFormat="false" ht="15" hidden="false" customHeight="false" outlineLevel="0" collapsed="false">
      <c r="A715" s="5" t="s">
        <v>304</v>
      </c>
      <c r="B715" s="5" t="s">
        <v>60</v>
      </c>
      <c r="C715" s="5" t="n">
        <v>2019</v>
      </c>
      <c r="D715" s="5" t="s">
        <v>59</v>
      </c>
      <c r="E715" s="5" t="s">
        <v>46</v>
      </c>
      <c r="F715" s="5" t="s">
        <v>40</v>
      </c>
      <c r="G715" s="6" t="n">
        <v>514</v>
      </c>
      <c r="H715" s="6" t="n">
        <v>122</v>
      </c>
      <c r="I715" s="7" t="n">
        <f aca="false">(G715-H715)/G715</f>
        <v>0.762645914396887</v>
      </c>
      <c r="J715" s="15" t="n">
        <v>0.4832</v>
      </c>
      <c r="K715" s="11" t="str">
        <f aca="false">IF(I715&lt;J715,"TAK","NIE")</f>
        <v>NIE</v>
      </c>
    </row>
    <row r="716" customFormat="false" ht="15" hidden="false" customHeight="false" outlineLevel="0" collapsed="false">
      <c r="A716" s="5" t="s">
        <v>305</v>
      </c>
      <c r="B716" s="5" t="s">
        <v>60</v>
      </c>
      <c r="C716" s="5" t="n">
        <v>2019</v>
      </c>
      <c r="D716" s="5" t="s">
        <v>59</v>
      </c>
      <c r="E716" s="5" t="s">
        <v>46</v>
      </c>
      <c r="F716" s="5" t="s">
        <v>40</v>
      </c>
      <c r="G716" s="6" t="n">
        <v>514</v>
      </c>
      <c r="H716" s="6" t="n">
        <v>98</v>
      </c>
      <c r="I716" s="7" t="n">
        <f aca="false">(G716-H716)/G716</f>
        <v>0.809338521400778</v>
      </c>
      <c r="J716" s="15" t="n">
        <v>0.4832</v>
      </c>
      <c r="K716" s="11" t="str">
        <f aca="false">IF(I716&lt;J716,"TAK","NIE")</f>
        <v>NIE</v>
      </c>
    </row>
    <row r="717" customFormat="false" ht="15" hidden="false" customHeight="false" outlineLevel="0" collapsed="false">
      <c r="A717" s="5" t="s">
        <v>306</v>
      </c>
      <c r="B717" s="5" t="s">
        <v>60</v>
      </c>
      <c r="C717" s="5" t="n">
        <v>2019</v>
      </c>
      <c r="D717" s="5" t="s">
        <v>59</v>
      </c>
      <c r="E717" s="5" t="s">
        <v>46</v>
      </c>
      <c r="F717" s="5" t="s">
        <v>40</v>
      </c>
      <c r="G717" s="6" t="n">
        <v>514</v>
      </c>
      <c r="H717" s="6" t="n">
        <v>149</v>
      </c>
      <c r="I717" s="7" t="n">
        <f aca="false">(G717-H717)/G717</f>
        <v>0.71011673151751</v>
      </c>
      <c r="J717" s="15" t="n">
        <v>0.4832</v>
      </c>
      <c r="K717" s="11" t="str">
        <f aca="false">IF(I717&lt;J717,"TAK","NIE")</f>
        <v>NIE</v>
      </c>
    </row>
    <row r="718" customFormat="false" ht="15" hidden="false" customHeight="false" outlineLevel="0" collapsed="false">
      <c r="A718" s="5" t="s">
        <v>307</v>
      </c>
      <c r="B718" s="5" t="s">
        <v>60</v>
      </c>
      <c r="C718" s="5" t="n">
        <v>2019</v>
      </c>
      <c r="D718" s="5" t="s">
        <v>59</v>
      </c>
      <c r="E718" s="5" t="s">
        <v>46</v>
      </c>
      <c r="F718" s="5" t="s">
        <v>40</v>
      </c>
      <c r="G718" s="6" t="n">
        <v>514</v>
      </c>
      <c r="H718" s="6" t="n">
        <v>59</v>
      </c>
      <c r="I718" s="7" t="n">
        <f aca="false">(G718-H718)/G718</f>
        <v>0.885214007782101</v>
      </c>
      <c r="J718" s="15" t="n">
        <v>0.4832</v>
      </c>
      <c r="K718" s="11" t="str">
        <f aca="false">IF(I718&lt;J718,"TAK","NIE")</f>
        <v>NIE</v>
      </c>
    </row>
    <row r="719" customFormat="false" ht="15" hidden="false" customHeight="false" outlineLevel="0" collapsed="false">
      <c r="A719" s="5" t="s">
        <v>308</v>
      </c>
      <c r="B719" s="5" t="s">
        <v>60</v>
      </c>
      <c r="C719" s="5" t="n">
        <v>2019</v>
      </c>
      <c r="D719" s="5" t="s">
        <v>59</v>
      </c>
      <c r="E719" s="5" t="s">
        <v>46</v>
      </c>
      <c r="F719" s="5" t="s">
        <v>40</v>
      </c>
      <c r="G719" s="6" t="n">
        <v>514</v>
      </c>
      <c r="H719" s="6" t="n">
        <v>147</v>
      </c>
      <c r="I719" s="7" t="n">
        <f aca="false">(G719-H719)/G719</f>
        <v>0.714007782101167</v>
      </c>
      <c r="J719" s="15" t="n">
        <v>0.4832</v>
      </c>
      <c r="K719" s="11" t="str">
        <f aca="false">IF(I719&lt;J719,"TAK","NIE")</f>
        <v>NIE</v>
      </c>
    </row>
    <row r="720" customFormat="false" ht="15" hidden="false" customHeight="false" outlineLevel="0" collapsed="false">
      <c r="A720" s="5" t="s">
        <v>309</v>
      </c>
      <c r="B720" s="5" t="s">
        <v>60</v>
      </c>
      <c r="C720" s="5" t="n">
        <v>2019</v>
      </c>
      <c r="D720" s="5" t="s">
        <v>59</v>
      </c>
      <c r="E720" s="5" t="s">
        <v>46</v>
      </c>
      <c r="F720" s="5" t="s">
        <v>40</v>
      </c>
      <c r="G720" s="6" t="n">
        <v>514</v>
      </c>
      <c r="H720" s="6" t="n">
        <v>37</v>
      </c>
      <c r="I720" s="7" t="n">
        <f aca="false">(G720-H720)/G720</f>
        <v>0.928015564202335</v>
      </c>
      <c r="J720" s="15" t="n">
        <v>0.4832</v>
      </c>
      <c r="K720" s="11" t="str">
        <f aca="false">IF(I720&lt;J720,"TAK","NIE")</f>
        <v>NIE</v>
      </c>
    </row>
    <row r="721" customFormat="false" ht="15" hidden="false" customHeight="false" outlineLevel="0" collapsed="false">
      <c r="A721" s="5" t="s">
        <v>310</v>
      </c>
      <c r="B721" s="5" t="s">
        <v>60</v>
      </c>
      <c r="C721" s="5" t="n">
        <v>2019</v>
      </c>
      <c r="D721" s="5" t="s">
        <v>59</v>
      </c>
      <c r="E721" s="5" t="s">
        <v>46</v>
      </c>
      <c r="F721" s="5" t="s">
        <v>40</v>
      </c>
      <c r="G721" s="6" t="n">
        <v>514</v>
      </c>
      <c r="H721" s="6" t="n">
        <v>168</v>
      </c>
      <c r="I721" s="7" t="n">
        <f aca="false">(G721-H721)/G721</f>
        <v>0.673151750972763</v>
      </c>
      <c r="J721" s="15" t="n">
        <v>0.4832</v>
      </c>
      <c r="K721" s="11" t="str">
        <f aca="false">IF(I721&lt;J721,"TAK","NIE")</f>
        <v>NIE</v>
      </c>
    </row>
    <row r="722" customFormat="false" ht="15" hidden="false" customHeight="false" outlineLevel="0" collapsed="false">
      <c r="A722" s="5" t="s">
        <v>311</v>
      </c>
      <c r="B722" s="5" t="s">
        <v>60</v>
      </c>
      <c r="C722" s="5" t="n">
        <v>2019</v>
      </c>
      <c r="D722" s="5" t="s">
        <v>59</v>
      </c>
      <c r="E722" s="5" t="s">
        <v>46</v>
      </c>
      <c r="F722" s="5" t="s">
        <v>40</v>
      </c>
      <c r="G722" s="6" t="n">
        <v>514</v>
      </c>
      <c r="H722" s="6" t="n">
        <v>251</v>
      </c>
      <c r="I722" s="7" t="n">
        <f aca="false">(G722-H722)/G722</f>
        <v>0.511673151750973</v>
      </c>
      <c r="J722" s="15" t="n">
        <v>0.4832</v>
      </c>
      <c r="K722" s="11" t="str">
        <f aca="false">IF(I722&lt;J722,"TAK","NIE")</f>
        <v>NIE</v>
      </c>
    </row>
    <row r="723" customFormat="false" ht="15" hidden="false" customHeight="false" outlineLevel="0" collapsed="false">
      <c r="A723" s="5" t="s">
        <v>312</v>
      </c>
      <c r="B723" s="5" t="s">
        <v>60</v>
      </c>
      <c r="C723" s="5" t="n">
        <v>2019</v>
      </c>
      <c r="D723" s="5" t="s">
        <v>59</v>
      </c>
      <c r="E723" s="5" t="s">
        <v>46</v>
      </c>
      <c r="F723" s="5" t="s">
        <v>40</v>
      </c>
      <c r="G723" s="6" t="n">
        <v>514</v>
      </c>
      <c r="H723" s="6" t="n">
        <v>151</v>
      </c>
      <c r="I723" s="7" t="n">
        <f aca="false">(G723-H723)/G723</f>
        <v>0.706225680933852</v>
      </c>
      <c r="J723" s="15" t="n">
        <v>0.4832</v>
      </c>
      <c r="K723" s="11" t="str">
        <f aca="false">IF(I723&lt;J723,"TAK","NIE")</f>
        <v>NIE</v>
      </c>
    </row>
    <row r="724" customFormat="false" ht="15" hidden="false" customHeight="false" outlineLevel="0" collapsed="false">
      <c r="A724" s="5" t="s">
        <v>313</v>
      </c>
      <c r="B724" s="5" t="s">
        <v>60</v>
      </c>
      <c r="C724" s="5" t="n">
        <v>2019</v>
      </c>
      <c r="D724" s="5" t="s">
        <v>59</v>
      </c>
      <c r="E724" s="5" t="s">
        <v>46</v>
      </c>
      <c r="F724" s="5" t="s">
        <v>40</v>
      </c>
      <c r="G724" s="6" t="n">
        <v>514</v>
      </c>
      <c r="H724" s="6" t="n">
        <v>142</v>
      </c>
      <c r="I724" s="7" t="n">
        <f aca="false">(G724-H724)/G724</f>
        <v>0.723735408560311</v>
      </c>
      <c r="J724" s="15" t="n">
        <v>0.4832</v>
      </c>
      <c r="K724" s="11" t="str">
        <f aca="false">IF(I724&lt;J724,"TAK","NIE")</f>
        <v>NIE</v>
      </c>
    </row>
    <row r="725" customFormat="false" ht="15" hidden="false" customHeight="false" outlineLevel="0" collapsed="false">
      <c r="A725" s="5" t="s">
        <v>314</v>
      </c>
      <c r="B725" s="5" t="s">
        <v>60</v>
      </c>
      <c r="C725" s="5" t="n">
        <v>2019</v>
      </c>
      <c r="D725" s="5" t="s">
        <v>59</v>
      </c>
      <c r="E725" s="5" t="s">
        <v>46</v>
      </c>
      <c r="F725" s="5" t="s">
        <v>40</v>
      </c>
      <c r="G725" s="6" t="n">
        <v>514</v>
      </c>
      <c r="H725" s="6" t="n">
        <v>165</v>
      </c>
      <c r="I725" s="7" t="n">
        <f aca="false">(G725-H725)/G725</f>
        <v>0.678988326848249</v>
      </c>
      <c r="J725" s="15" t="n">
        <v>0.4832</v>
      </c>
      <c r="K725" s="11" t="str">
        <f aca="false">IF(I725&lt;J725,"TAK","NIE")</f>
        <v>NIE</v>
      </c>
    </row>
    <row r="726" customFormat="false" ht="15" hidden="false" customHeight="false" outlineLevel="0" collapsed="false">
      <c r="A726" s="5" t="s">
        <v>293</v>
      </c>
      <c r="B726" s="5" t="s">
        <v>61</v>
      </c>
      <c r="C726" s="5" t="n">
        <v>2019</v>
      </c>
      <c r="D726" s="5" t="s">
        <v>59</v>
      </c>
      <c r="E726" s="5" t="s">
        <v>55</v>
      </c>
      <c r="F726" s="5" t="s">
        <v>39</v>
      </c>
      <c r="G726" s="6" t="n">
        <v>522</v>
      </c>
      <c r="H726" s="6" t="n">
        <v>61</v>
      </c>
      <c r="I726" s="7" t="n">
        <f aca="false">(G726-H726)/G726</f>
        <v>0.883141762452107</v>
      </c>
      <c r="J726" s="15" t="n">
        <v>0.5661</v>
      </c>
      <c r="K726" s="11" t="str">
        <f aca="false">IF(I726&lt;J726,"TAK","NIE")</f>
        <v>NIE</v>
      </c>
    </row>
    <row r="727" customFormat="false" ht="15" hidden="false" customHeight="false" outlineLevel="0" collapsed="false">
      <c r="A727" s="5" t="s">
        <v>294</v>
      </c>
      <c r="B727" s="5" t="s">
        <v>61</v>
      </c>
      <c r="C727" s="5" t="n">
        <v>2019</v>
      </c>
      <c r="D727" s="5" t="s">
        <v>59</v>
      </c>
      <c r="E727" s="5" t="s">
        <v>55</v>
      </c>
      <c r="F727" s="5" t="s">
        <v>39</v>
      </c>
      <c r="G727" s="6" t="n">
        <v>522</v>
      </c>
      <c r="H727" s="6" t="n">
        <v>100</v>
      </c>
      <c r="I727" s="7" t="n">
        <f aca="false">(G727-H727)/G727</f>
        <v>0.808429118773946</v>
      </c>
      <c r="J727" s="15" t="n">
        <v>0.5661</v>
      </c>
      <c r="K727" s="11" t="str">
        <f aca="false">IF(I727&lt;J727,"TAK","NIE")</f>
        <v>NIE</v>
      </c>
    </row>
    <row r="728" customFormat="false" ht="15" hidden="false" customHeight="false" outlineLevel="0" collapsed="false">
      <c r="A728" s="5" t="s">
        <v>295</v>
      </c>
      <c r="B728" s="5" t="s">
        <v>61</v>
      </c>
      <c r="C728" s="5" t="n">
        <v>2019</v>
      </c>
      <c r="D728" s="5" t="s">
        <v>59</v>
      </c>
      <c r="E728" s="5" t="s">
        <v>55</v>
      </c>
      <c r="F728" s="5" t="s">
        <v>39</v>
      </c>
      <c r="G728" s="6" t="n">
        <v>522</v>
      </c>
      <c r="H728" s="6" t="n">
        <v>59</v>
      </c>
      <c r="I728" s="7" t="n">
        <f aca="false">(G728-H728)/G728</f>
        <v>0.886973180076628</v>
      </c>
      <c r="J728" s="15" t="n">
        <v>0.5661</v>
      </c>
      <c r="K728" s="11" t="str">
        <f aca="false">IF(I728&lt;J728,"TAK","NIE")</f>
        <v>NIE</v>
      </c>
    </row>
    <row r="729" customFormat="false" ht="15" hidden="false" customHeight="false" outlineLevel="0" collapsed="false">
      <c r="A729" s="5" t="s">
        <v>296</v>
      </c>
      <c r="B729" s="5" t="s">
        <v>61</v>
      </c>
      <c r="C729" s="5" t="n">
        <v>2019</v>
      </c>
      <c r="D729" s="5" t="s">
        <v>59</v>
      </c>
      <c r="E729" s="5" t="s">
        <v>55</v>
      </c>
      <c r="F729" s="5" t="s">
        <v>39</v>
      </c>
      <c r="G729" s="6" t="n">
        <v>522</v>
      </c>
      <c r="H729" s="6" t="n">
        <v>87</v>
      </c>
      <c r="I729" s="7" t="n">
        <f aca="false">(G729-H729)/G729</f>
        <v>0.833333333333333</v>
      </c>
      <c r="J729" s="15" t="n">
        <v>0.5661</v>
      </c>
      <c r="K729" s="11" t="str">
        <f aca="false">IF(I729&lt;J729,"TAK","NIE")</f>
        <v>NIE</v>
      </c>
    </row>
    <row r="730" customFormat="false" ht="15" hidden="false" customHeight="false" outlineLevel="0" collapsed="false">
      <c r="A730" s="5" t="s">
        <v>297</v>
      </c>
      <c r="B730" s="5" t="s">
        <v>61</v>
      </c>
      <c r="C730" s="5" t="n">
        <v>2019</v>
      </c>
      <c r="D730" s="5" t="s">
        <v>59</v>
      </c>
      <c r="E730" s="5" t="s">
        <v>55</v>
      </c>
      <c r="F730" s="5" t="s">
        <v>39</v>
      </c>
      <c r="G730" s="6" t="n">
        <v>522</v>
      </c>
      <c r="H730" s="6" t="n">
        <v>79</v>
      </c>
      <c r="I730" s="7" t="n">
        <f aca="false">(G730-H730)/G730</f>
        <v>0.848659003831418</v>
      </c>
      <c r="J730" s="15" t="n">
        <v>0.5661</v>
      </c>
      <c r="K730" s="11" t="str">
        <f aca="false">IF(I730&lt;J730,"TAK","NIE")</f>
        <v>NIE</v>
      </c>
    </row>
    <row r="731" customFormat="false" ht="15" hidden="false" customHeight="false" outlineLevel="0" collapsed="false">
      <c r="A731" s="5" t="s">
        <v>298</v>
      </c>
      <c r="B731" s="5" t="s">
        <v>61</v>
      </c>
      <c r="C731" s="5" t="n">
        <v>2019</v>
      </c>
      <c r="D731" s="5" t="s">
        <v>59</v>
      </c>
      <c r="E731" s="5" t="s">
        <v>55</v>
      </c>
      <c r="F731" s="5" t="s">
        <v>39</v>
      </c>
      <c r="G731" s="6" t="n">
        <v>522</v>
      </c>
      <c r="H731" s="6" t="n">
        <v>32</v>
      </c>
      <c r="I731" s="7" t="n">
        <f aca="false">(G731-H731)/G731</f>
        <v>0.938697318007663</v>
      </c>
      <c r="J731" s="15" t="n">
        <v>0.5661</v>
      </c>
      <c r="K731" s="11" t="str">
        <f aca="false">IF(I731&lt;J731,"TAK","NIE")</f>
        <v>NIE</v>
      </c>
    </row>
    <row r="732" customFormat="false" ht="15" hidden="false" customHeight="false" outlineLevel="0" collapsed="false">
      <c r="A732" s="5" t="s">
        <v>299</v>
      </c>
      <c r="B732" s="5" t="s">
        <v>61</v>
      </c>
      <c r="C732" s="5" t="n">
        <v>2019</v>
      </c>
      <c r="D732" s="5" t="s">
        <v>59</v>
      </c>
      <c r="E732" s="5" t="s">
        <v>55</v>
      </c>
      <c r="F732" s="5" t="s">
        <v>39</v>
      </c>
      <c r="G732" s="6" t="n">
        <v>522</v>
      </c>
      <c r="H732" s="6" t="n">
        <v>202</v>
      </c>
      <c r="I732" s="7" t="n">
        <f aca="false">(G732-H732)/G732</f>
        <v>0.613026819923372</v>
      </c>
      <c r="J732" s="15" t="n">
        <v>0.5661</v>
      </c>
      <c r="K732" s="11" t="str">
        <f aca="false">IF(I732&lt;J732,"TAK","NIE")</f>
        <v>NIE</v>
      </c>
    </row>
    <row r="733" customFormat="false" ht="15" hidden="false" customHeight="false" outlineLevel="0" collapsed="false">
      <c r="A733" s="5" t="s">
        <v>300</v>
      </c>
      <c r="B733" s="5" t="s">
        <v>61</v>
      </c>
      <c r="C733" s="5" t="n">
        <v>2019</v>
      </c>
      <c r="D733" s="5" t="s">
        <v>59</v>
      </c>
      <c r="E733" s="5" t="s">
        <v>55</v>
      </c>
      <c r="F733" s="5" t="s">
        <v>39</v>
      </c>
      <c r="G733" s="6" t="n">
        <v>522</v>
      </c>
      <c r="H733" s="6" t="n">
        <v>182</v>
      </c>
      <c r="I733" s="7" t="n">
        <f aca="false">(G733-H733)/G733</f>
        <v>0.651340996168582</v>
      </c>
      <c r="J733" s="15" t="n">
        <v>0.5661</v>
      </c>
      <c r="K733" s="11" t="str">
        <f aca="false">IF(I733&lt;J733,"TAK","NIE")</f>
        <v>NIE</v>
      </c>
    </row>
    <row r="734" customFormat="false" ht="15" hidden="false" customHeight="false" outlineLevel="0" collapsed="false">
      <c r="A734" s="5" t="s">
        <v>301</v>
      </c>
      <c r="B734" s="5" t="s">
        <v>61</v>
      </c>
      <c r="C734" s="5" t="n">
        <v>2019</v>
      </c>
      <c r="D734" s="5" t="s">
        <v>59</v>
      </c>
      <c r="E734" s="5" t="s">
        <v>55</v>
      </c>
      <c r="F734" s="5" t="s">
        <v>39</v>
      </c>
      <c r="G734" s="6" t="n">
        <v>522</v>
      </c>
      <c r="H734" s="6" t="n">
        <v>88</v>
      </c>
      <c r="I734" s="7" t="n">
        <f aca="false">(G734-H734)/G734</f>
        <v>0.831417624521073</v>
      </c>
      <c r="J734" s="15" t="n">
        <v>0.5661</v>
      </c>
      <c r="K734" s="11" t="str">
        <f aca="false">IF(I734&lt;J734,"TAK","NIE")</f>
        <v>NIE</v>
      </c>
    </row>
    <row r="735" customFormat="false" ht="15" hidden="false" customHeight="false" outlineLevel="0" collapsed="false">
      <c r="A735" s="5" t="s">
        <v>302</v>
      </c>
      <c r="B735" s="5" t="s">
        <v>61</v>
      </c>
      <c r="C735" s="5" t="n">
        <v>2019</v>
      </c>
      <c r="D735" s="5" t="s">
        <v>59</v>
      </c>
      <c r="E735" s="5" t="s">
        <v>55</v>
      </c>
      <c r="F735" s="5" t="s">
        <v>39</v>
      </c>
      <c r="G735" s="6" t="n">
        <v>522</v>
      </c>
      <c r="H735" s="6" t="n">
        <v>29</v>
      </c>
      <c r="I735" s="7" t="n">
        <f aca="false">(G735-H735)/G735</f>
        <v>0.944444444444444</v>
      </c>
      <c r="J735" s="15" t="n">
        <v>0.5661</v>
      </c>
      <c r="K735" s="11" t="str">
        <f aca="false">IF(I735&lt;J735,"TAK","NIE")</f>
        <v>NIE</v>
      </c>
    </row>
    <row r="736" customFormat="false" ht="15" hidden="false" customHeight="false" outlineLevel="0" collapsed="false">
      <c r="A736" s="5" t="s">
        <v>303</v>
      </c>
      <c r="B736" s="5" t="s">
        <v>61</v>
      </c>
      <c r="C736" s="5" t="n">
        <v>2019</v>
      </c>
      <c r="D736" s="5" t="s">
        <v>59</v>
      </c>
      <c r="E736" s="5" t="s">
        <v>55</v>
      </c>
      <c r="F736" s="5" t="s">
        <v>39</v>
      </c>
      <c r="G736" s="6" t="n">
        <v>522</v>
      </c>
      <c r="H736" s="6" t="n">
        <v>118</v>
      </c>
      <c r="I736" s="7" t="n">
        <f aca="false">(G736-H736)/G736</f>
        <v>0.773946360153257</v>
      </c>
      <c r="J736" s="15" t="n">
        <v>0.5661</v>
      </c>
      <c r="K736" s="11" t="str">
        <f aca="false">IF(I736&lt;J736,"TAK","NIE")</f>
        <v>NIE</v>
      </c>
    </row>
    <row r="737" customFormat="false" ht="15" hidden="false" customHeight="false" outlineLevel="0" collapsed="false">
      <c r="A737" s="5" t="s">
        <v>304</v>
      </c>
      <c r="B737" s="5" t="s">
        <v>61</v>
      </c>
      <c r="C737" s="5" t="n">
        <v>2019</v>
      </c>
      <c r="D737" s="5" t="s">
        <v>59</v>
      </c>
      <c r="E737" s="5" t="s">
        <v>55</v>
      </c>
      <c r="F737" s="5" t="s">
        <v>39</v>
      </c>
      <c r="G737" s="6" t="n">
        <v>522</v>
      </c>
      <c r="H737" s="6" t="n">
        <v>40</v>
      </c>
      <c r="I737" s="7" t="n">
        <f aca="false">(G737-H737)/G737</f>
        <v>0.923371647509579</v>
      </c>
      <c r="J737" s="15" t="n">
        <v>0.5661</v>
      </c>
      <c r="K737" s="11" t="str">
        <f aca="false">IF(I737&lt;J737,"TAK","NIE")</f>
        <v>NIE</v>
      </c>
    </row>
    <row r="738" customFormat="false" ht="15" hidden="false" customHeight="false" outlineLevel="0" collapsed="false">
      <c r="A738" s="5" t="s">
        <v>305</v>
      </c>
      <c r="B738" s="5" t="s">
        <v>61</v>
      </c>
      <c r="C738" s="5" t="n">
        <v>2019</v>
      </c>
      <c r="D738" s="5" t="s">
        <v>59</v>
      </c>
      <c r="E738" s="5" t="s">
        <v>55</v>
      </c>
      <c r="F738" s="5" t="s">
        <v>39</v>
      </c>
      <c r="G738" s="6" t="n">
        <v>522</v>
      </c>
      <c r="H738" s="6" t="n">
        <v>12</v>
      </c>
      <c r="I738" s="7" t="n">
        <f aca="false">(G738-H738)/G738</f>
        <v>0.977011494252874</v>
      </c>
      <c r="J738" s="15" t="n">
        <v>0.5661</v>
      </c>
      <c r="K738" s="11" t="str">
        <f aca="false">IF(I738&lt;J738,"TAK","NIE")</f>
        <v>NIE</v>
      </c>
    </row>
    <row r="739" customFormat="false" ht="15" hidden="false" customHeight="false" outlineLevel="0" collapsed="false">
      <c r="A739" s="5" t="s">
        <v>306</v>
      </c>
      <c r="B739" s="5" t="s">
        <v>61</v>
      </c>
      <c r="C739" s="5" t="n">
        <v>2019</v>
      </c>
      <c r="D739" s="5" t="s">
        <v>59</v>
      </c>
      <c r="E739" s="5" t="s">
        <v>55</v>
      </c>
      <c r="F739" s="5" t="s">
        <v>39</v>
      </c>
      <c r="G739" s="6" t="n">
        <v>522</v>
      </c>
      <c r="H739" s="6" t="n">
        <v>218</v>
      </c>
      <c r="I739" s="7" t="n">
        <f aca="false">(G739-H739)/G739</f>
        <v>0.582375478927203</v>
      </c>
      <c r="J739" s="15" t="n">
        <v>0.5661</v>
      </c>
      <c r="K739" s="11" t="str">
        <f aca="false">IF(I739&lt;J739,"TAK","NIE")</f>
        <v>NIE</v>
      </c>
    </row>
    <row r="740" customFormat="false" ht="15" hidden="false" customHeight="false" outlineLevel="0" collapsed="false">
      <c r="A740" s="5" t="s">
        <v>307</v>
      </c>
      <c r="B740" s="5" t="s">
        <v>61</v>
      </c>
      <c r="C740" s="5" t="n">
        <v>2019</v>
      </c>
      <c r="D740" s="5" t="s">
        <v>59</v>
      </c>
      <c r="E740" s="5" t="s">
        <v>55</v>
      </c>
      <c r="F740" s="5" t="s">
        <v>39</v>
      </c>
      <c r="G740" s="6" t="n">
        <v>522</v>
      </c>
      <c r="H740" s="6" t="n">
        <v>12</v>
      </c>
      <c r="I740" s="7" t="n">
        <f aca="false">(G740-H740)/G740</f>
        <v>0.977011494252874</v>
      </c>
      <c r="J740" s="15" t="n">
        <v>0.5661</v>
      </c>
      <c r="K740" s="11" t="str">
        <f aca="false">IF(I740&lt;J740,"TAK","NIE")</f>
        <v>NIE</v>
      </c>
    </row>
    <row r="741" customFormat="false" ht="15" hidden="false" customHeight="false" outlineLevel="0" collapsed="false">
      <c r="A741" s="5" t="s">
        <v>308</v>
      </c>
      <c r="B741" s="5" t="s">
        <v>61</v>
      </c>
      <c r="C741" s="5" t="n">
        <v>2019</v>
      </c>
      <c r="D741" s="5" t="s">
        <v>59</v>
      </c>
      <c r="E741" s="5" t="s">
        <v>55</v>
      </c>
      <c r="F741" s="5" t="s">
        <v>39</v>
      </c>
      <c r="G741" s="6" t="n">
        <v>522</v>
      </c>
      <c r="H741" s="6" t="n">
        <v>75</v>
      </c>
      <c r="I741" s="7" t="n">
        <f aca="false">(G741-H741)/G741</f>
        <v>0.85632183908046</v>
      </c>
      <c r="J741" s="15" t="n">
        <v>0.5661</v>
      </c>
      <c r="K741" s="11" t="str">
        <f aca="false">IF(I741&lt;J741,"TAK","NIE")</f>
        <v>NIE</v>
      </c>
    </row>
    <row r="742" customFormat="false" ht="15" hidden="false" customHeight="false" outlineLevel="0" collapsed="false">
      <c r="A742" s="5" t="s">
        <v>309</v>
      </c>
      <c r="B742" s="5" t="s">
        <v>61</v>
      </c>
      <c r="C742" s="5" t="n">
        <v>2019</v>
      </c>
      <c r="D742" s="5" t="s">
        <v>59</v>
      </c>
      <c r="E742" s="5" t="s">
        <v>55</v>
      </c>
      <c r="F742" s="5" t="s">
        <v>39</v>
      </c>
      <c r="G742" s="6" t="n">
        <v>522</v>
      </c>
      <c r="H742" s="6" t="n">
        <v>10</v>
      </c>
      <c r="I742" s="7" t="n">
        <f aca="false">(G742-H742)/G742</f>
        <v>0.980842911877395</v>
      </c>
      <c r="J742" s="15" t="n">
        <v>0.5661</v>
      </c>
      <c r="K742" s="11" t="str">
        <f aca="false">IF(I742&lt;J742,"TAK","NIE")</f>
        <v>NIE</v>
      </c>
    </row>
    <row r="743" customFormat="false" ht="15" hidden="false" customHeight="false" outlineLevel="0" collapsed="false">
      <c r="A743" s="5" t="s">
        <v>310</v>
      </c>
      <c r="B743" s="5" t="s">
        <v>61</v>
      </c>
      <c r="C743" s="5" t="n">
        <v>2019</v>
      </c>
      <c r="D743" s="5" t="s">
        <v>59</v>
      </c>
      <c r="E743" s="5" t="s">
        <v>55</v>
      </c>
      <c r="F743" s="5" t="s">
        <v>39</v>
      </c>
      <c r="G743" s="6" t="n">
        <v>522</v>
      </c>
      <c r="H743" s="6" t="n">
        <v>108</v>
      </c>
      <c r="I743" s="7" t="n">
        <f aca="false">(G743-H743)/G743</f>
        <v>0.793103448275862</v>
      </c>
      <c r="J743" s="15" t="n">
        <v>0.5661</v>
      </c>
      <c r="K743" s="11" t="str">
        <f aca="false">IF(I743&lt;J743,"TAK","NIE")</f>
        <v>NIE</v>
      </c>
    </row>
    <row r="744" customFormat="false" ht="15" hidden="false" customHeight="false" outlineLevel="0" collapsed="false">
      <c r="A744" s="5" t="s">
        <v>311</v>
      </c>
      <c r="B744" s="5" t="s">
        <v>61</v>
      </c>
      <c r="C744" s="5" t="n">
        <v>2019</v>
      </c>
      <c r="D744" s="5" t="s">
        <v>59</v>
      </c>
      <c r="E744" s="5" t="s">
        <v>55</v>
      </c>
      <c r="F744" s="5" t="s">
        <v>39</v>
      </c>
      <c r="G744" s="6" t="n">
        <v>522</v>
      </c>
      <c r="H744" s="6" t="n">
        <v>148</v>
      </c>
      <c r="I744" s="7" t="n">
        <f aca="false">(G744-H744)/G744</f>
        <v>0.716475095785441</v>
      </c>
      <c r="J744" s="15" t="n">
        <v>0.5661</v>
      </c>
      <c r="K744" s="11" t="str">
        <f aca="false">IF(I744&lt;J744,"TAK","NIE")</f>
        <v>NIE</v>
      </c>
    </row>
    <row r="745" customFormat="false" ht="15" hidden="false" customHeight="false" outlineLevel="0" collapsed="false">
      <c r="A745" s="5" t="s">
        <v>312</v>
      </c>
      <c r="B745" s="5" t="s">
        <v>61</v>
      </c>
      <c r="C745" s="5" t="n">
        <v>2019</v>
      </c>
      <c r="D745" s="5" t="s">
        <v>59</v>
      </c>
      <c r="E745" s="5" t="s">
        <v>55</v>
      </c>
      <c r="F745" s="5" t="s">
        <v>39</v>
      </c>
      <c r="G745" s="6" t="n">
        <v>522</v>
      </c>
      <c r="H745" s="6" t="n">
        <v>113</v>
      </c>
      <c r="I745" s="7" t="n">
        <f aca="false">(G745-H745)/G745</f>
        <v>0.783524904214559</v>
      </c>
      <c r="J745" s="15" t="n">
        <v>0.5661</v>
      </c>
      <c r="K745" s="11" t="str">
        <f aca="false">IF(I745&lt;J745,"TAK","NIE")</f>
        <v>NIE</v>
      </c>
    </row>
    <row r="746" customFormat="false" ht="15" hidden="false" customHeight="false" outlineLevel="0" collapsed="false">
      <c r="A746" s="5" t="s">
        <v>313</v>
      </c>
      <c r="B746" s="5" t="s">
        <v>61</v>
      </c>
      <c r="C746" s="5" t="n">
        <v>2019</v>
      </c>
      <c r="D746" s="5" t="s">
        <v>59</v>
      </c>
      <c r="E746" s="5" t="s">
        <v>55</v>
      </c>
      <c r="F746" s="5" t="s">
        <v>39</v>
      </c>
      <c r="G746" s="6" t="n">
        <v>522</v>
      </c>
      <c r="H746" s="6" t="n">
        <v>53</v>
      </c>
      <c r="I746" s="7" t="n">
        <f aca="false">(G746-H746)/G746</f>
        <v>0.898467432950192</v>
      </c>
      <c r="J746" s="15" t="n">
        <v>0.5661</v>
      </c>
      <c r="K746" s="11" t="str">
        <f aca="false">IF(I746&lt;J746,"TAK","NIE")</f>
        <v>NIE</v>
      </c>
    </row>
    <row r="747" customFormat="false" ht="15" hidden="false" customHeight="false" outlineLevel="0" collapsed="false">
      <c r="A747" s="5" t="s">
        <v>314</v>
      </c>
      <c r="B747" s="5" t="s">
        <v>61</v>
      </c>
      <c r="C747" s="5" t="n">
        <v>2019</v>
      </c>
      <c r="D747" s="5" t="s">
        <v>59</v>
      </c>
      <c r="E747" s="5" t="s">
        <v>55</v>
      </c>
      <c r="F747" s="5" t="s">
        <v>39</v>
      </c>
      <c r="G747" s="6" t="n">
        <v>522</v>
      </c>
      <c r="H747" s="6" t="n">
        <v>131</v>
      </c>
      <c r="I747" s="7" t="n">
        <f aca="false">(G747-H747)/G747</f>
        <v>0.74904214559387</v>
      </c>
      <c r="J747" s="15" t="n">
        <v>0.5661</v>
      </c>
      <c r="K747" s="11" t="str">
        <f aca="false">IF(I747&lt;J747,"TAK","NIE")</f>
        <v>NIE</v>
      </c>
    </row>
    <row r="748" customFormat="false" ht="15" hidden="false" customHeight="false" outlineLevel="0" collapsed="false">
      <c r="A748" s="5" t="s">
        <v>293</v>
      </c>
      <c r="B748" s="5" t="s">
        <v>61</v>
      </c>
      <c r="C748" s="5" t="n">
        <v>2019</v>
      </c>
      <c r="D748" s="5" t="s">
        <v>59</v>
      </c>
      <c r="E748" s="5" t="s">
        <v>55</v>
      </c>
      <c r="F748" s="5" t="s">
        <v>40</v>
      </c>
      <c r="G748" s="6" t="n">
        <v>407</v>
      </c>
      <c r="H748" s="6" t="n">
        <v>124</v>
      </c>
      <c r="I748" s="7" t="n">
        <f aca="false">(G748-H748)/G748</f>
        <v>0.695331695331695</v>
      </c>
      <c r="J748" s="15" t="n">
        <v>0.4107</v>
      </c>
      <c r="K748" s="11" t="str">
        <f aca="false">IF(I748&lt;J748,"TAK","NIE")</f>
        <v>NIE</v>
      </c>
    </row>
    <row r="749" customFormat="false" ht="15" hidden="false" customHeight="false" outlineLevel="0" collapsed="false">
      <c r="A749" s="5" t="s">
        <v>294</v>
      </c>
      <c r="B749" s="5" t="s">
        <v>61</v>
      </c>
      <c r="C749" s="5" t="n">
        <v>2019</v>
      </c>
      <c r="D749" s="5" t="s">
        <v>59</v>
      </c>
      <c r="E749" s="5" t="s">
        <v>55</v>
      </c>
      <c r="F749" s="5" t="s">
        <v>40</v>
      </c>
      <c r="G749" s="6" t="n">
        <v>407</v>
      </c>
      <c r="H749" s="6" t="n">
        <v>145</v>
      </c>
      <c r="I749" s="7" t="n">
        <f aca="false">(G749-H749)/G749</f>
        <v>0.643734643734644</v>
      </c>
      <c r="J749" s="15" t="n">
        <v>0.4107</v>
      </c>
      <c r="K749" s="11" t="str">
        <f aca="false">IF(I749&lt;J749,"TAK","NIE")</f>
        <v>NIE</v>
      </c>
    </row>
    <row r="750" customFormat="false" ht="15" hidden="false" customHeight="false" outlineLevel="0" collapsed="false">
      <c r="A750" s="5" t="s">
        <v>295</v>
      </c>
      <c r="B750" s="5" t="s">
        <v>61</v>
      </c>
      <c r="C750" s="5" t="n">
        <v>2019</v>
      </c>
      <c r="D750" s="5" t="s">
        <v>59</v>
      </c>
      <c r="E750" s="5" t="s">
        <v>55</v>
      </c>
      <c r="F750" s="5" t="s">
        <v>40</v>
      </c>
      <c r="G750" s="6" t="n">
        <v>407</v>
      </c>
      <c r="H750" s="6" t="n">
        <v>109</v>
      </c>
      <c r="I750" s="7" t="n">
        <f aca="false">(G750-H750)/G750</f>
        <v>0.732186732186732</v>
      </c>
      <c r="J750" s="15" t="n">
        <v>0.4107</v>
      </c>
      <c r="K750" s="11" t="str">
        <f aca="false">IF(I750&lt;J750,"TAK","NIE")</f>
        <v>NIE</v>
      </c>
    </row>
    <row r="751" customFormat="false" ht="15" hidden="false" customHeight="false" outlineLevel="0" collapsed="false">
      <c r="A751" s="5" t="s">
        <v>296</v>
      </c>
      <c r="B751" s="5" t="s">
        <v>61</v>
      </c>
      <c r="C751" s="5" t="n">
        <v>2019</v>
      </c>
      <c r="D751" s="5" t="s">
        <v>59</v>
      </c>
      <c r="E751" s="5" t="s">
        <v>55</v>
      </c>
      <c r="F751" s="5" t="s">
        <v>40</v>
      </c>
      <c r="G751" s="6" t="n">
        <v>407</v>
      </c>
      <c r="H751" s="6" t="n">
        <v>172</v>
      </c>
      <c r="I751" s="7" t="n">
        <f aca="false">(G751-H751)/G751</f>
        <v>0.577395577395577</v>
      </c>
      <c r="J751" s="15" t="n">
        <v>0.4107</v>
      </c>
      <c r="K751" s="11" t="str">
        <f aca="false">IF(I751&lt;J751,"TAK","NIE")</f>
        <v>NIE</v>
      </c>
    </row>
    <row r="752" customFormat="false" ht="15" hidden="false" customHeight="false" outlineLevel="0" collapsed="false">
      <c r="A752" s="5" t="s">
        <v>297</v>
      </c>
      <c r="B752" s="5" t="s">
        <v>61</v>
      </c>
      <c r="C752" s="5" t="n">
        <v>2019</v>
      </c>
      <c r="D752" s="5" t="s">
        <v>59</v>
      </c>
      <c r="E752" s="5" t="s">
        <v>55</v>
      </c>
      <c r="F752" s="5" t="s">
        <v>40</v>
      </c>
      <c r="G752" s="6" t="n">
        <v>407</v>
      </c>
      <c r="H752" s="6" t="n">
        <v>94</v>
      </c>
      <c r="I752" s="7" t="n">
        <f aca="false">(G752-H752)/G752</f>
        <v>0.769041769041769</v>
      </c>
      <c r="J752" s="15" t="n">
        <v>0.4107</v>
      </c>
      <c r="K752" s="11" t="str">
        <f aca="false">IF(I752&lt;J752,"TAK","NIE")</f>
        <v>NIE</v>
      </c>
    </row>
    <row r="753" customFormat="false" ht="15" hidden="false" customHeight="false" outlineLevel="0" collapsed="false">
      <c r="A753" s="5" t="s">
        <v>298</v>
      </c>
      <c r="B753" s="5" t="s">
        <v>61</v>
      </c>
      <c r="C753" s="5" t="n">
        <v>2019</v>
      </c>
      <c r="D753" s="5" t="s">
        <v>59</v>
      </c>
      <c r="E753" s="5" t="s">
        <v>55</v>
      </c>
      <c r="F753" s="5" t="s">
        <v>40</v>
      </c>
      <c r="G753" s="6" t="n">
        <v>407</v>
      </c>
      <c r="H753" s="6" t="n">
        <v>152</v>
      </c>
      <c r="I753" s="7" t="n">
        <f aca="false">(G753-H753)/G753</f>
        <v>0.626535626535627</v>
      </c>
      <c r="J753" s="15" t="n">
        <v>0.4107</v>
      </c>
      <c r="K753" s="11" t="str">
        <f aca="false">IF(I753&lt;J753,"TAK","NIE")</f>
        <v>NIE</v>
      </c>
    </row>
    <row r="754" customFormat="false" ht="15" hidden="false" customHeight="false" outlineLevel="0" collapsed="false">
      <c r="A754" s="5" t="s">
        <v>299</v>
      </c>
      <c r="B754" s="5" t="s">
        <v>61</v>
      </c>
      <c r="C754" s="5" t="n">
        <v>2019</v>
      </c>
      <c r="D754" s="5" t="s">
        <v>59</v>
      </c>
      <c r="E754" s="5" t="s">
        <v>55</v>
      </c>
      <c r="F754" s="5" t="s">
        <v>40</v>
      </c>
      <c r="G754" s="6" t="n">
        <v>407</v>
      </c>
      <c r="H754" s="6" t="n">
        <v>183</v>
      </c>
      <c r="I754" s="7" t="n">
        <f aca="false">(G754-H754)/G754</f>
        <v>0.55036855036855</v>
      </c>
      <c r="J754" s="15" t="n">
        <v>0.4107</v>
      </c>
      <c r="K754" s="11" t="str">
        <f aca="false">IF(I754&lt;J754,"TAK","NIE")</f>
        <v>NIE</v>
      </c>
    </row>
    <row r="755" customFormat="false" ht="15" hidden="false" customHeight="false" outlineLevel="0" collapsed="false">
      <c r="A755" s="5" t="s">
        <v>300</v>
      </c>
      <c r="B755" s="5" t="s">
        <v>61</v>
      </c>
      <c r="C755" s="5" t="n">
        <v>2019</v>
      </c>
      <c r="D755" s="5" t="s">
        <v>59</v>
      </c>
      <c r="E755" s="5" t="s">
        <v>55</v>
      </c>
      <c r="F755" s="5" t="s">
        <v>40</v>
      </c>
      <c r="G755" s="6" t="n">
        <v>407</v>
      </c>
      <c r="H755" s="6" t="n">
        <v>159</v>
      </c>
      <c r="I755" s="7" t="n">
        <f aca="false">(G755-H755)/G755</f>
        <v>0.609336609336609</v>
      </c>
      <c r="J755" s="15" t="n">
        <v>0.4107</v>
      </c>
      <c r="K755" s="11" t="str">
        <f aca="false">IF(I755&lt;J755,"TAK","NIE")</f>
        <v>NIE</v>
      </c>
    </row>
    <row r="756" customFormat="false" ht="15" hidden="false" customHeight="false" outlineLevel="0" collapsed="false">
      <c r="A756" s="5" t="s">
        <v>301</v>
      </c>
      <c r="B756" s="5" t="s">
        <v>61</v>
      </c>
      <c r="C756" s="5" t="n">
        <v>2019</v>
      </c>
      <c r="D756" s="5" t="s">
        <v>59</v>
      </c>
      <c r="E756" s="5" t="s">
        <v>55</v>
      </c>
      <c r="F756" s="5" t="s">
        <v>40</v>
      </c>
      <c r="G756" s="6" t="n">
        <v>407</v>
      </c>
      <c r="H756" s="6" t="n">
        <v>187</v>
      </c>
      <c r="I756" s="7" t="n">
        <f aca="false">(G756-H756)/G756</f>
        <v>0.540540540540541</v>
      </c>
      <c r="J756" s="15" t="n">
        <v>0.4107</v>
      </c>
      <c r="K756" s="11" t="str">
        <f aca="false">IF(I756&lt;J756,"TAK","NIE")</f>
        <v>NIE</v>
      </c>
    </row>
    <row r="757" customFormat="false" ht="15" hidden="false" customHeight="false" outlineLevel="0" collapsed="false">
      <c r="A757" s="5" t="s">
        <v>302</v>
      </c>
      <c r="B757" s="5" t="s">
        <v>61</v>
      </c>
      <c r="C757" s="5" t="n">
        <v>2019</v>
      </c>
      <c r="D757" s="5" t="s">
        <v>59</v>
      </c>
      <c r="E757" s="5" t="s">
        <v>55</v>
      </c>
      <c r="F757" s="5" t="s">
        <v>40</v>
      </c>
      <c r="G757" s="6" t="n">
        <v>407</v>
      </c>
      <c r="H757" s="6" t="n">
        <v>141</v>
      </c>
      <c r="I757" s="7" t="n">
        <f aca="false">(G757-H757)/G757</f>
        <v>0.653562653562654</v>
      </c>
      <c r="J757" s="15" t="n">
        <v>0.4107</v>
      </c>
      <c r="K757" s="11" t="str">
        <f aca="false">IF(I757&lt;J757,"TAK","NIE")</f>
        <v>NIE</v>
      </c>
    </row>
    <row r="758" customFormat="false" ht="15" hidden="false" customHeight="false" outlineLevel="0" collapsed="false">
      <c r="A758" s="5" t="s">
        <v>303</v>
      </c>
      <c r="B758" s="5" t="s">
        <v>61</v>
      </c>
      <c r="C758" s="5" t="n">
        <v>2019</v>
      </c>
      <c r="D758" s="5" t="s">
        <v>59</v>
      </c>
      <c r="E758" s="5" t="s">
        <v>55</v>
      </c>
      <c r="F758" s="5" t="s">
        <v>40</v>
      </c>
      <c r="G758" s="6" t="n">
        <v>407</v>
      </c>
      <c r="H758" s="6" t="n">
        <v>148</v>
      </c>
      <c r="I758" s="7" t="n">
        <f aca="false">(G758-H758)/G758</f>
        <v>0.636363636363636</v>
      </c>
      <c r="J758" s="15" t="n">
        <v>0.4107</v>
      </c>
      <c r="K758" s="11" t="str">
        <f aca="false">IF(I758&lt;J758,"TAK","NIE")</f>
        <v>NIE</v>
      </c>
    </row>
    <row r="759" customFormat="false" ht="15" hidden="false" customHeight="false" outlineLevel="0" collapsed="false">
      <c r="A759" s="5" t="s">
        <v>304</v>
      </c>
      <c r="B759" s="5" t="s">
        <v>61</v>
      </c>
      <c r="C759" s="5" t="n">
        <v>2019</v>
      </c>
      <c r="D759" s="5" t="s">
        <v>59</v>
      </c>
      <c r="E759" s="5" t="s">
        <v>55</v>
      </c>
      <c r="F759" s="5" t="s">
        <v>40</v>
      </c>
      <c r="G759" s="6" t="n">
        <v>407</v>
      </c>
      <c r="H759" s="6" t="n">
        <v>98</v>
      </c>
      <c r="I759" s="7" t="n">
        <f aca="false">(G759-H759)/G759</f>
        <v>0.759213759213759</v>
      </c>
      <c r="J759" s="15" t="n">
        <v>0.4107</v>
      </c>
      <c r="K759" s="11" t="str">
        <f aca="false">IF(I759&lt;J759,"TAK","NIE")</f>
        <v>NIE</v>
      </c>
    </row>
    <row r="760" customFormat="false" ht="15" hidden="false" customHeight="false" outlineLevel="0" collapsed="false">
      <c r="A760" s="5" t="s">
        <v>305</v>
      </c>
      <c r="B760" s="5" t="s">
        <v>61</v>
      </c>
      <c r="C760" s="5" t="n">
        <v>2019</v>
      </c>
      <c r="D760" s="5" t="s">
        <v>59</v>
      </c>
      <c r="E760" s="5" t="s">
        <v>55</v>
      </c>
      <c r="F760" s="5" t="s">
        <v>40</v>
      </c>
      <c r="G760" s="6" t="n">
        <v>407</v>
      </c>
      <c r="H760" s="6" t="n">
        <v>80</v>
      </c>
      <c r="I760" s="7" t="n">
        <f aca="false">(G760-H760)/G760</f>
        <v>0.803439803439804</v>
      </c>
      <c r="J760" s="15" t="n">
        <v>0.4107</v>
      </c>
      <c r="K760" s="11" t="str">
        <f aca="false">IF(I760&lt;J760,"TAK","NIE")</f>
        <v>NIE</v>
      </c>
    </row>
    <row r="761" customFormat="false" ht="15" hidden="false" customHeight="false" outlineLevel="0" collapsed="false">
      <c r="A761" s="5" t="s">
        <v>306</v>
      </c>
      <c r="B761" s="5" t="s">
        <v>61</v>
      </c>
      <c r="C761" s="5" t="n">
        <v>2019</v>
      </c>
      <c r="D761" s="5" t="s">
        <v>59</v>
      </c>
      <c r="E761" s="5" t="s">
        <v>55</v>
      </c>
      <c r="F761" s="5" t="s">
        <v>40</v>
      </c>
      <c r="G761" s="6" t="n">
        <v>407</v>
      </c>
      <c r="H761" s="6" t="n">
        <v>94</v>
      </c>
      <c r="I761" s="7" t="n">
        <f aca="false">(G761-H761)/G761</f>
        <v>0.769041769041769</v>
      </c>
      <c r="J761" s="15" t="n">
        <v>0.4107</v>
      </c>
      <c r="K761" s="11" t="str">
        <f aca="false">IF(I761&lt;J761,"TAK","NIE")</f>
        <v>NIE</v>
      </c>
    </row>
    <row r="762" customFormat="false" ht="15" hidden="false" customHeight="false" outlineLevel="0" collapsed="false">
      <c r="A762" s="5" t="s">
        <v>307</v>
      </c>
      <c r="B762" s="5" t="s">
        <v>61</v>
      </c>
      <c r="C762" s="5" t="n">
        <v>2019</v>
      </c>
      <c r="D762" s="5" t="s">
        <v>59</v>
      </c>
      <c r="E762" s="5" t="s">
        <v>55</v>
      </c>
      <c r="F762" s="5" t="s">
        <v>40</v>
      </c>
      <c r="G762" s="6" t="n">
        <v>407</v>
      </c>
      <c r="H762" s="6" t="n">
        <v>132</v>
      </c>
      <c r="I762" s="7" t="n">
        <f aca="false">(G762-H762)/G762</f>
        <v>0.675675675675676</v>
      </c>
      <c r="J762" s="15" t="n">
        <v>0.4107</v>
      </c>
      <c r="K762" s="11" t="str">
        <f aca="false">IF(I762&lt;J762,"TAK","NIE")</f>
        <v>NIE</v>
      </c>
    </row>
    <row r="763" customFormat="false" ht="15" hidden="false" customHeight="false" outlineLevel="0" collapsed="false">
      <c r="A763" s="5" t="s">
        <v>308</v>
      </c>
      <c r="B763" s="5" t="s">
        <v>61</v>
      </c>
      <c r="C763" s="5" t="n">
        <v>2019</v>
      </c>
      <c r="D763" s="5" t="s">
        <v>59</v>
      </c>
      <c r="E763" s="5" t="s">
        <v>55</v>
      </c>
      <c r="F763" s="5" t="s">
        <v>40</v>
      </c>
      <c r="G763" s="6" t="n">
        <v>407</v>
      </c>
      <c r="H763" s="6" t="n">
        <v>157</v>
      </c>
      <c r="I763" s="7" t="n">
        <f aca="false">(G763-H763)/G763</f>
        <v>0.614250614250614</v>
      </c>
      <c r="J763" s="15" t="n">
        <v>0.4107</v>
      </c>
      <c r="K763" s="11" t="str">
        <f aca="false">IF(I763&lt;J763,"TAK","NIE")</f>
        <v>NIE</v>
      </c>
    </row>
    <row r="764" customFormat="false" ht="15" hidden="false" customHeight="false" outlineLevel="0" collapsed="false">
      <c r="A764" s="5" t="s">
        <v>309</v>
      </c>
      <c r="B764" s="5" t="s">
        <v>61</v>
      </c>
      <c r="C764" s="5" t="n">
        <v>2019</v>
      </c>
      <c r="D764" s="5" t="s">
        <v>59</v>
      </c>
      <c r="E764" s="5" t="s">
        <v>55</v>
      </c>
      <c r="F764" s="5" t="s">
        <v>40</v>
      </c>
      <c r="G764" s="6" t="n">
        <v>407</v>
      </c>
      <c r="H764" s="6" t="n">
        <v>61</v>
      </c>
      <c r="I764" s="7" t="n">
        <f aca="false">(G764-H764)/G764</f>
        <v>0.85012285012285</v>
      </c>
      <c r="J764" s="15" t="n">
        <v>0.4107</v>
      </c>
      <c r="K764" s="11" t="str">
        <f aca="false">IF(I764&lt;J764,"TAK","NIE")</f>
        <v>NIE</v>
      </c>
    </row>
    <row r="765" customFormat="false" ht="15" hidden="false" customHeight="false" outlineLevel="0" collapsed="false">
      <c r="A765" s="5" t="s">
        <v>310</v>
      </c>
      <c r="B765" s="5" t="s">
        <v>61</v>
      </c>
      <c r="C765" s="5" t="n">
        <v>2019</v>
      </c>
      <c r="D765" s="5" t="s">
        <v>59</v>
      </c>
      <c r="E765" s="5" t="s">
        <v>55</v>
      </c>
      <c r="F765" s="5" t="s">
        <v>40</v>
      </c>
      <c r="G765" s="6" t="n">
        <v>407</v>
      </c>
      <c r="H765" s="6" t="n">
        <v>167</v>
      </c>
      <c r="I765" s="7" t="n">
        <f aca="false">(G765-H765)/G765</f>
        <v>0.58968058968059</v>
      </c>
      <c r="J765" s="15" t="n">
        <v>0.4107</v>
      </c>
      <c r="K765" s="11" t="str">
        <f aca="false">IF(I765&lt;J765,"TAK","NIE")</f>
        <v>NIE</v>
      </c>
    </row>
    <row r="766" customFormat="false" ht="15" hidden="false" customHeight="false" outlineLevel="0" collapsed="false">
      <c r="A766" s="5" t="s">
        <v>311</v>
      </c>
      <c r="B766" s="5" t="s">
        <v>61</v>
      </c>
      <c r="C766" s="5" t="n">
        <v>2019</v>
      </c>
      <c r="D766" s="5" t="s">
        <v>59</v>
      </c>
      <c r="E766" s="5" t="s">
        <v>55</v>
      </c>
      <c r="F766" s="5" t="s">
        <v>40</v>
      </c>
      <c r="G766" s="6" t="n">
        <v>407</v>
      </c>
      <c r="H766" s="6" t="n">
        <v>111</v>
      </c>
      <c r="I766" s="7" t="n">
        <f aca="false">(G766-H766)/G766</f>
        <v>0.727272727272727</v>
      </c>
      <c r="J766" s="15" t="n">
        <v>0.4107</v>
      </c>
      <c r="K766" s="11" t="str">
        <f aca="false">IF(I766&lt;J766,"TAK","NIE")</f>
        <v>NIE</v>
      </c>
    </row>
    <row r="767" customFormat="false" ht="15" hidden="false" customHeight="false" outlineLevel="0" collapsed="false">
      <c r="A767" s="5" t="s">
        <v>312</v>
      </c>
      <c r="B767" s="5" t="s">
        <v>61</v>
      </c>
      <c r="C767" s="5" t="n">
        <v>2019</v>
      </c>
      <c r="D767" s="5" t="s">
        <v>59</v>
      </c>
      <c r="E767" s="5" t="s">
        <v>55</v>
      </c>
      <c r="F767" s="5" t="s">
        <v>40</v>
      </c>
      <c r="G767" s="6" t="n">
        <v>407</v>
      </c>
      <c r="H767" s="6" t="n">
        <v>166</v>
      </c>
      <c r="I767" s="7" t="n">
        <f aca="false">(G767-H767)/G767</f>
        <v>0.592137592137592</v>
      </c>
      <c r="J767" s="15" t="n">
        <v>0.4107</v>
      </c>
      <c r="K767" s="11" t="str">
        <f aca="false">IF(I767&lt;J767,"TAK","NIE")</f>
        <v>NIE</v>
      </c>
    </row>
    <row r="768" customFormat="false" ht="15" hidden="false" customHeight="false" outlineLevel="0" collapsed="false">
      <c r="A768" s="5" t="s">
        <v>313</v>
      </c>
      <c r="B768" s="5" t="s">
        <v>61</v>
      </c>
      <c r="C768" s="5" t="n">
        <v>2019</v>
      </c>
      <c r="D768" s="5" t="s">
        <v>59</v>
      </c>
      <c r="E768" s="5" t="s">
        <v>55</v>
      </c>
      <c r="F768" s="5" t="s">
        <v>40</v>
      </c>
      <c r="G768" s="6" t="n">
        <v>407</v>
      </c>
      <c r="H768" s="6" t="n">
        <v>103</v>
      </c>
      <c r="I768" s="7" t="n">
        <f aca="false">(G768-H768)/G768</f>
        <v>0.746928746928747</v>
      </c>
      <c r="J768" s="15" t="n">
        <v>0.4107</v>
      </c>
      <c r="K768" s="11" t="str">
        <f aca="false">IF(I768&lt;J768,"TAK","NIE")</f>
        <v>NIE</v>
      </c>
    </row>
    <row r="769" customFormat="false" ht="15" hidden="false" customHeight="false" outlineLevel="0" collapsed="false">
      <c r="A769" s="5" t="s">
        <v>314</v>
      </c>
      <c r="B769" s="5" t="s">
        <v>61</v>
      </c>
      <c r="C769" s="5" t="n">
        <v>2019</v>
      </c>
      <c r="D769" s="5" t="s">
        <v>59</v>
      </c>
      <c r="E769" s="5" t="s">
        <v>55</v>
      </c>
      <c r="F769" s="5" t="s">
        <v>40</v>
      </c>
      <c r="G769" s="6" t="n">
        <v>407</v>
      </c>
      <c r="H769" s="6" t="n">
        <v>120</v>
      </c>
      <c r="I769" s="7" t="n">
        <f aca="false">(G769-H769)/G769</f>
        <v>0.705159705159705</v>
      </c>
      <c r="J769" s="15" t="n">
        <v>0.4107</v>
      </c>
      <c r="K769" s="11" t="str">
        <f aca="false">IF(I769&lt;J769,"TAK","NIE")</f>
        <v>NIE</v>
      </c>
    </row>
    <row r="770" customFormat="false" ht="15" hidden="false" customHeight="false" outlineLevel="0" collapsed="false">
      <c r="A770" s="5" t="s">
        <v>293</v>
      </c>
      <c r="B770" s="5" t="s">
        <v>62</v>
      </c>
      <c r="C770" s="5" t="n">
        <v>2019</v>
      </c>
      <c r="D770" s="5" t="s">
        <v>59</v>
      </c>
      <c r="E770" s="5" t="s">
        <v>57</v>
      </c>
      <c r="F770" s="5" t="s">
        <v>39</v>
      </c>
      <c r="G770" s="6" t="n">
        <v>496</v>
      </c>
      <c r="H770" s="6" t="n">
        <v>36</v>
      </c>
      <c r="I770" s="7" t="n">
        <f aca="false">(G770-H770)/G770</f>
        <v>0.92741935483871</v>
      </c>
      <c r="J770" s="15" t="n">
        <v>0.6222</v>
      </c>
      <c r="K770" s="11" t="str">
        <f aca="false">IF(I770&lt;J770,"TAK","NIE")</f>
        <v>NIE</v>
      </c>
    </row>
    <row r="771" customFormat="false" ht="15" hidden="false" customHeight="false" outlineLevel="0" collapsed="false">
      <c r="A771" s="5" t="s">
        <v>294</v>
      </c>
      <c r="B771" s="5" t="s">
        <v>62</v>
      </c>
      <c r="C771" s="5" t="n">
        <v>2019</v>
      </c>
      <c r="D771" s="5" t="s">
        <v>59</v>
      </c>
      <c r="E771" s="5" t="s">
        <v>57</v>
      </c>
      <c r="F771" s="5" t="s">
        <v>39</v>
      </c>
      <c r="G771" s="6" t="n">
        <v>496</v>
      </c>
      <c r="H771" s="6" t="n">
        <v>105</v>
      </c>
      <c r="I771" s="7" t="n">
        <f aca="false">(G771-H771)/G771</f>
        <v>0.788306451612903</v>
      </c>
      <c r="J771" s="15" t="n">
        <v>0.6222</v>
      </c>
      <c r="K771" s="11" t="str">
        <f aca="false">IF(I771&lt;J771,"TAK","NIE")</f>
        <v>NIE</v>
      </c>
    </row>
    <row r="772" customFormat="false" ht="15" hidden="false" customHeight="false" outlineLevel="0" collapsed="false">
      <c r="A772" s="5" t="s">
        <v>295</v>
      </c>
      <c r="B772" s="5" t="s">
        <v>62</v>
      </c>
      <c r="C772" s="5" t="n">
        <v>2019</v>
      </c>
      <c r="D772" s="5" t="s">
        <v>59</v>
      </c>
      <c r="E772" s="5" t="s">
        <v>57</v>
      </c>
      <c r="F772" s="5" t="s">
        <v>39</v>
      </c>
      <c r="G772" s="6" t="n">
        <v>495</v>
      </c>
      <c r="H772" s="6" t="n">
        <v>44</v>
      </c>
      <c r="I772" s="7" t="n">
        <f aca="false">(G772-H772)/G772</f>
        <v>0.911111111111111</v>
      </c>
      <c r="J772" s="15" t="n">
        <v>0.6222</v>
      </c>
      <c r="K772" s="11" t="str">
        <f aca="false">IF(I772&lt;J772,"TAK","NIE")</f>
        <v>NIE</v>
      </c>
    </row>
    <row r="773" customFormat="false" ht="15" hidden="false" customHeight="false" outlineLevel="0" collapsed="false">
      <c r="A773" s="5" t="s">
        <v>296</v>
      </c>
      <c r="B773" s="5" t="s">
        <v>62</v>
      </c>
      <c r="C773" s="5" t="n">
        <v>2019</v>
      </c>
      <c r="D773" s="5" t="s">
        <v>59</v>
      </c>
      <c r="E773" s="5" t="s">
        <v>57</v>
      </c>
      <c r="F773" s="5" t="s">
        <v>39</v>
      </c>
      <c r="G773" s="6" t="n">
        <v>496</v>
      </c>
      <c r="H773" s="6" t="n">
        <v>122</v>
      </c>
      <c r="I773" s="7" t="n">
        <f aca="false">(G773-H773)/G773</f>
        <v>0.754032258064516</v>
      </c>
      <c r="J773" s="15" t="n">
        <v>0.6222</v>
      </c>
      <c r="K773" s="11" t="str">
        <f aca="false">IF(I773&lt;J773,"TAK","NIE")</f>
        <v>NIE</v>
      </c>
    </row>
    <row r="774" customFormat="false" ht="15" hidden="false" customHeight="false" outlineLevel="0" collapsed="false">
      <c r="A774" s="5" t="s">
        <v>297</v>
      </c>
      <c r="B774" s="5" t="s">
        <v>62</v>
      </c>
      <c r="C774" s="5" t="n">
        <v>2019</v>
      </c>
      <c r="D774" s="5" t="s">
        <v>59</v>
      </c>
      <c r="E774" s="5" t="s">
        <v>57</v>
      </c>
      <c r="F774" s="5" t="s">
        <v>39</v>
      </c>
      <c r="G774" s="6" t="n">
        <v>496</v>
      </c>
      <c r="H774" s="6" t="n">
        <v>37</v>
      </c>
      <c r="I774" s="7" t="n">
        <f aca="false">(G774-H774)/G774</f>
        <v>0.925403225806452</v>
      </c>
      <c r="J774" s="15" t="n">
        <v>0.6222</v>
      </c>
      <c r="K774" s="11" t="str">
        <f aca="false">IF(I774&lt;J774,"TAK","NIE")</f>
        <v>NIE</v>
      </c>
    </row>
    <row r="775" customFormat="false" ht="15" hidden="false" customHeight="false" outlineLevel="0" collapsed="false">
      <c r="A775" s="5" t="s">
        <v>298</v>
      </c>
      <c r="B775" s="5" t="s">
        <v>62</v>
      </c>
      <c r="C775" s="5" t="n">
        <v>2019</v>
      </c>
      <c r="D775" s="5" t="s">
        <v>59</v>
      </c>
      <c r="E775" s="5" t="s">
        <v>57</v>
      </c>
      <c r="F775" s="5" t="s">
        <v>39</v>
      </c>
      <c r="G775" s="6" t="n">
        <v>496</v>
      </c>
      <c r="H775" s="6" t="n">
        <v>60</v>
      </c>
      <c r="I775" s="7" t="n">
        <f aca="false">(G775-H775)/G775</f>
        <v>0.879032258064516</v>
      </c>
      <c r="J775" s="15" t="n">
        <v>0.6222</v>
      </c>
      <c r="K775" s="11" t="str">
        <f aca="false">IF(I775&lt;J775,"TAK","NIE")</f>
        <v>NIE</v>
      </c>
    </row>
    <row r="776" customFormat="false" ht="15" hidden="false" customHeight="false" outlineLevel="0" collapsed="false">
      <c r="A776" s="5" t="s">
        <v>299</v>
      </c>
      <c r="B776" s="5" t="s">
        <v>62</v>
      </c>
      <c r="C776" s="5" t="n">
        <v>2019</v>
      </c>
      <c r="D776" s="5" t="s">
        <v>59</v>
      </c>
      <c r="E776" s="5" t="s">
        <v>57</v>
      </c>
      <c r="F776" s="5" t="s">
        <v>39</v>
      </c>
      <c r="G776" s="6" t="n">
        <v>495</v>
      </c>
      <c r="H776" s="6" t="n">
        <v>223</v>
      </c>
      <c r="I776" s="7" t="n">
        <f aca="false">(G776-H776)/G776</f>
        <v>0.54949494949495</v>
      </c>
      <c r="J776" s="15" t="n">
        <v>0.6222</v>
      </c>
      <c r="K776" s="11" t="str">
        <f aca="false">IF(I776&lt;J776,"TAK","NIE")</f>
        <v>TAK</v>
      </c>
    </row>
    <row r="777" customFormat="false" ht="15" hidden="false" customHeight="false" outlineLevel="0" collapsed="false">
      <c r="A777" s="5" t="s">
        <v>300</v>
      </c>
      <c r="B777" s="5" t="s">
        <v>62</v>
      </c>
      <c r="C777" s="5" t="n">
        <v>2019</v>
      </c>
      <c r="D777" s="5" t="s">
        <v>59</v>
      </c>
      <c r="E777" s="5" t="s">
        <v>57</v>
      </c>
      <c r="F777" s="5" t="s">
        <v>39</v>
      </c>
      <c r="G777" s="6" t="n">
        <v>496</v>
      </c>
      <c r="H777" s="6" t="n">
        <v>153</v>
      </c>
      <c r="I777" s="7" t="n">
        <f aca="false">(G777-H777)/G777</f>
        <v>0.691532258064516</v>
      </c>
      <c r="J777" s="15" t="n">
        <v>0.6222</v>
      </c>
      <c r="K777" s="11" t="str">
        <f aca="false">IF(I777&lt;J777,"TAK","NIE")</f>
        <v>NIE</v>
      </c>
    </row>
    <row r="778" customFormat="false" ht="15" hidden="false" customHeight="false" outlineLevel="0" collapsed="false">
      <c r="A778" s="5" t="s">
        <v>301</v>
      </c>
      <c r="B778" s="5" t="s">
        <v>62</v>
      </c>
      <c r="C778" s="5" t="n">
        <v>2019</v>
      </c>
      <c r="D778" s="5" t="s">
        <v>59</v>
      </c>
      <c r="E778" s="5" t="s">
        <v>57</v>
      </c>
      <c r="F778" s="5" t="s">
        <v>39</v>
      </c>
      <c r="G778" s="6" t="n">
        <v>495</v>
      </c>
      <c r="H778" s="6" t="n">
        <v>79</v>
      </c>
      <c r="I778" s="7" t="n">
        <f aca="false">(G778-H778)/G778</f>
        <v>0.84040404040404</v>
      </c>
      <c r="J778" s="15" t="n">
        <v>0.6222</v>
      </c>
      <c r="K778" s="11" t="str">
        <f aca="false">IF(I778&lt;J778,"TAK","NIE")</f>
        <v>NIE</v>
      </c>
    </row>
    <row r="779" customFormat="false" ht="15" hidden="false" customHeight="false" outlineLevel="0" collapsed="false">
      <c r="A779" s="5" t="s">
        <v>302</v>
      </c>
      <c r="B779" s="5" t="s">
        <v>62</v>
      </c>
      <c r="C779" s="5" t="n">
        <v>2019</v>
      </c>
      <c r="D779" s="5" t="s">
        <v>59</v>
      </c>
      <c r="E779" s="5" t="s">
        <v>57</v>
      </c>
      <c r="F779" s="5" t="s">
        <v>39</v>
      </c>
      <c r="G779" s="6" t="n">
        <v>495</v>
      </c>
      <c r="H779" s="6" t="n">
        <v>79</v>
      </c>
      <c r="I779" s="7" t="n">
        <f aca="false">(G779-H779)/G779</f>
        <v>0.84040404040404</v>
      </c>
      <c r="J779" s="15" t="n">
        <v>0.6222</v>
      </c>
      <c r="K779" s="11" t="str">
        <f aca="false">IF(I779&lt;J779,"TAK","NIE")</f>
        <v>NIE</v>
      </c>
    </row>
    <row r="780" customFormat="false" ht="15" hidden="false" customHeight="false" outlineLevel="0" collapsed="false">
      <c r="A780" s="5" t="s">
        <v>303</v>
      </c>
      <c r="B780" s="5" t="s">
        <v>62</v>
      </c>
      <c r="C780" s="5" t="n">
        <v>2019</v>
      </c>
      <c r="D780" s="5" t="s">
        <v>59</v>
      </c>
      <c r="E780" s="5" t="s">
        <v>57</v>
      </c>
      <c r="F780" s="5" t="s">
        <v>39</v>
      </c>
      <c r="G780" s="6" t="n">
        <v>496</v>
      </c>
      <c r="H780" s="6" t="n">
        <v>100</v>
      </c>
      <c r="I780" s="7" t="n">
        <f aca="false">(G780-H780)/G780</f>
        <v>0.798387096774194</v>
      </c>
      <c r="J780" s="15" t="n">
        <v>0.6222</v>
      </c>
      <c r="K780" s="11" t="str">
        <f aca="false">IF(I780&lt;J780,"TAK","NIE")</f>
        <v>NIE</v>
      </c>
    </row>
    <row r="781" customFormat="false" ht="15" hidden="false" customHeight="false" outlineLevel="0" collapsed="false">
      <c r="A781" s="5" t="s">
        <v>304</v>
      </c>
      <c r="B781" s="5" t="s">
        <v>62</v>
      </c>
      <c r="C781" s="5" t="n">
        <v>2019</v>
      </c>
      <c r="D781" s="5" t="s">
        <v>59</v>
      </c>
      <c r="E781" s="5" t="s">
        <v>57</v>
      </c>
      <c r="F781" s="5" t="s">
        <v>39</v>
      </c>
      <c r="G781" s="6" t="n">
        <v>495</v>
      </c>
      <c r="H781" s="6" t="n">
        <v>74</v>
      </c>
      <c r="I781" s="7" t="n">
        <f aca="false">(G781-H781)/G781</f>
        <v>0.850505050505051</v>
      </c>
      <c r="J781" s="15" t="n">
        <v>0.6222</v>
      </c>
      <c r="K781" s="11" t="str">
        <f aca="false">IF(I781&lt;J781,"TAK","NIE")</f>
        <v>NIE</v>
      </c>
    </row>
    <row r="782" customFormat="false" ht="15" hidden="false" customHeight="false" outlineLevel="0" collapsed="false">
      <c r="A782" s="5" t="s">
        <v>305</v>
      </c>
      <c r="B782" s="5" t="s">
        <v>62</v>
      </c>
      <c r="C782" s="5" t="n">
        <v>2019</v>
      </c>
      <c r="D782" s="5" t="s">
        <v>59</v>
      </c>
      <c r="E782" s="5" t="s">
        <v>57</v>
      </c>
      <c r="F782" s="5" t="s">
        <v>39</v>
      </c>
      <c r="G782" s="6" t="n">
        <v>496</v>
      </c>
      <c r="H782" s="6" t="n">
        <v>14</v>
      </c>
      <c r="I782" s="7" t="n">
        <f aca="false">(G782-H782)/G782</f>
        <v>0.971774193548387</v>
      </c>
      <c r="J782" s="15" t="n">
        <v>0.6222</v>
      </c>
      <c r="K782" s="11" t="str">
        <f aca="false">IF(I782&lt;J782,"TAK","NIE")</f>
        <v>NIE</v>
      </c>
    </row>
    <row r="783" customFormat="false" ht="15" hidden="false" customHeight="false" outlineLevel="0" collapsed="false">
      <c r="A783" s="5" t="s">
        <v>306</v>
      </c>
      <c r="B783" s="5" t="s">
        <v>62</v>
      </c>
      <c r="C783" s="5" t="n">
        <v>2019</v>
      </c>
      <c r="D783" s="5" t="s">
        <v>59</v>
      </c>
      <c r="E783" s="5" t="s">
        <v>57</v>
      </c>
      <c r="F783" s="5" t="s">
        <v>39</v>
      </c>
      <c r="G783" s="6" t="n">
        <v>495</v>
      </c>
      <c r="H783" s="6" t="n">
        <v>103</v>
      </c>
      <c r="I783" s="7" t="n">
        <f aca="false">(G783-H783)/G783</f>
        <v>0.791919191919192</v>
      </c>
      <c r="J783" s="15" t="n">
        <v>0.6222</v>
      </c>
      <c r="K783" s="11" t="str">
        <f aca="false">IF(I783&lt;J783,"TAK","NIE")</f>
        <v>NIE</v>
      </c>
    </row>
    <row r="784" customFormat="false" ht="15" hidden="false" customHeight="false" outlineLevel="0" collapsed="false">
      <c r="A784" s="5" t="s">
        <v>307</v>
      </c>
      <c r="B784" s="5" t="s">
        <v>62</v>
      </c>
      <c r="C784" s="5" t="n">
        <v>2019</v>
      </c>
      <c r="D784" s="5" t="s">
        <v>59</v>
      </c>
      <c r="E784" s="5" t="s">
        <v>57</v>
      </c>
      <c r="F784" s="5" t="s">
        <v>39</v>
      </c>
      <c r="G784" s="6" t="n">
        <v>495</v>
      </c>
      <c r="H784" s="6" t="n">
        <v>61</v>
      </c>
      <c r="I784" s="7" t="n">
        <f aca="false">(G784-H784)/G784</f>
        <v>0.876767676767677</v>
      </c>
      <c r="J784" s="15" t="n">
        <v>0.6222</v>
      </c>
      <c r="K784" s="11" t="str">
        <f aca="false">IF(I784&lt;J784,"TAK","NIE")</f>
        <v>NIE</v>
      </c>
    </row>
    <row r="785" customFormat="false" ht="15" hidden="false" customHeight="false" outlineLevel="0" collapsed="false">
      <c r="A785" s="5" t="s">
        <v>308</v>
      </c>
      <c r="B785" s="5" t="s">
        <v>62</v>
      </c>
      <c r="C785" s="5" t="n">
        <v>2019</v>
      </c>
      <c r="D785" s="5" t="s">
        <v>59</v>
      </c>
      <c r="E785" s="5" t="s">
        <v>57</v>
      </c>
      <c r="F785" s="5" t="s">
        <v>39</v>
      </c>
      <c r="G785" s="6" t="n">
        <v>496</v>
      </c>
      <c r="H785" s="6" t="n">
        <v>79</v>
      </c>
      <c r="I785" s="7" t="n">
        <f aca="false">(G785-H785)/G785</f>
        <v>0.840725806451613</v>
      </c>
      <c r="J785" s="15" t="n">
        <v>0.6222</v>
      </c>
      <c r="K785" s="11" t="str">
        <f aca="false">IF(I785&lt;J785,"TAK","NIE")</f>
        <v>NIE</v>
      </c>
    </row>
    <row r="786" customFormat="false" ht="15" hidden="false" customHeight="false" outlineLevel="0" collapsed="false">
      <c r="A786" s="5" t="s">
        <v>309</v>
      </c>
      <c r="B786" s="5" t="s">
        <v>62</v>
      </c>
      <c r="C786" s="5" t="n">
        <v>2019</v>
      </c>
      <c r="D786" s="5" t="s">
        <v>59</v>
      </c>
      <c r="E786" s="5" t="s">
        <v>57</v>
      </c>
      <c r="F786" s="5" t="s">
        <v>39</v>
      </c>
      <c r="G786" s="6" t="n">
        <v>495</v>
      </c>
      <c r="H786" s="6" t="n">
        <v>20</v>
      </c>
      <c r="I786" s="7" t="n">
        <f aca="false">(G786-H786)/G786</f>
        <v>0.95959595959596</v>
      </c>
      <c r="J786" s="15" t="n">
        <v>0.6222</v>
      </c>
      <c r="K786" s="11" t="str">
        <f aca="false">IF(I786&lt;J786,"TAK","NIE")</f>
        <v>NIE</v>
      </c>
    </row>
    <row r="787" customFormat="false" ht="15" hidden="false" customHeight="false" outlineLevel="0" collapsed="false">
      <c r="A787" s="5" t="s">
        <v>310</v>
      </c>
      <c r="B787" s="5" t="s">
        <v>62</v>
      </c>
      <c r="C787" s="5" t="n">
        <v>2019</v>
      </c>
      <c r="D787" s="5" t="s">
        <v>59</v>
      </c>
      <c r="E787" s="5" t="s">
        <v>57</v>
      </c>
      <c r="F787" s="5" t="s">
        <v>39</v>
      </c>
      <c r="G787" s="6" t="n">
        <v>495</v>
      </c>
      <c r="H787" s="6" t="n">
        <v>139</v>
      </c>
      <c r="I787" s="7" t="n">
        <f aca="false">(G787-H787)/G787</f>
        <v>0.719191919191919</v>
      </c>
      <c r="J787" s="15" t="n">
        <v>0.6222</v>
      </c>
      <c r="K787" s="11" t="str">
        <f aca="false">IF(I787&lt;J787,"TAK","NIE")</f>
        <v>NIE</v>
      </c>
    </row>
    <row r="788" customFormat="false" ht="15" hidden="false" customHeight="false" outlineLevel="0" collapsed="false">
      <c r="A788" s="5" t="s">
        <v>311</v>
      </c>
      <c r="B788" s="5" t="s">
        <v>62</v>
      </c>
      <c r="C788" s="5" t="n">
        <v>2019</v>
      </c>
      <c r="D788" s="5" t="s">
        <v>59</v>
      </c>
      <c r="E788" s="5" t="s">
        <v>57</v>
      </c>
      <c r="F788" s="5" t="s">
        <v>39</v>
      </c>
      <c r="G788" s="6" t="n">
        <v>495</v>
      </c>
      <c r="H788" s="6" t="n">
        <v>113</v>
      </c>
      <c r="I788" s="7" t="n">
        <f aca="false">(G788-H788)/G788</f>
        <v>0.771717171717172</v>
      </c>
      <c r="J788" s="15" t="n">
        <v>0.6222</v>
      </c>
      <c r="K788" s="11" t="str">
        <f aca="false">IF(I788&lt;J788,"TAK","NIE")</f>
        <v>NIE</v>
      </c>
    </row>
    <row r="789" customFormat="false" ht="15" hidden="false" customHeight="false" outlineLevel="0" collapsed="false">
      <c r="A789" s="5" t="s">
        <v>312</v>
      </c>
      <c r="B789" s="5" t="s">
        <v>62</v>
      </c>
      <c r="C789" s="5" t="n">
        <v>2019</v>
      </c>
      <c r="D789" s="5" t="s">
        <v>59</v>
      </c>
      <c r="E789" s="5" t="s">
        <v>57</v>
      </c>
      <c r="F789" s="5" t="s">
        <v>39</v>
      </c>
      <c r="G789" s="6" t="n">
        <v>496</v>
      </c>
      <c r="H789" s="6" t="n">
        <v>137</v>
      </c>
      <c r="I789" s="7" t="n">
        <f aca="false">(G789-H789)/G789</f>
        <v>0.723790322580645</v>
      </c>
      <c r="J789" s="15" t="n">
        <v>0.6222</v>
      </c>
      <c r="K789" s="11" t="str">
        <f aca="false">IF(I789&lt;J789,"TAK","NIE")</f>
        <v>NIE</v>
      </c>
    </row>
    <row r="790" customFormat="false" ht="15" hidden="false" customHeight="false" outlineLevel="0" collapsed="false">
      <c r="A790" s="5" t="s">
        <v>313</v>
      </c>
      <c r="B790" s="5" t="s">
        <v>62</v>
      </c>
      <c r="C790" s="5" t="n">
        <v>2019</v>
      </c>
      <c r="D790" s="5" t="s">
        <v>59</v>
      </c>
      <c r="E790" s="5" t="s">
        <v>57</v>
      </c>
      <c r="F790" s="5" t="s">
        <v>39</v>
      </c>
      <c r="G790" s="6" t="n">
        <v>496</v>
      </c>
      <c r="H790" s="6" t="n">
        <v>74</v>
      </c>
      <c r="I790" s="7" t="n">
        <f aca="false">(G790-H790)/G790</f>
        <v>0.850806451612903</v>
      </c>
      <c r="J790" s="15" t="n">
        <v>0.6222</v>
      </c>
      <c r="K790" s="11" t="str">
        <f aca="false">IF(I790&lt;J790,"TAK","NIE")</f>
        <v>NIE</v>
      </c>
    </row>
    <row r="791" customFormat="false" ht="15" hidden="false" customHeight="false" outlineLevel="0" collapsed="false">
      <c r="A791" s="5" t="s">
        <v>314</v>
      </c>
      <c r="B791" s="5" t="s">
        <v>62</v>
      </c>
      <c r="C791" s="5" t="n">
        <v>2019</v>
      </c>
      <c r="D791" s="5" t="s">
        <v>59</v>
      </c>
      <c r="E791" s="5" t="s">
        <v>57</v>
      </c>
      <c r="F791" s="5" t="s">
        <v>39</v>
      </c>
      <c r="G791" s="6" t="n">
        <v>495</v>
      </c>
      <c r="H791" s="6" t="n">
        <v>86</v>
      </c>
      <c r="I791" s="7" t="n">
        <f aca="false">(G791-H791)/G791</f>
        <v>0.826262626262626</v>
      </c>
      <c r="J791" s="15" t="n">
        <v>0.6222</v>
      </c>
      <c r="K791" s="11" t="str">
        <f aca="false">IF(I791&lt;J791,"TAK","NIE")</f>
        <v>NIE</v>
      </c>
    </row>
    <row r="792" customFormat="false" ht="15" hidden="false" customHeight="false" outlineLevel="0" collapsed="false">
      <c r="A792" s="5" t="s">
        <v>293</v>
      </c>
      <c r="B792" s="5" t="s">
        <v>62</v>
      </c>
      <c r="C792" s="5" t="n">
        <v>2019</v>
      </c>
      <c r="D792" s="5" t="s">
        <v>59</v>
      </c>
      <c r="E792" s="5" t="s">
        <v>57</v>
      </c>
      <c r="F792" s="5" t="s">
        <v>40</v>
      </c>
      <c r="G792" s="6" t="n">
        <v>336</v>
      </c>
      <c r="H792" s="6" t="n">
        <v>108</v>
      </c>
      <c r="I792" s="7" t="n">
        <f aca="false">(G792-H792)/G792</f>
        <v>0.678571428571429</v>
      </c>
      <c r="J792" s="15" t="n">
        <v>0.3775</v>
      </c>
      <c r="K792" s="11" t="str">
        <f aca="false">IF(I792&lt;J792,"TAK","NIE")</f>
        <v>NIE</v>
      </c>
    </row>
    <row r="793" customFormat="false" ht="15" hidden="false" customHeight="false" outlineLevel="0" collapsed="false">
      <c r="A793" s="5" t="s">
        <v>294</v>
      </c>
      <c r="B793" s="5" t="s">
        <v>62</v>
      </c>
      <c r="C793" s="5" t="n">
        <v>2019</v>
      </c>
      <c r="D793" s="5" t="s">
        <v>59</v>
      </c>
      <c r="E793" s="5" t="s">
        <v>57</v>
      </c>
      <c r="F793" s="5" t="s">
        <v>40</v>
      </c>
      <c r="G793" s="6" t="n">
        <v>335</v>
      </c>
      <c r="H793" s="6" t="n">
        <v>178</v>
      </c>
      <c r="I793" s="7" t="n">
        <f aca="false">(G793-H793)/G793</f>
        <v>0.46865671641791</v>
      </c>
      <c r="J793" s="15" t="n">
        <v>0.3775</v>
      </c>
      <c r="K793" s="11" t="str">
        <f aca="false">IF(I793&lt;J793,"TAK","NIE")</f>
        <v>NIE</v>
      </c>
    </row>
    <row r="794" customFormat="false" ht="15" hidden="false" customHeight="false" outlineLevel="0" collapsed="false">
      <c r="A794" s="5" t="s">
        <v>295</v>
      </c>
      <c r="B794" s="5" t="s">
        <v>62</v>
      </c>
      <c r="C794" s="5" t="n">
        <v>2019</v>
      </c>
      <c r="D794" s="5" t="s">
        <v>59</v>
      </c>
      <c r="E794" s="5" t="s">
        <v>57</v>
      </c>
      <c r="F794" s="5" t="s">
        <v>40</v>
      </c>
      <c r="G794" s="6" t="n">
        <v>336</v>
      </c>
      <c r="H794" s="6" t="n">
        <v>122</v>
      </c>
      <c r="I794" s="7" t="n">
        <f aca="false">(G794-H794)/G794</f>
        <v>0.636904761904762</v>
      </c>
      <c r="J794" s="15" t="n">
        <v>0.3775</v>
      </c>
      <c r="K794" s="11" t="str">
        <f aca="false">IF(I794&lt;J794,"TAK","NIE")</f>
        <v>NIE</v>
      </c>
    </row>
    <row r="795" customFormat="false" ht="15" hidden="false" customHeight="false" outlineLevel="0" collapsed="false">
      <c r="A795" s="5" t="s">
        <v>296</v>
      </c>
      <c r="B795" s="5" t="s">
        <v>62</v>
      </c>
      <c r="C795" s="5" t="n">
        <v>2019</v>
      </c>
      <c r="D795" s="5" t="s">
        <v>59</v>
      </c>
      <c r="E795" s="5" t="s">
        <v>57</v>
      </c>
      <c r="F795" s="5" t="s">
        <v>40</v>
      </c>
      <c r="G795" s="6" t="n">
        <v>336</v>
      </c>
      <c r="H795" s="6" t="n">
        <v>154</v>
      </c>
      <c r="I795" s="7" t="n">
        <f aca="false">(G795-H795)/G795</f>
        <v>0.541666666666667</v>
      </c>
      <c r="J795" s="15" t="n">
        <v>0.3775</v>
      </c>
      <c r="K795" s="11" t="str">
        <f aca="false">IF(I795&lt;J795,"TAK","NIE")</f>
        <v>NIE</v>
      </c>
    </row>
    <row r="796" customFormat="false" ht="15" hidden="false" customHeight="false" outlineLevel="0" collapsed="false">
      <c r="A796" s="5" t="s">
        <v>297</v>
      </c>
      <c r="B796" s="5" t="s">
        <v>62</v>
      </c>
      <c r="C796" s="5" t="n">
        <v>2019</v>
      </c>
      <c r="D796" s="5" t="s">
        <v>59</v>
      </c>
      <c r="E796" s="5" t="s">
        <v>57</v>
      </c>
      <c r="F796" s="5" t="s">
        <v>40</v>
      </c>
      <c r="G796" s="6" t="n">
        <v>340</v>
      </c>
      <c r="H796" s="6" t="n">
        <v>93</v>
      </c>
      <c r="I796" s="7" t="n">
        <f aca="false">(G796-H796)/G796</f>
        <v>0.726470588235294</v>
      </c>
      <c r="J796" s="15" t="n">
        <v>0.3775</v>
      </c>
      <c r="K796" s="11" t="str">
        <f aca="false">IF(I796&lt;J796,"TAK","NIE")</f>
        <v>NIE</v>
      </c>
    </row>
    <row r="797" customFormat="false" ht="15" hidden="false" customHeight="false" outlineLevel="0" collapsed="false">
      <c r="A797" s="5" t="s">
        <v>298</v>
      </c>
      <c r="B797" s="5" t="s">
        <v>62</v>
      </c>
      <c r="C797" s="5" t="n">
        <v>2019</v>
      </c>
      <c r="D797" s="5" t="s">
        <v>59</v>
      </c>
      <c r="E797" s="5" t="s">
        <v>57</v>
      </c>
      <c r="F797" s="5" t="s">
        <v>40</v>
      </c>
      <c r="G797" s="6" t="n">
        <v>331</v>
      </c>
      <c r="H797" s="6" t="n">
        <v>110</v>
      </c>
      <c r="I797" s="7" t="n">
        <f aca="false">(G797-H797)/G797</f>
        <v>0.667673716012085</v>
      </c>
      <c r="J797" s="15" t="n">
        <v>0.3775</v>
      </c>
      <c r="K797" s="11" t="str">
        <f aca="false">IF(I797&lt;J797,"TAK","NIE")</f>
        <v>NIE</v>
      </c>
    </row>
    <row r="798" customFormat="false" ht="15" hidden="false" customHeight="false" outlineLevel="0" collapsed="false">
      <c r="A798" s="5" t="s">
        <v>299</v>
      </c>
      <c r="B798" s="5" t="s">
        <v>62</v>
      </c>
      <c r="C798" s="5" t="n">
        <v>2019</v>
      </c>
      <c r="D798" s="5" t="s">
        <v>59</v>
      </c>
      <c r="E798" s="5" t="s">
        <v>57</v>
      </c>
      <c r="F798" s="5" t="s">
        <v>40</v>
      </c>
      <c r="G798" s="6" t="n">
        <v>339</v>
      </c>
      <c r="H798" s="6" t="n">
        <v>233</v>
      </c>
      <c r="I798" s="7" t="n">
        <f aca="false">(G798-H798)/G798</f>
        <v>0.312684365781711</v>
      </c>
      <c r="J798" s="15" t="n">
        <v>0.3775</v>
      </c>
      <c r="K798" s="11" t="str">
        <f aca="false">IF(I798&lt;J798,"TAK","NIE")</f>
        <v>TAK</v>
      </c>
    </row>
    <row r="799" customFormat="false" ht="15" hidden="false" customHeight="false" outlineLevel="0" collapsed="false">
      <c r="A799" s="5" t="s">
        <v>300</v>
      </c>
      <c r="B799" s="5" t="s">
        <v>62</v>
      </c>
      <c r="C799" s="5" t="n">
        <v>2019</v>
      </c>
      <c r="D799" s="5" t="s">
        <v>59</v>
      </c>
      <c r="E799" s="5" t="s">
        <v>57</v>
      </c>
      <c r="F799" s="5" t="s">
        <v>40</v>
      </c>
      <c r="G799" s="6" t="n">
        <v>336</v>
      </c>
      <c r="H799" s="6" t="n">
        <v>189</v>
      </c>
      <c r="I799" s="7" t="n">
        <f aca="false">(G799-H799)/G799</f>
        <v>0.4375</v>
      </c>
      <c r="J799" s="15" t="n">
        <v>0.3775</v>
      </c>
      <c r="K799" s="11" t="str">
        <f aca="false">IF(I799&lt;J799,"TAK","NIE")</f>
        <v>NIE</v>
      </c>
    </row>
    <row r="800" customFormat="false" ht="15" hidden="false" customHeight="false" outlineLevel="0" collapsed="false">
      <c r="A800" s="5" t="s">
        <v>301</v>
      </c>
      <c r="B800" s="5" t="s">
        <v>62</v>
      </c>
      <c r="C800" s="5" t="n">
        <v>2019</v>
      </c>
      <c r="D800" s="5" t="s">
        <v>59</v>
      </c>
      <c r="E800" s="5" t="s">
        <v>57</v>
      </c>
      <c r="F800" s="5" t="s">
        <v>40</v>
      </c>
      <c r="G800" s="6" t="n">
        <v>336</v>
      </c>
      <c r="H800" s="6" t="n">
        <v>127</v>
      </c>
      <c r="I800" s="7" t="n">
        <f aca="false">(G800-H800)/G800</f>
        <v>0.62202380952381</v>
      </c>
      <c r="J800" s="15" t="n">
        <v>0.3775</v>
      </c>
      <c r="K800" s="11" t="str">
        <f aca="false">IF(I800&lt;J800,"TAK","NIE")</f>
        <v>NIE</v>
      </c>
    </row>
    <row r="801" customFormat="false" ht="15" hidden="false" customHeight="false" outlineLevel="0" collapsed="false">
      <c r="A801" s="5" t="s">
        <v>302</v>
      </c>
      <c r="B801" s="5" t="s">
        <v>62</v>
      </c>
      <c r="C801" s="5" t="n">
        <v>2019</v>
      </c>
      <c r="D801" s="5" t="s">
        <v>59</v>
      </c>
      <c r="E801" s="5" t="s">
        <v>57</v>
      </c>
      <c r="F801" s="5" t="s">
        <v>40</v>
      </c>
      <c r="G801" s="6" t="n">
        <v>336</v>
      </c>
      <c r="H801" s="6" t="n">
        <v>128</v>
      </c>
      <c r="I801" s="7" t="n">
        <f aca="false">(G801-H801)/G801</f>
        <v>0.619047619047619</v>
      </c>
      <c r="J801" s="15" t="n">
        <v>0.3775</v>
      </c>
      <c r="K801" s="11" t="str">
        <f aca="false">IF(I801&lt;J801,"TAK","NIE")</f>
        <v>NIE</v>
      </c>
    </row>
    <row r="802" customFormat="false" ht="15" hidden="false" customHeight="false" outlineLevel="0" collapsed="false">
      <c r="A802" s="5" t="s">
        <v>303</v>
      </c>
      <c r="B802" s="5" t="s">
        <v>62</v>
      </c>
      <c r="C802" s="5" t="n">
        <v>2019</v>
      </c>
      <c r="D802" s="5" t="s">
        <v>59</v>
      </c>
      <c r="E802" s="5" t="s">
        <v>57</v>
      </c>
      <c r="F802" s="5" t="s">
        <v>40</v>
      </c>
      <c r="G802" s="6" t="n">
        <v>336</v>
      </c>
      <c r="H802" s="6" t="n">
        <v>141</v>
      </c>
      <c r="I802" s="7" t="n">
        <f aca="false">(G802-H802)/G802</f>
        <v>0.580357142857143</v>
      </c>
      <c r="J802" s="15" t="n">
        <v>0.3775</v>
      </c>
      <c r="K802" s="11" t="str">
        <f aca="false">IF(I802&lt;J802,"TAK","NIE")</f>
        <v>NIE</v>
      </c>
    </row>
    <row r="803" customFormat="false" ht="15" hidden="false" customHeight="false" outlineLevel="0" collapsed="false">
      <c r="A803" s="5" t="s">
        <v>304</v>
      </c>
      <c r="B803" s="5" t="s">
        <v>62</v>
      </c>
      <c r="C803" s="5" t="n">
        <v>2019</v>
      </c>
      <c r="D803" s="5" t="s">
        <v>59</v>
      </c>
      <c r="E803" s="5" t="s">
        <v>57</v>
      </c>
      <c r="F803" s="5" t="s">
        <v>40</v>
      </c>
      <c r="G803" s="6" t="n">
        <v>336</v>
      </c>
      <c r="H803" s="6" t="n">
        <v>108</v>
      </c>
      <c r="I803" s="7" t="n">
        <f aca="false">(G803-H803)/G803</f>
        <v>0.678571428571429</v>
      </c>
      <c r="J803" s="15" t="n">
        <v>0.3775</v>
      </c>
      <c r="K803" s="11" t="str">
        <f aca="false">IF(I803&lt;J803,"TAK","NIE")</f>
        <v>NIE</v>
      </c>
    </row>
    <row r="804" customFormat="false" ht="15" hidden="false" customHeight="false" outlineLevel="0" collapsed="false">
      <c r="A804" s="5" t="s">
        <v>305</v>
      </c>
      <c r="B804" s="5" t="s">
        <v>62</v>
      </c>
      <c r="C804" s="5" t="n">
        <v>2019</v>
      </c>
      <c r="D804" s="5" t="s">
        <v>59</v>
      </c>
      <c r="E804" s="5" t="s">
        <v>57</v>
      </c>
      <c r="F804" s="5" t="s">
        <v>40</v>
      </c>
      <c r="G804" s="6" t="n">
        <v>336</v>
      </c>
      <c r="H804" s="6" t="n">
        <v>78</v>
      </c>
      <c r="I804" s="7" t="n">
        <f aca="false">(G804-H804)/G804</f>
        <v>0.767857142857143</v>
      </c>
      <c r="J804" s="15" t="n">
        <v>0.3775</v>
      </c>
      <c r="K804" s="11" t="str">
        <f aca="false">IF(I804&lt;J804,"TAK","NIE")</f>
        <v>NIE</v>
      </c>
    </row>
    <row r="805" customFormat="false" ht="15" hidden="false" customHeight="false" outlineLevel="0" collapsed="false">
      <c r="A805" s="5" t="s">
        <v>306</v>
      </c>
      <c r="B805" s="5" t="s">
        <v>62</v>
      </c>
      <c r="C805" s="5" t="n">
        <v>2019</v>
      </c>
      <c r="D805" s="5" t="s">
        <v>59</v>
      </c>
      <c r="E805" s="5" t="s">
        <v>57</v>
      </c>
      <c r="F805" s="5" t="s">
        <v>40</v>
      </c>
      <c r="G805" s="6" t="n">
        <v>331</v>
      </c>
      <c r="H805" s="6" t="n">
        <v>132</v>
      </c>
      <c r="I805" s="7" t="n">
        <f aca="false">(G805-H805)/G805</f>
        <v>0.601208459214502</v>
      </c>
      <c r="J805" s="15" t="n">
        <v>0.3775</v>
      </c>
      <c r="K805" s="11" t="str">
        <f aca="false">IF(I805&lt;J805,"TAK","NIE")</f>
        <v>NIE</v>
      </c>
    </row>
    <row r="806" customFormat="false" ht="15" hidden="false" customHeight="false" outlineLevel="0" collapsed="false">
      <c r="A806" s="5" t="s">
        <v>307</v>
      </c>
      <c r="B806" s="5" t="s">
        <v>62</v>
      </c>
      <c r="C806" s="5" t="n">
        <v>2019</v>
      </c>
      <c r="D806" s="5" t="s">
        <v>59</v>
      </c>
      <c r="E806" s="5" t="s">
        <v>57</v>
      </c>
      <c r="F806" s="5" t="s">
        <v>40</v>
      </c>
      <c r="G806" s="6" t="n">
        <v>336</v>
      </c>
      <c r="H806" s="6" t="n">
        <v>100</v>
      </c>
      <c r="I806" s="7" t="n">
        <f aca="false">(G806-H806)/G806</f>
        <v>0.702380952380952</v>
      </c>
      <c r="J806" s="15" t="n">
        <v>0.3775</v>
      </c>
      <c r="K806" s="11" t="str">
        <f aca="false">IF(I806&lt;J806,"TAK","NIE")</f>
        <v>NIE</v>
      </c>
    </row>
    <row r="807" customFormat="false" ht="15" hidden="false" customHeight="false" outlineLevel="0" collapsed="false">
      <c r="A807" s="5" t="s">
        <v>308</v>
      </c>
      <c r="B807" s="5" t="s">
        <v>62</v>
      </c>
      <c r="C807" s="5" t="n">
        <v>2019</v>
      </c>
      <c r="D807" s="5" t="s">
        <v>59</v>
      </c>
      <c r="E807" s="5" t="s">
        <v>57</v>
      </c>
      <c r="F807" s="5" t="s">
        <v>40</v>
      </c>
      <c r="G807" s="6" t="n">
        <v>335</v>
      </c>
      <c r="H807" s="6" t="n">
        <v>138</v>
      </c>
      <c r="I807" s="7" t="n">
        <f aca="false">(G807-H807)/G807</f>
        <v>0.588059701492537</v>
      </c>
      <c r="J807" s="15" t="n">
        <v>0.3775</v>
      </c>
      <c r="K807" s="11" t="str">
        <f aca="false">IF(I807&lt;J807,"TAK","NIE")</f>
        <v>NIE</v>
      </c>
    </row>
    <row r="808" customFormat="false" ht="15" hidden="false" customHeight="false" outlineLevel="0" collapsed="false">
      <c r="A808" s="5" t="s">
        <v>309</v>
      </c>
      <c r="B808" s="5" t="s">
        <v>62</v>
      </c>
      <c r="C808" s="5" t="n">
        <v>2019</v>
      </c>
      <c r="D808" s="5" t="s">
        <v>59</v>
      </c>
      <c r="E808" s="5" t="s">
        <v>57</v>
      </c>
      <c r="F808" s="5" t="s">
        <v>40</v>
      </c>
      <c r="G808" s="6" t="n">
        <v>331</v>
      </c>
      <c r="H808" s="6" t="n">
        <v>5</v>
      </c>
      <c r="I808" s="7" t="n">
        <f aca="false">(G808-H808)/G808</f>
        <v>0.984894259818731</v>
      </c>
      <c r="J808" s="15" t="n">
        <v>0.3775</v>
      </c>
      <c r="K808" s="11" t="str">
        <f aca="false">IF(I808&lt;J808,"TAK","NIE")</f>
        <v>NIE</v>
      </c>
    </row>
    <row r="809" customFormat="false" ht="15" hidden="false" customHeight="false" outlineLevel="0" collapsed="false">
      <c r="A809" s="5" t="s">
        <v>310</v>
      </c>
      <c r="B809" s="5" t="s">
        <v>62</v>
      </c>
      <c r="C809" s="5" t="n">
        <v>2019</v>
      </c>
      <c r="D809" s="5" t="s">
        <v>59</v>
      </c>
      <c r="E809" s="5" t="s">
        <v>57</v>
      </c>
      <c r="F809" s="5" t="s">
        <v>40</v>
      </c>
      <c r="G809" s="6" t="n">
        <v>331</v>
      </c>
      <c r="H809" s="6" t="n">
        <v>114</v>
      </c>
      <c r="I809" s="7" t="n">
        <f aca="false">(G809-H809)/G809</f>
        <v>0.65558912386707</v>
      </c>
      <c r="J809" s="15" t="n">
        <v>0.3775</v>
      </c>
      <c r="K809" s="11" t="str">
        <f aca="false">IF(I809&lt;J809,"TAK","NIE")</f>
        <v>NIE</v>
      </c>
    </row>
    <row r="810" customFormat="false" ht="15" hidden="false" customHeight="false" outlineLevel="0" collapsed="false">
      <c r="A810" s="5" t="s">
        <v>311</v>
      </c>
      <c r="B810" s="5" t="s">
        <v>62</v>
      </c>
      <c r="C810" s="5" t="n">
        <v>2019</v>
      </c>
      <c r="D810" s="5" t="s">
        <v>59</v>
      </c>
      <c r="E810" s="5" t="s">
        <v>57</v>
      </c>
      <c r="F810" s="5" t="s">
        <v>40</v>
      </c>
      <c r="G810" s="6" t="n">
        <v>336</v>
      </c>
      <c r="H810" s="6" t="n">
        <v>160</v>
      </c>
      <c r="I810" s="7" t="n">
        <f aca="false">(G810-H810)/G810</f>
        <v>0.523809523809524</v>
      </c>
      <c r="J810" s="15" t="n">
        <v>0.3775</v>
      </c>
      <c r="K810" s="11" t="str">
        <f aca="false">IF(I810&lt;J810,"TAK","NIE")</f>
        <v>NIE</v>
      </c>
    </row>
    <row r="811" customFormat="false" ht="15" hidden="false" customHeight="false" outlineLevel="0" collapsed="false">
      <c r="A811" s="5" t="s">
        <v>312</v>
      </c>
      <c r="B811" s="5" t="s">
        <v>62</v>
      </c>
      <c r="C811" s="5" t="n">
        <v>2019</v>
      </c>
      <c r="D811" s="5" t="s">
        <v>59</v>
      </c>
      <c r="E811" s="5" t="s">
        <v>57</v>
      </c>
      <c r="F811" s="5" t="s">
        <v>40</v>
      </c>
      <c r="G811" s="6" t="n">
        <v>336</v>
      </c>
      <c r="H811" s="6" t="n">
        <v>143</v>
      </c>
      <c r="I811" s="7" t="n">
        <f aca="false">(G811-H811)/G811</f>
        <v>0.574404761904762</v>
      </c>
      <c r="J811" s="15" t="n">
        <v>0.3775</v>
      </c>
      <c r="K811" s="11" t="str">
        <f aca="false">IF(I811&lt;J811,"TAK","NIE")</f>
        <v>NIE</v>
      </c>
    </row>
    <row r="812" customFormat="false" ht="15" hidden="false" customHeight="false" outlineLevel="0" collapsed="false">
      <c r="A812" s="5" t="s">
        <v>313</v>
      </c>
      <c r="B812" s="5" t="s">
        <v>62</v>
      </c>
      <c r="C812" s="5" t="n">
        <v>2019</v>
      </c>
      <c r="D812" s="5" t="s">
        <v>59</v>
      </c>
      <c r="E812" s="5" t="s">
        <v>57</v>
      </c>
      <c r="F812" s="5" t="s">
        <v>40</v>
      </c>
      <c r="G812" s="6" t="n">
        <v>336</v>
      </c>
      <c r="H812" s="6" t="n">
        <v>151</v>
      </c>
      <c r="I812" s="7" t="n">
        <f aca="false">(G812-H812)/G812</f>
        <v>0.550595238095238</v>
      </c>
      <c r="J812" s="15" t="n">
        <v>0.3775</v>
      </c>
      <c r="K812" s="11" t="str">
        <f aca="false">IF(I812&lt;J812,"TAK","NIE")</f>
        <v>NIE</v>
      </c>
    </row>
    <row r="813" customFormat="false" ht="15" hidden="false" customHeight="false" outlineLevel="0" collapsed="false">
      <c r="A813" s="5" t="s">
        <v>314</v>
      </c>
      <c r="B813" s="5" t="s">
        <v>62</v>
      </c>
      <c r="C813" s="5" t="n">
        <v>2019</v>
      </c>
      <c r="D813" s="5" t="s">
        <v>59</v>
      </c>
      <c r="E813" s="5" t="s">
        <v>57</v>
      </c>
      <c r="F813" s="5" t="s">
        <v>40</v>
      </c>
      <c r="G813" s="6" t="n">
        <v>340</v>
      </c>
      <c r="H813" s="6" t="n">
        <v>139</v>
      </c>
      <c r="I813" s="7" t="n">
        <f aca="false">(G813-H813)/G813</f>
        <v>0.591176470588235</v>
      </c>
      <c r="J813" s="15" t="n">
        <v>0.3775</v>
      </c>
      <c r="K813" s="11" t="str">
        <f aca="false">IF(I813&lt;J813,"TAK","NIE")</f>
        <v>NIE</v>
      </c>
    </row>
    <row r="814" customFormat="false" ht="15" hidden="false" customHeight="false" outlineLevel="0" collapsed="false">
      <c r="A814" s="5" t="s">
        <v>315</v>
      </c>
      <c r="B814" s="5" t="s">
        <v>63</v>
      </c>
      <c r="C814" s="5" t="n">
        <v>2019</v>
      </c>
      <c r="D814" s="5" t="s">
        <v>64</v>
      </c>
      <c r="E814" s="5" t="s">
        <v>38</v>
      </c>
      <c r="F814" s="5" t="s">
        <v>39</v>
      </c>
      <c r="G814" s="6" t="n">
        <v>575</v>
      </c>
      <c r="H814" s="6" t="n">
        <v>78</v>
      </c>
      <c r="I814" s="7" t="n">
        <f aca="false">(G814-H814)/G814</f>
        <v>0.864347826086957</v>
      </c>
      <c r="J814" s="15" t="n">
        <v>0.529</v>
      </c>
      <c r="K814" s="11" t="str">
        <f aca="false">IF(I814&lt;J814,"TAK","NIE")</f>
        <v>NIE</v>
      </c>
    </row>
    <row r="815" customFormat="false" ht="15" hidden="false" customHeight="false" outlineLevel="0" collapsed="false">
      <c r="A815" s="5" t="s">
        <v>316</v>
      </c>
      <c r="B815" s="5" t="s">
        <v>63</v>
      </c>
      <c r="C815" s="5" t="n">
        <v>2019</v>
      </c>
      <c r="D815" s="5" t="s">
        <v>64</v>
      </c>
      <c r="E815" s="5" t="s">
        <v>38</v>
      </c>
      <c r="F815" s="5" t="s">
        <v>39</v>
      </c>
      <c r="G815" s="6" t="n">
        <v>575</v>
      </c>
      <c r="H815" s="6" t="n">
        <v>53</v>
      </c>
      <c r="I815" s="7" t="n">
        <f aca="false">(G815-H815)/G815</f>
        <v>0.907826086956522</v>
      </c>
      <c r="J815" s="15" t="n">
        <v>0.529</v>
      </c>
      <c r="K815" s="11" t="str">
        <f aca="false">IF(I815&lt;J815,"TAK","NIE")</f>
        <v>NIE</v>
      </c>
    </row>
    <row r="816" customFormat="false" ht="15" hidden="false" customHeight="false" outlineLevel="0" collapsed="false">
      <c r="A816" s="5" t="s">
        <v>317</v>
      </c>
      <c r="B816" s="5" t="s">
        <v>63</v>
      </c>
      <c r="C816" s="5" t="n">
        <v>2019</v>
      </c>
      <c r="D816" s="5" t="s">
        <v>64</v>
      </c>
      <c r="E816" s="5" t="s">
        <v>38</v>
      </c>
      <c r="F816" s="5" t="s">
        <v>39</v>
      </c>
      <c r="G816" s="6" t="n">
        <v>575</v>
      </c>
      <c r="H816" s="6" t="n">
        <v>22</v>
      </c>
      <c r="I816" s="7" t="n">
        <f aca="false">(G816-H816)/G816</f>
        <v>0.961739130434783</v>
      </c>
      <c r="J816" s="15" t="n">
        <v>0.529</v>
      </c>
      <c r="K816" s="11" t="str">
        <f aca="false">IF(I816&lt;J816,"TAK","NIE")</f>
        <v>NIE</v>
      </c>
    </row>
    <row r="817" customFormat="false" ht="15" hidden="false" customHeight="false" outlineLevel="0" collapsed="false">
      <c r="A817" s="5" t="s">
        <v>318</v>
      </c>
      <c r="B817" s="5" t="s">
        <v>63</v>
      </c>
      <c r="C817" s="5" t="n">
        <v>2019</v>
      </c>
      <c r="D817" s="5" t="s">
        <v>64</v>
      </c>
      <c r="E817" s="5" t="s">
        <v>38</v>
      </c>
      <c r="F817" s="5" t="s">
        <v>39</v>
      </c>
      <c r="G817" s="6" t="n">
        <v>575</v>
      </c>
      <c r="H817" s="6" t="n">
        <v>151</v>
      </c>
      <c r="I817" s="7" t="n">
        <f aca="false">(G817-H817)/G817</f>
        <v>0.737391304347826</v>
      </c>
      <c r="J817" s="15" t="n">
        <v>0.529</v>
      </c>
      <c r="K817" s="11" t="str">
        <f aca="false">IF(I817&lt;J817,"TAK","NIE")</f>
        <v>NIE</v>
      </c>
    </row>
    <row r="818" customFormat="false" ht="15" hidden="false" customHeight="false" outlineLevel="0" collapsed="false">
      <c r="A818" s="5" t="s">
        <v>319</v>
      </c>
      <c r="B818" s="5" t="s">
        <v>63</v>
      </c>
      <c r="C818" s="5" t="n">
        <v>2019</v>
      </c>
      <c r="D818" s="5" t="s">
        <v>64</v>
      </c>
      <c r="E818" s="5" t="s">
        <v>38</v>
      </c>
      <c r="F818" s="5" t="s">
        <v>39</v>
      </c>
      <c r="G818" s="6" t="n">
        <v>575</v>
      </c>
      <c r="H818" s="6" t="n">
        <v>107</v>
      </c>
      <c r="I818" s="7" t="n">
        <f aca="false">(G818-H818)/G818</f>
        <v>0.813913043478261</v>
      </c>
      <c r="J818" s="15" t="n">
        <v>0.529</v>
      </c>
      <c r="K818" s="11" t="str">
        <f aca="false">IF(I818&lt;J818,"TAK","NIE")</f>
        <v>NIE</v>
      </c>
    </row>
    <row r="819" customFormat="false" ht="15" hidden="false" customHeight="false" outlineLevel="0" collapsed="false">
      <c r="A819" s="5" t="s">
        <v>320</v>
      </c>
      <c r="B819" s="5" t="s">
        <v>63</v>
      </c>
      <c r="C819" s="5" t="n">
        <v>2019</v>
      </c>
      <c r="D819" s="5" t="s">
        <v>64</v>
      </c>
      <c r="E819" s="5" t="s">
        <v>38</v>
      </c>
      <c r="F819" s="5" t="s">
        <v>39</v>
      </c>
      <c r="G819" s="6" t="n">
        <v>575</v>
      </c>
      <c r="H819" s="6" t="n">
        <v>78</v>
      </c>
      <c r="I819" s="7" t="n">
        <f aca="false">(G819-H819)/G819</f>
        <v>0.864347826086957</v>
      </c>
      <c r="J819" s="15" t="n">
        <v>0.529</v>
      </c>
      <c r="K819" s="11" t="str">
        <f aca="false">IF(I819&lt;J819,"TAK","NIE")</f>
        <v>NIE</v>
      </c>
    </row>
    <row r="820" customFormat="false" ht="15" hidden="false" customHeight="false" outlineLevel="0" collapsed="false">
      <c r="A820" s="5" t="s">
        <v>321</v>
      </c>
      <c r="B820" s="5" t="s">
        <v>63</v>
      </c>
      <c r="C820" s="5" t="n">
        <v>2019</v>
      </c>
      <c r="D820" s="5" t="s">
        <v>64</v>
      </c>
      <c r="E820" s="5" t="s">
        <v>38</v>
      </c>
      <c r="F820" s="5" t="s">
        <v>39</v>
      </c>
      <c r="G820" s="6" t="n">
        <v>575</v>
      </c>
      <c r="H820" s="6" t="n">
        <v>32</v>
      </c>
      <c r="I820" s="7" t="n">
        <f aca="false">(G820-H820)/G820</f>
        <v>0.944347826086957</v>
      </c>
      <c r="J820" s="15" t="n">
        <v>0.529</v>
      </c>
      <c r="K820" s="11" t="str">
        <f aca="false">IF(I820&lt;J820,"TAK","NIE")</f>
        <v>NIE</v>
      </c>
    </row>
    <row r="821" customFormat="false" ht="15" hidden="false" customHeight="false" outlineLevel="0" collapsed="false">
      <c r="A821" s="5" t="s">
        <v>322</v>
      </c>
      <c r="B821" s="5" t="s">
        <v>63</v>
      </c>
      <c r="C821" s="5" t="n">
        <v>2019</v>
      </c>
      <c r="D821" s="5" t="s">
        <v>64</v>
      </c>
      <c r="E821" s="5" t="s">
        <v>38</v>
      </c>
      <c r="F821" s="5" t="s">
        <v>39</v>
      </c>
      <c r="G821" s="6" t="n">
        <v>575</v>
      </c>
      <c r="H821" s="6" t="n">
        <v>131</v>
      </c>
      <c r="I821" s="7" t="n">
        <f aca="false">(G821-H821)/G821</f>
        <v>0.772173913043478</v>
      </c>
      <c r="J821" s="15" t="n">
        <v>0.529</v>
      </c>
      <c r="K821" s="11" t="str">
        <f aca="false">IF(I821&lt;J821,"TAK","NIE")</f>
        <v>NIE</v>
      </c>
    </row>
    <row r="822" customFormat="false" ht="15" hidden="false" customHeight="false" outlineLevel="0" collapsed="false">
      <c r="A822" s="5" t="s">
        <v>323</v>
      </c>
      <c r="B822" s="5" t="s">
        <v>63</v>
      </c>
      <c r="C822" s="5" t="n">
        <v>2019</v>
      </c>
      <c r="D822" s="5" t="s">
        <v>64</v>
      </c>
      <c r="E822" s="5" t="s">
        <v>38</v>
      </c>
      <c r="F822" s="5" t="s">
        <v>39</v>
      </c>
      <c r="G822" s="6" t="n">
        <v>575</v>
      </c>
      <c r="H822" s="6" t="n">
        <v>107</v>
      </c>
      <c r="I822" s="7" t="n">
        <f aca="false">(G822-H822)/G822</f>
        <v>0.813913043478261</v>
      </c>
      <c r="J822" s="15" t="n">
        <v>0.529</v>
      </c>
      <c r="K822" s="11" t="str">
        <f aca="false">IF(I822&lt;J822,"TAK","NIE")</f>
        <v>NIE</v>
      </c>
    </row>
    <row r="823" customFormat="false" ht="15" hidden="false" customHeight="false" outlineLevel="0" collapsed="false">
      <c r="A823" s="5" t="s">
        <v>324</v>
      </c>
      <c r="B823" s="5" t="s">
        <v>63</v>
      </c>
      <c r="C823" s="5" t="n">
        <v>2019</v>
      </c>
      <c r="D823" s="5" t="s">
        <v>64</v>
      </c>
      <c r="E823" s="5" t="s">
        <v>38</v>
      </c>
      <c r="F823" s="5" t="s">
        <v>39</v>
      </c>
      <c r="G823" s="6" t="n">
        <v>575</v>
      </c>
      <c r="H823" s="6" t="n">
        <v>113</v>
      </c>
      <c r="I823" s="7" t="n">
        <f aca="false">(G823-H823)/G823</f>
        <v>0.803478260869565</v>
      </c>
      <c r="J823" s="15" t="n">
        <v>0.529</v>
      </c>
      <c r="K823" s="11" t="str">
        <f aca="false">IF(I823&lt;J823,"TAK","NIE")</f>
        <v>NIE</v>
      </c>
    </row>
    <row r="824" customFormat="false" ht="15" hidden="false" customHeight="false" outlineLevel="0" collapsed="false">
      <c r="A824" s="5" t="s">
        <v>325</v>
      </c>
      <c r="B824" s="5" t="s">
        <v>63</v>
      </c>
      <c r="C824" s="5" t="n">
        <v>2019</v>
      </c>
      <c r="D824" s="5" t="s">
        <v>64</v>
      </c>
      <c r="E824" s="5" t="s">
        <v>38</v>
      </c>
      <c r="F824" s="5" t="s">
        <v>39</v>
      </c>
      <c r="G824" s="6" t="n">
        <v>575</v>
      </c>
      <c r="H824" s="6" t="n">
        <v>279</v>
      </c>
      <c r="I824" s="7" t="n">
        <f aca="false">(G824-H824)/G824</f>
        <v>0.514782608695652</v>
      </c>
      <c r="J824" s="15" t="n">
        <v>0.529</v>
      </c>
      <c r="K824" s="11" t="str">
        <f aca="false">IF(I824&lt;J824,"TAK","NIE")</f>
        <v>TAK</v>
      </c>
    </row>
    <row r="825" customFormat="false" ht="15" hidden="false" customHeight="false" outlineLevel="0" collapsed="false">
      <c r="A825" s="5" t="s">
        <v>326</v>
      </c>
      <c r="B825" s="5" t="s">
        <v>63</v>
      </c>
      <c r="C825" s="5" t="n">
        <v>2019</v>
      </c>
      <c r="D825" s="5" t="s">
        <v>64</v>
      </c>
      <c r="E825" s="5" t="s">
        <v>38</v>
      </c>
      <c r="F825" s="5" t="s">
        <v>39</v>
      </c>
      <c r="G825" s="6" t="n">
        <v>575</v>
      </c>
      <c r="H825" s="6" t="n">
        <v>115</v>
      </c>
      <c r="I825" s="7" t="n">
        <f aca="false">(G825-H825)/G825</f>
        <v>0.8</v>
      </c>
      <c r="J825" s="15" t="n">
        <v>0.529</v>
      </c>
      <c r="K825" s="11" t="str">
        <f aca="false">IF(I825&lt;J825,"TAK","NIE")</f>
        <v>NIE</v>
      </c>
    </row>
    <row r="826" customFormat="false" ht="15" hidden="false" customHeight="false" outlineLevel="0" collapsed="false">
      <c r="A826" s="5" t="s">
        <v>327</v>
      </c>
      <c r="B826" s="5" t="s">
        <v>63</v>
      </c>
      <c r="C826" s="5" t="n">
        <v>2019</v>
      </c>
      <c r="D826" s="5" t="s">
        <v>64</v>
      </c>
      <c r="E826" s="5" t="s">
        <v>38</v>
      </c>
      <c r="F826" s="5" t="s">
        <v>39</v>
      </c>
      <c r="G826" s="6" t="n">
        <v>575</v>
      </c>
      <c r="H826" s="6" t="n">
        <v>127</v>
      </c>
      <c r="I826" s="7" t="n">
        <f aca="false">(G826-H826)/G826</f>
        <v>0.779130434782609</v>
      </c>
      <c r="J826" s="15" t="n">
        <v>0.529</v>
      </c>
      <c r="K826" s="11" t="str">
        <f aca="false">IF(I826&lt;J826,"TAK","NIE")</f>
        <v>NIE</v>
      </c>
    </row>
    <row r="827" customFormat="false" ht="15" hidden="false" customHeight="false" outlineLevel="0" collapsed="false">
      <c r="A827" s="5" t="s">
        <v>328</v>
      </c>
      <c r="B827" s="5" t="s">
        <v>63</v>
      </c>
      <c r="C827" s="5" t="n">
        <v>2019</v>
      </c>
      <c r="D827" s="5" t="s">
        <v>64</v>
      </c>
      <c r="E827" s="5" t="s">
        <v>38</v>
      </c>
      <c r="F827" s="5" t="s">
        <v>39</v>
      </c>
      <c r="G827" s="6" t="n">
        <v>575</v>
      </c>
      <c r="H827" s="6" t="n">
        <v>55</v>
      </c>
      <c r="I827" s="7" t="n">
        <f aca="false">(G827-H827)/G827</f>
        <v>0.904347826086957</v>
      </c>
      <c r="J827" s="15" t="n">
        <v>0.529</v>
      </c>
      <c r="K827" s="11" t="str">
        <f aca="false">IF(I827&lt;J827,"TAK","NIE")</f>
        <v>NIE</v>
      </c>
    </row>
    <row r="828" customFormat="false" ht="15" hidden="false" customHeight="false" outlineLevel="0" collapsed="false">
      <c r="A828" s="5" t="s">
        <v>329</v>
      </c>
      <c r="B828" s="5" t="s">
        <v>63</v>
      </c>
      <c r="C828" s="5" t="n">
        <v>2019</v>
      </c>
      <c r="D828" s="5" t="s">
        <v>64</v>
      </c>
      <c r="E828" s="5" t="s">
        <v>38</v>
      </c>
      <c r="F828" s="5" t="s">
        <v>39</v>
      </c>
      <c r="G828" s="6" t="n">
        <v>559</v>
      </c>
      <c r="H828" s="6" t="n">
        <v>50</v>
      </c>
      <c r="I828" s="7" t="n">
        <f aca="false">(G828-H828)/G828</f>
        <v>0.910554561717352</v>
      </c>
      <c r="J828" s="15" t="n">
        <v>0.529</v>
      </c>
      <c r="K828" s="11" t="str">
        <f aca="false">IF(I828&lt;J828,"TAK","NIE")</f>
        <v>NIE</v>
      </c>
    </row>
    <row r="829" customFormat="false" ht="15" hidden="false" customHeight="false" outlineLevel="0" collapsed="false">
      <c r="A829" s="5" t="s">
        <v>330</v>
      </c>
      <c r="B829" s="5" t="s">
        <v>63</v>
      </c>
      <c r="C829" s="5" t="n">
        <v>2019</v>
      </c>
      <c r="D829" s="5" t="s">
        <v>64</v>
      </c>
      <c r="E829" s="5" t="s">
        <v>38</v>
      </c>
      <c r="F829" s="5" t="s">
        <v>39</v>
      </c>
      <c r="G829" s="6" t="n">
        <v>575</v>
      </c>
      <c r="H829" s="6" t="n">
        <v>207</v>
      </c>
      <c r="I829" s="7" t="n">
        <f aca="false">(G829-H829)/G829</f>
        <v>0.64</v>
      </c>
      <c r="J829" s="15" t="n">
        <v>0.529</v>
      </c>
      <c r="K829" s="11" t="str">
        <f aca="false">IF(I829&lt;J829,"TAK","NIE")</f>
        <v>NIE</v>
      </c>
    </row>
    <row r="830" customFormat="false" ht="15" hidden="false" customHeight="false" outlineLevel="0" collapsed="false">
      <c r="A830" s="5" t="s">
        <v>331</v>
      </c>
      <c r="B830" s="5" t="s">
        <v>63</v>
      </c>
      <c r="C830" s="5" t="n">
        <v>2019</v>
      </c>
      <c r="D830" s="5" t="s">
        <v>64</v>
      </c>
      <c r="E830" s="5" t="s">
        <v>38</v>
      </c>
      <c r="F830" s="5" t="s">
        <v>39</v>
      </c>
      <c r="G830" s="6" t="n">
        <v>575</v>
      </c>
      <c r="H830" s="6" t="n">
        <v>84</v>
      </c>
      <c r="I830" s="7" t="n">
        <f aca="false">(G830-H830)/G830</f>
        <v>0.853913043478261</v>
      </c>
      <c r="J830" s="15" t="n">
        <v>0.529</v>
      </c>
      <c r="K830" s="11" t="str">
        <f aca="false">IF(I830&lt;J830,"TAK","NIE")</f>
        <v>NIE</v>
      </c>
    </row>
    <row r="831" customFormat="false" ht="15" hidden="false" customHeight="false" outlineLevel="0" collapsed="false">
      <c r="A831" s="5" t="s">
        <v>332</v>
      </c>
      <c r="B831" s="5" t="s">
        <v>63</v>
      </c>
      <c r="C831" s="5" t="n">
        <v>2019</v>
      </c>
      <c r="D831" s="5" t="s">
        <v>64</v>
      </c>
      <c r="E831" s="5" t="s">
        <v>38</v>
      </c>
      <c r="F831" s="5" t="s">
        <v>39</v>
      </c>
      <c r="G831" s="6" t="n">
        <v>575</v>
      </c>
      <c r="H831" s="6" t="n">
        <v>103</v>
      </c>
      <c r="I831" s="7" t="n">
        <f aca="false">(G831-H831)/G831</f>
        <v>0.820869565217391</v>
      </c>
      <c r="J831" s="15" t="n">
        <v>0.529</v>
      </c>
      <c r="K831" s="11" t="str">
        <f aca="false">IF(I831&lt;J831,"TAK","NIE")</f>
        <v>NIE</v>
      </c>
    </row>
    <row r="832" customFormat="false" ht="15" hidden="false" customHeight="false" outlineLevel="0" collapsed="false">
      <c r="A832" s="5" t="s">
        <v>333</v>
      </c>
      <c r="B832" s="5" t="s">
        <v>63</v>
      </c>
      <c r="C832" s="5" t="n">
        <v>2019</v>
      </c>
      <c r="D832" s="5" t="s">
        <v>64</v>
      </c>
      <c r="E832" s="5" t="s">
        <v>38</v>
      </c>
      <c r="F832" s="5" t="s">
        <v>39</v>
      </c>
      <c r="G832" s="6" t="n">
        <v>560</v>
      </c>
      <c r="H832" s="6" t="n">
        <v>178</v>
      </c>
      <c r="I832" s="7" t="n">
        <f aca="false">(G832-H832)/G832</f>
        <v>0.682142857142857</v>
      </c>
      <c r="J832" s="15" t="n">
        <v>0.529</v>
      </c>
      <c r="K832" s="11" t="str">
        <f aca="false">IF(I832&lt;J832,"TAK","NIE")</f>
        <v>NIE</v>
      </c>
    </row>
    <row r="833" customFormat="false" ht="15" hidden="false" customHeight="false" outlineLevel="0" collapsed="false">
      <c r="A833" s="5" t="s">
        <v>334</v>
      </c>
      <c r="B833" s="5" t="s">
        <v>63</v>
      </c>
      <c r="C833" s="5" t="n">
        <v>2019</v>
      </c>
      <c r="D833" s="5" t="s">
        <v>64</v>
      </c>
      <c r="E833" s="5" t="s">
        <v>38</v>
      </c>
      <c r="F833" s="5" t="s">
        <v>39</v>
      </c>
      <c r="G833" s="6" t="n">
        <v>575</v>
      </c>
      <c r="H833" s="6" t="n">
        <v>318</v>
      </c>
      <c r="I833" s="7" t="n">
        <f aca="false">(G833-H833)/G833</f>
        <v>0.44695652173913</v>
      </c>
      <c r="J833" s="15" t="n">
        <v>0.529</v>
      </c>
      <c r="K833" s="11" t="str">
        <f aca="false">IF(I833&lt;J833,"TAK","NIE")</f>
        <v>TAK</v>
      </c>
    </row>
    <row r="834" customFormat="false" ht="15" hidden="false" customHeight="false" outlineLevel="0" collapsed="false">
      <c r="A834" s="5" t="s">
        <v>335</v>
      </c>
      <c r="B834" s="5" t="s">
        <v>63</v>
      </c>
      <c r="C834" s="5" t="n">
        <v>2019</v>
      </c>
      <c r="D834" s="5" t="s">
        <v>64</v>
      </c>
      <c r="E834" s="5" t="s">
        <v>38</v>
      </c>
      <c r="F834" s="5" t="s">
        <v>39</v>
      </c>
      <c r="G834" s="6" t="n">
        <v>575</v>
      </c>
      <c r="H834" s="6" t="n">
        <v>175</v>
      </c>
      <c r="I834" s="7" t="n">
        <f aca="false">(G834-H834)/G834</f>
        <v>0.695652173913044</v>
      </c>
      <c r="J834" s="15" t="n">
        <v>0.529</v>
      </c>
      <c r="K834" s="11" t="str">
        <f aca="false">IF(I834&lt;J834,"TAK","NIE")</f>
        <v>NIE</v>
      </c>
    </row>
    <row r="835" customFormat="false" ht="15" hidden="false" customHeight="false" outlineLevel="0" collapsed="false">
      <c r="A835" s="5" t="s">
        <v>336</v>
      </c>
      <c r="B835" s="5" t="s">
        <v>63</v>
      </c>
      <c r="C835" s="5" t="n">
        <v>2019</v>
      </c>
      <c r="D835" s="5" t="s">
        <v>64</v>
      </c>
      <c r="E835" s="5" t="s">
        <v>38</v>
      </c>
      <c r="F835" s="5" t="s">
        <v>39</v>
      </c>
      <c r="G835" s="6" t="n">
        <v>575</v>
      </c>
      <c r="H835" s="6" t="n">
        <v>58</v>
      </c>
      <c r="I835" s="7" t="n">
        <f aca="false">(G835-H835)/G835</f>
        <v>0.899130434782609</v>
      </c>
      <c r="J835" s="15" t="n">
        <v>0.529</v>
      </c>
      <c r="K835" s="11" t="str">
        <f aca="false">IF(I835&lt;J835,"TAK","NIE")</f>
        <v>NIE</v>
      </c>
    </row>
    <row r="836" customFormat="false" ht="15" hidden="false" customHeight="false" outlineLevel="0" collapsed="false">
      <c r="A836" s="5" t="s">
        <v>315</v>
      </c>
      <c r="B836" s="5" t="s">
        <v>63</v>
      </c>
      <c r="C836" s="5" t="n">
        <v>2019</v>
      </c>
      <c r="D836" s="5" t="s">
        <v>64</v>
      </c>
      <c r="E836" s="5" t="s">
        <v>38</v>
      </c>
      <c r="F836" s="5" t="s">
        <v>40</v>
      </c>
      <c r="G836" s="6" t="n">
        <v>631</v>
      </c>
      <c r="H836" s="6" t="n">
        <v>139</v>
      </c>
      <c r="I836" s="7" t="n">
        <f aca="false">(G836-H836)/G836</f>
        <v>0.779714738510301</v>
      </c>
      <c r="J836" s="15" t="n">
        <v>0.4895</v>
      </c>
      <c r="K836" s="11" t="str">
        <f aca="false">IF(I836&lt;J836,"TAK","NIE")</f>
        <v>NIE</v>
      </c>
    </row>
    <row r="837" customFormat="false" ht="15" hidden="false" customHeight="false" outlineLevel="0" collapsed="false">
      <c r="A837" s="5" t="s">
        <v>316</v>
      </c>
      <c r="B837" s="5" t="s">
        <v>63</v>
      </c>
      <c r="C837" s="5" t="n">
        <v>2019</v>
      </c>
      <c r="D837" s="5" t="s">
        <v>64</v>
      </c>
      <c r="E837" s="5" t="s">
        <v>38</v>
      </c>
      <c r="F837" s="5" t="s">
        <v>40</v>
      </c>
      <c r="G837" s="6" t="n">
        <v>641</v>
      </c>
      <c r="H837" s="6" t="n">
        <v>101</v>
      </c>
      <c r="I837" s="7" t="n">
        <f aca="false">(G837-H837)/G837</f>
        <v>0.842433697347894</v>
      </c>
      <c r="J837" s="15" t="n">
        <v>0.4895</v>
      </c>
      <c r="K837" s="11" t="str">
        <f aca="false">IF(I837&lt;J837,"TAK","NIE")</f>
        <v>NIE</v>
      </c>
    </row>
    <row r="838" customFormat="false" ht="15" hidden="false" customHeight="false" outlineLevel="0" collapsed="false">
      <c r="A838" s="5" t="s">
        <v>317</v>
      </c>
      <c r="B838" s="5" t="s">
        <v>63</v>
      </c>
      <c r="C838" s="5" t="n">
        <v>2019</v>
      </c>
      <c r="D838" s="5" t="s">
        <v>64</v>
      </c>
      <c r="E838" s="5" t="s">
        <v>38</v>
      </c>
      <c r="F838" s="5" t="s">
        <v>40</v>
      </c>
      <c r="G838" s="6" t="n">
        <v>631</v>
      </c>
      <c r="H838" s="6" t="n">
        <v>5</v>
      </c>
      <c r="I838" s="7" t="n">
        <f aca="false">(G838-H838)/G838</f>
        <v>0.992076069730586</v>
      </c>
      <c r="J838" s="15" t="n">
        <v>0.4895</v>
      </c>
      <c r="K838" s="11" t="str">
        <f aca="false">IF(I838&lt;J838,"TAK","NIE")</f>
        <v>NIE</v>
      </c>
    </row>
    <row r="839" customFormat="false" ht="15" hidden="false" customHeight="false" outlineLevel="0" collapsed="false">
      <c r="A839" s="5" t="s">
        <v>318</v>
      </c>
      <c r="B839" s="5" t="s">
        <v>63</v>
      </c>
      <c r="C839" s="5" t="n">
        <v>2019</v>
      </c>
      <c r="D839" s="5" t="s">
        <v>64</v>
      </c>
      <c r="E839" s="5" t="s">
        <v>38</v>
      </c>
      <c r="F839" s="5" t="s">
        <v>40</v>
      </c>
      <c r="G839" s="6" t="n">
        <v>631</v>
      </c>
      <c r="H839" s="6" t="n">
        <v>210</v>
      </c>
      <c r="I839" s="7" t="n">
        <f aca="false">(G839-H839)/G839</f>
        <v>0.667194928684628</v>
      </c>
      <c r="J839" s="15" t="n">
        <v>0.4895</v>
      </c>
      <c r="K839" s="11" t="str">
        <f aca="false">IF(I839&lt;J839,"TAK","NIE")</f>
        <v>NIE</v>
      </c>
    </row>
    <row r="840" customFormat="false" ht="15" hidden="false" customHeight="false" outlineLevel="0" collapsed="false">
      <c r="A840" s="5" t="s">
        <v>319</v>
      </c>
      <c r="B840" s="5" t="s">
        <v>63</v>
      </c>
      <c r="C840" s="5" t="n">
        <v>2019</v>
      </c>
      <c r="D840" s="5" t="s">
        <v>64</v>
      </c>
      <c r="E840" s="5" t="s">
        <v>38</v>
      </c>
      <c r="F840" s="5" t="s">
        <v>40</v>
      </c>
      <c r="G840" s="6" t="n">
        <v>641</v>
      </c>
      <c r="H840" s="6" t="n">
        <v>115</v>
      </c>
      <c r="I840" s="7" t="n">
        <f aca="false">(G840-H840)/G840</f>
        <v>0.820592823712949</v>
      </c>
      <c r="J840" s="15" t="n">
        <v>0.4895</v>
      </c>
      <c r="K840" s="11" t="str">
        <f aca="false">IF(I840&lt;J840,"TAK","NIE")</f>
        <v>NIE</v>
      </c>
    </row>
    <row r="841" customFormat="false" ht="15" hidden="false" customHeight="false" outlineLevel="0" collapsed="false">
      <c r="A841" s="5" t="s">
        <v>320</v>
      </c>
      <c r="B841" s="5" t="s">
        <v>63</v>
      </c>
      <c r="C841" s="5" t="n">
        <v>2019</v>
      </c>
      <c r="D841" s="5" t="s">
        <v>64</v>
      </c>
      <c r="E841" s="5" t="s">
        <v>38</v>
      </c>
      <c r="F841" s="5" t="s">
        <v>40</v>
      </c>
      <c r="G841" s="6" t="n">
        <v>631</v>
      </c>
      <c r="H841" s="6" t="n">
        <v>117</v>
      </c>
      <c r="I841" s="7" t="n">
        <f aca="false">(G841-H841)/G841</f>
        <v>0.814580031695721</v>
      </c>
      <c r="J841" s="15" t="n">
        <v>0.4895</v>
      </c>
      <c r="K841" s="11" t="str">
        <f aca="false">IF(I841&lt;J841,"TAK","NIE")</f>
        <v>NIE</v>
      </c>
    </row>
    <row r="842" customFormat="false" ht="15" hidden="false" customHeight="false" outlineLevel="0" collapsed="false">
      <c r="A842" s="5" t="s">
        <v>321</v>
      </c>
      <c r="B842" s="5" t="s">
        <v>63</v>
      </c>
      <c r="C842" s="5" t="n">
        <v>2019</v>
      </c>
      <c r="D842" s="5" t="s">
        <v>64</v>
      </c>
      <c r="E842" s="5" t="s">
        <v>38</v>
      </c>
      <c r="F842" s="5" t="s">
        <v>40</v>
      </c>
      <c r="G842" s="6" t="n">
        <v>631</v>
      </c>
      <c r="H842" s="6" t="n">
        <v>32</v>
      </c>
      <c r="I842" s="7" t="n">
        <f aca="false">(G842-H842)/G842</f>
        <v>0.949286846275753</v>
      </c>
      <c r="J842" s="15" t="n">
        <v>0.4895</v>
      </c>
      <c r="K842" s="11" t="str">
        <f aca="false">IF(I842&lt;J842,"TAK","NIE")</f>
        <v>NIE</v>
      </c>
    </row>
    <row r="843" customFormat="false" ht="15" hidden="false" customHeight="false" outlineLevel="0" collapsed="false">
      <c r="A843" s="5" t="s">
        <v>322</v>
      </c>
      <c r="B843" s="5" t="s">
        <v>63</v>
      </c>
      <c r="C843" s="5" t="n">
        <v>2019</v>
      </c>
      <c r="D843" s="5" t="s">
        <v>64</v>
      </c>
      <c r="E843" s="5" t="s">
        <v>38</v>
      </c>
      <c r="F843" s="5" t="s">
        <v>40</v>
      </c>
      <c r="G843" s="6" t="n">
        <v>641</v>
      </c>
      <c r="H843" s="6" t="n">
        <v>174</v>
      </c>
      <c r="I843" s="7" t="n">
        <f aca="false">(G843-H843)/G843</f>
        <v>0.728549141965679</v>
      </c>
      <c r="J843" s="15" t="n">
        <v>0.4895</v>
      </c>
      <c r="K843" s="11" t="str">
        <f aca="false">IF(I843&lt;J843,"TAK","NIE")</f>
        <v>NIE</v>
      </c>
    </row>
    <row r="844" customFormat="false" ht="15" hidden="false" customHeight="false" outlineLevel="0" collapsed="false">
      <c r="A844" s="5" t="s">
        <v>323</v>
      </c>
      <c r="B844" s="5" t="s">
        <v>63</v>
      </c>
      <c r="C844" s="5" t="n">
        <v>2019</v>
      </c>
      <c r="D844" s="5" t="s">
        <v>64</v>
      </c>
      <c r="E844" s="5" t="s">
        <v>38</v>
      </c>
      <c r="F844" s="5" t="s">
        <v>40</v>
      </c>
      <c r="G844" s="6" t="n">
        <v>631</v>
      </c>
      <c r="H844" s="6" t="n">
        <v>177</v>
      </c>
      <c r="I844" s="7" t="n">
        <f aca="false">(G844-H844)/G844</f>
        <v>0.719492868462758</v>
      </c>
      <c r="J844" s="15" t="n">
        <v>0.4895</v>
      </c>
      <c r="K844" s="11" t="str">
        <f aca="false">IF(I844&lt;J844,"TAK","NIE")</f>
        <v>NIE</v>
      </c>
    </row>
    <row r="845" customFormat="false" ht="15" hidden="false" customHeight="false" outlineLevel="0" collapsed="false">
      <c r="A845" s="5" t="s">
        <v>324</v>
      </c>
      <c r="B845" s="5" t="s">
        <v>63</v>
      </c>
      <c r="C845" s="5" t="n">
        <v>2019</v>
      </c>
      <c r="D845" s="5" t="s">
        <v>64</v>
      </c>
      <c r="E845" s="5" t="s">
        <v>38</v>
      </c>
      <c r="F845" s="5" t="s">
        <v>40</v>
      </c>
      <c r="G845" s="6" t="n">
        <v>631</v>
      </c>
      <c r="H845" s="6" t="n">
        <v>88</v>
      </c>
      <c r="I845" s="7" t="n">
        <f aca="false">(G845-H845)/G845</f>
        <v>0.86053882725832</v>
      </c>
      <c r="J845" s="15" t="n">
        <v>0.4895</v>
      </c>
      <c r="K845" s="11" t="str">
        <f aca="false">IF(I845&lt;J845,"TAK","NIE")</f>
        <v>NIE</v>
      </c>
    </row>
    <row r="846" customFormat="false" ht="15" hidden="false" customHeight="false" outlineLevel="0" collapsed="false">
      <c r="A846" s="5" t="s">
        <v>325</v>
      </c>
      <c r="B846" s="5" t="s">
        <v>63</v>
      </c>
      <c r="C846" s="5" t="n">
        <v>2019</v>
      </c>
      <c r="D846" s="5" t="s">
        <v>64</v>
      </c>
      <c r="E846" s="5" t="s">
        <v>38</v>
      </c>
      <c r="F846" s="5" t="s">
        <v>40</v>
      </c>
      <c r="G846" s="6" t="n">
        <v>631</v>
      </c>
      <c r="H846" s="6" t="n">
        <v>227</v>
      </c>
      <c r="I846" s="7" t="n">
        <f aca="false">(G846-H846)/G846</f>
        <v>0.640253565768621</v>
      </c>
      <c r="J846" s="15" t="n">
        <v>0.4895</v>
      </c>
      <c r="K846" s="11" t="str">
        <f aca="false">IF(I846&lt;J846,"TAK","NIE")</f>
        <v>NIE</v>
      </c>
    </row>
    <row r="847" customFormat="false" ht="15" hidden="false" customHeight="false" outlineLevel="0" collapsed="false">
      <c r="A847" s="5" t="s">
        <v>326</v>
      </c>
      <c r="B847" s="5" t="s">
        <v>63</v>
      </c>
      <c r="C847" s="5" t="n">
        <v>2019</v>
      </c>
      <c r="D847" s="5" t="s">
        <v>64</v>
      </c>
      <c r="E847" s="5" t="s">
        <v>38</v>
      </c>
      <c r="F847" s="5" t="s">
        <v>40</v>
      </c>
      <c r="G847" s="6" t="n">
        <v>641</v>
      </c>
      <c r="H847" s="6" t="n">
        <v>163</v>
      </c>
      <c r="I847" s="7" t="n">
        <f aca="false">(G847-H847)/G847</f>
        <v>0.745709828393136</v>
      </c>
      <c r="J847" s="15" t="n">
        <v>0.4895</v>
      </c>
      <c r="K847" s="11" t="str">
        <f aca="false">IF(I847&lt;J847,"TAK","NIE")</f>
        <v>NIE</v>
      </c>
    </row>
    <row r="848" customFormat="false" ht="15" hidden="false" customHeight="false" outlineLevel="0" collapsed="false">
      <c r="A848" s="5" t="s">
        <v>327</v>
      </c>
      <c r="B848" s="5" t="s">
        <v>63</v>
      </c>
      <c r="C848" s="5" t="n">
        <v>2019</v>
      </c>
      <c r="D848" s="5" t="s">
        <v>64</v>
      </c>
      <c r="E848" s="5" t="s">
        <v>38</v>
      </c>
      <c r="F848" s="5" t="s">
        <v>40</v>
      </c>
      <c r="G848" s="6" t="n">
        <v>641</v>
      </c>
      <c r="H848" s="6" t="n">
        <v>192</v>
      </c>
      <c r="I848" s="7" t="n">
        <f aca="false">(G848-H848)/G848</f>
        <v>0.700468018720749</v>
      </c>
      <c r="J848" s="15" t="n">
        <v>0.4895</v>
      </c>
      <c r="K848" s="11" t="str">
        <f aca="false">IF(I848&lt;J848,"TAK","NIE")</f>
        <v>NIE</v>
      </c>
    </row>
    <row r="849" customFormat="false" ht="15" hidden="false" customHeight="false" outlineLevel="0" collapsed="false">
      <c r="A849" s="5" t="s">
        <v>328</v>
      </c>
      <c r="B849" s="5" t="s">
        <v>63</v>
      </c>
      <c r="C849" s="5" t="n">
        <v>2019</v>
      </c>
      <c r="D849" s="5" t="s">
        <v>64</v>
      </c>
      <c r="E849" s="5" t="s">
        <v>38</v>
      </c>
      <c r="F849" s="5" t="s">
        <v>40</v>
      </c>
      <c r="G849" s="6" t="n">
        <v>631</v>
      </c>
      <c r="H849" s="6" t="n">
        <v>73</v>
      </c>
      <c r="I849" s="7" t="n">
        <f aca="false">(G849-H849)/G849</f>
        <v>0.884310618066561</v>
      </c>
      <c r="J849" s="15" t="n">
        <v>0.4895</v>
      </c>
      <c r="K849" s="11" t="str">
        <f aca="false">IF(I849&lt;J849,"TAK","NIE")</f>
        <v>NIE</v>
      </c>
    </row>
    <row r="850" customFormat="false" ht="15" hidden="false" customHeight="false" outlineLevel="0" collapsed="false">
      <c r="A850" s="5" t="s">
        <v>329</v>
      </c>
      <c r="B850" s="5" t="s">
        <v>63</v>
      </c>
      <c r="C850" s="5" t="n">
        <v>2019</v>
      </c>
      <c r="D850" s="5" t="s">
        <v>64</v>
      </c>
      <c r="E850" s="5" t="s">
        <v>38</v>
      </c>
      <c r="F850" s="5" t="s">
        <v>40</v>
      </c>
      <c r="G850" s="6" t="n">
        <v>641</v>
      </c>
      <c r="H850" s="6" t="n">
        <v>46</v>
      </c>
      <c r="I850" s="7" t="n">
        <f aca="false">(G850-H850)/G850</f>
        <v>0.928237129485179</v>
      </c>
      <c r="J850" s="15" t="n">
        <v>0.4895</v>
      </c>
      <c r="K850" s="11" t="str">
        <f aca="false">IF(I850&lt;J850,"TAK","NIE")</f>
        <v>NIE</v>
      </c>
    </row>
    <row r="851" customFormat="false" ht="15" hidden="false" customHeight="false" outlineLevel="0" collapsed="false">
      <c r="A851" s="5" t="s">
        <v>330</v>
      </c>
      <c r="B851" s="5" t="s">
        <v>63</v>
      </c>
      <c r="C851" s="5" t="n">
        <v>2019</v>
      </c>
      <c r="D851" s="5" t="s">
        <v>64</v>
      </c>
      <c r="E851" s="5" t="s">
        <v>38</v>
      </c>
      <c r="F851" s="5" t="s">
        <v>40</v>
      </c>
      <c r="G851" s="6" t="n">
        <v>641</v>
      </c>
      <c r="H851" s="6" t="n">
        <v>173</v>
      </c>
      <c r="I851" s="7" t="n">
        <f aca="false">(G851-H851)/G851</f>
        <v>0.730109204368175</v>
      </c>
      <c r="J851" s="15" t="n">
        <v>0.4895</v>
      </c>
      <c r="K851" s="11" t="str">
        <f aca="false">IF(I851&lt;J851,"TAK","NIE")</f>
        <v>NIE</v>
      </c>
    </row>
    <row r="852" customFormat="false" ht="15" hidden="false" customHeight="false" outlineLevel="0" collapsed="false">
      <c r="A852" s="5" t="s">
        <v>331</v>
      </c>
      <c r="B852" s="5" t="s">
        <v>63</v>
      </c>
      <c r="C852" s="5" t="n">
        <v>2019</v>
      </c>
      <c r="D852" s="5" t="s">
        <v>64</v>
      </c>
      <c r="E852" s="5" t="s">
        <v>38</v>
      </c>
      <c r="F852" s="5" t="s">
        <v>40</v>
      </c>
      <c r="G852" s="6" t="n">
        <v>641</v>
      </c>
      <c r="H852" s="6" t="n">
        <v>96</v>
      </c>
      <c r="I852" s="7" t="n">
        <f aca="false">(G852-H852)/G852</f>
        <v>0.850234009360374</v>
      </c>
      <c r="J852" s="15" t="n">
        <v>0.4895</v>
      </c>
      <c r="K852" s="11" t="str">
        <f aca="false">IF(I852&lt;J852,"TAK","NIE")</f>
        <v>NIE</v>
      </c>
    </row>
    <row r="853" customFormat="false" ht="15" hidden="false" customHeight="false" outlineLevel="0" collapsed="false">
      <c r="A853" s="5" t="s">
        <v>332</v>
      </c>
      <c r="B853" s="5" t="s">
        <v>63</v>
      </c>
      <c r="C853" s="5" t="n">
        <v>2019</v>
      </c>
      <c r="D853" s="5" t="s">
        <v>64</v>
      </c>
      <c r="E853" s="5" t="s">
        <v>38</v>
      </c>
      <c r="F853" s="5" t="s">
        <v>40</v>
      </c>
      <c r="G853" s="6" t="n">
        <v>631</v>
      </c>
      <c r="H853" s="6" t="n">
        <v>236</v>
      </c>
      <c r="I853" s="7" t="n">
        <f aca="false">(G853-H853)/G853</f>
        <v>0.625990491283677</v>
      </c>
      <c r="J853" s="15" t="n">
        <v>0.4895</v>
      </c>
      <c r="K853" s="11" t="str">
        <f aca="false">IF(I853&lt;J853,"TAK","NIE")</f>
        <v>NIE</v>
      </c>
    </row>
    <row r="854" customFormat="false" ht="15" hidden="false" customHeight="false" outlineLevel="0" collapsed="false">
      <c r="A854" s="5" t="s">
        <v>333</v>
      </c>
      <c r="B854" s="5" t="s">
        <v>63</v>
      </c>
      <c r="C854" s="5" t="n">
        <v>2019</v>
      </c>
      <c r="D854" s="5" t="s">
        <v>64</v>
      </c>
      <c r="E854" s="5" t="s">
        <v>38</v>
      </c>
      <c r="F854" s="5" t="s">
        <v>40</v>
      </c>
      <c r="G854" s="6" t="n">
        <v>641</v>
      </c>
      <c r="H854" s="6" t="n">
        <v>217</v>
      </c>
      <c r="I854" s="7" t="n">
        <f aca="false">(G854-H854)/G854</f>
        <v>0.661466458658346</v>
      </c>
      <c r="J854" s="15" t="n">
        <v>0.4895</v>
      </c>
      <c r="K854" s="11" t="str">
        <f aca="false">IF(I854&lt;J854,"TAK","NIE")</f>
        <v>NIE</v>
      </c>
    </row>
    <row r="855" customFormat="false" ht="15" hidden="false" customHeight="false" outlineLevel="0" collapsed="false">
      <c r="A855" s="5" t="s">
        <v>334</v>
      </c>
      <c r="B855" s="5" t="s">
        <v>63</v>
      </c>
      <c r="C855" s="5" t="n">
        <v>2019</v>
      </c>
      <c r="D855" s="5" t="s">
        <v>64</v>
      </c>
      <c r="E855" s="5" t="s">
        <v>38</v>
      </c>
      <c r="F855" s="5" t="s">
        <v>40</v>
      </c>
      <c r="G855" s="6" t="n">
        <v>641</v>
      </c>
      <c r="H855" s="6" t="n">
        <v>278</v>
      </c>
      <c r="I855" s="7" t="n">
        <f aca="false">(G855-H855)/G855</f>
        <v>0.566302652106084</v>
      </c>
      <c r="J855" s="15" t="n">
        <v>0.4895</v>
      </c>
      <c r="K855" s="11" t="str">
        <f aca="false">IF(I855&lt;J855,"TAK","NIE")</f>
        <v>NIE</v>
      </c>
    </row>
    <row r="856" customFormat="false" ht="15" hidden="false" customHeight="false" outlineLevel="0" collapsed="false">
      <c r="A856" s="5" t="s">
        <v>335</v>
      </c>
      <c r="B856" s="5" t="s">
        <v>63</v>
      </c>
      <c r="C856" s="5" t="n">
        <v>2019</v>
      </c>
      <c r="D856" s="5" t="s">
        <v>64</v>
      </c>
      <c r="E856" s="5" t="s">
        <v>38</v>
      </c>
      <c r="F856" s="5" t="s">
        <v>40</v>
      </c>
      <c r="G856" s="6" t="n">
        <v>631</v>
      </c>
      <c r="H856" s="6" t="n">
        <v>123</v>
      </c>
      <c r="I856" s="7" t="n">
        <f aca="false">(G856-H856)/G856</f>
        <v>0.805071315372425</v>
      </c>
      <c r="J856" s="15" t="n">
        <v>0.4895</v>
      </c>
      <c r="K856" s="11" t="str">
        <f aca="false">IF(I856&lt;J856,"TAK","NIE")</f>
        <v>NIE</v>
      </c>
    </row>
    <row r="857" customFormat="false" ht="15" hidden="false" customHeight="false" outlineLevel="0" collapsed="false">
      <c r="A857" s="5" t="s">
        <v>336</v>
      </c>
      <c r="B857" s="5" t="s">
        <v>63</v>
      </c>
      <c r="C857" s="5" t="n">
        <v>2019</v>
      </c>
      <c r="D857" s="5" t="s">
        <v>64</v>
      </c>
      <c r="E857" s="5" t="s">
        <v>38</v>
      </c>
      <c r="F857" s="5" t="s">
        <v>40</v>
      </c>
      <c r="G857" s="6" t="n">
        <v>631</v>
      </c>
      <c r="H857" s="6" t="n">
        <v>99</v>
      </c>
      <c r="I857" s="7" t="n">
        <f aca="false">(G857-H857)/G857</f>
        <v>0.84310618066561</v>
      </c>
      <c r="J857" s="15" t="n">
        <v>0.4895</v>
      </c>
      <c r="K857" s="11" t="str">
        <f aca="false">IF(I857&lt;J857,"TAK","NIE")</f>
        <v>NIE</v>
      </c>
    </row>
    <row r="858" customFormat="false" ht="15" hidden="false" customHeight="false" outlineLevel="0" collapsed="false">
      <c r="A858" s="5" t="s">
        <v>315</v>
      </c>
      <c r="B858" s="5" t="s">
        <v>65</v>
      </c>
      <c r="C858" s="5" t="n">
        <v>2019</v>
      </c>
      <c r="D858" s="5" t="s">
        <v>64</v>
      </c>
      <c r="E858" s="5" t="s">
        <v>46</v>
      </c>
      <c r="F858" s="5" t="s">
        <v>39</v>
      </c>
      <c r="G858" s="6" t="n">
        <v>644</v>
      </c>
      <c r="H858" s="6" t="n">
        <v>155</v>
      </c>
      <c r="I858" s="7" t="n">
        <f aca="false">(G858-H858)/G858</f>
        <v>0.759316770186335</v>
      </c>
      <c r="J858" s="15" t="n">
        <v>0.3895</v>
      </c>
      <c r="K858" s="11" t="str">
        <f aca="false">IF(I858&lt;J858,"TAK","NIE")</f>
        <v>NIE</v>
      </c>
    </row>
    <row r="859" customFormat="false" ht="15" hidden="false" customHeight="false" outlineLevel="0" collapsed="false">
      <c r="A859" s="5" t="s">
        <v>316</v>
      </c>
      <c r="B859" s="5" t="s">
        <v>65</v>
      </c>
      <c r="C859" s="5" t="n">
        <v>2019</v>
      </c>
      <c r="D859" s="5" t="s">
        <v>64</v>
      </c>
      <c r="E859" s="5" t="s">
        <v>46</v>
      </c>
      <c r="F859" s="5" t="s">
        <v>39</v>
      </c>
      <c r="G859" s="6" t="n">
        <v>645</v>
      </c>
      <c r="H859" s="6" t="n">
        <v>135</v>
      </c>
      <c r="I859" s="7" t="n">
        <f aca="false">(G859-H859)/G859</f>
        <v>0.790697674418605</v>
      </c>
      <c r="J859" s="15" t="n">
        <v>0.3895</v>
      </c>
      <c r="K859" s="11" t="str">
        <f aca="false">IF(I859&lt;J859,"TAK","NIE")</f>
        <v>NIE</v>
      </c>
    </row>
    <row r="860" customFormat="false" ht="15" hidden="false" customHeight="false" outlineLevel="0" collapsed="false">
      <c r="A860" s="5" t="s">
        <v>195</v>
      </c>
      <c r="B860" s="5" t="s">
        <v>65</v>
      </c>
      <c r="C860" s="5" t="n">
        <v>2019</v>
      </c>
      <c r="D860" s="5" t="s">
        <v>64</v>
      </c>
      <c r="E860" s="5" t="s">
        <v>46</v>
      </c>
      <c r="F860" s="5" t="s">
        <v>39</v>
      </c>
      <c r="G860" s="6" t="n">
        <v>574</v>
      </c>
      <c r="H860" s="6" t="n">
        <v>281</v>
      </c>
      <c r="I860" s="7" t="n">
        <f aca="false">(G860-H860)/G860</f>
        <v>0.510452961672474</v>
      </c>
      <c r="J860" s="15" t="n">
        <v>0.3895</v>
      </c>
      <c r="K860" s="11" t="str">
        <f aca="false">IF(I860&lt;J860,"TAK","NIE")</f>
        <v>NIE</v>
      </c>
    </row>
    <row r="861" customFormat="false" ht="15" hidden="false" customHeight="false" outlineLevel="0" collapsed="false">
      <c r="A861" s="5" t="s">
        <v>317</v>
      </c>
      <c r="B861" s="5" t="s">
        <v>65</v>
      </c>
      <c r="C861" s="5" t="n">
        <v>2019</v>
      </c>
      <c r="D861" s="5" t="s">
        <v>64</v>
      </c>
      <c r="E861" s="5" t="s">
        <v>46</v>
      </c>
      <c r="F861" s="5" t="s">
        <v>39</v>
      </c>
      <c r="G861" s="6" t="n">
        <v>645</v>
      </c>
      <c r="H861" s="6" t="n">
        <v>81</v>
      </c>
      <c r="I861" s="7" t="n">
        <f aca="false">(G861-H861)/G861</f>
        <v>0.874418604651163</v>
      </c>
      <c r="J861" s="15" t="n">
        <v>0.3895</v>
      </c>
      <c r="K861" s="11" t="str">
        <f aca="false">IF(I861&lt;J861,"TAK","NIE")</f>
        <v>NIE</v>
      </c>
    </row>
    <row r="862" customFormat="false" ht="15" hidden="false" customHeight="false" outlineLevel="0" collapsed="false">
      <c r="A862" s="5" t="s">
        <v>318</v>
      </c>
      <c r="B862" s="5" t="s">
        <v>65</v>
      </c>
      <c r="C862" s="5" t="n">
        <v>2019</v>
      </c>
      <c r="D862" s="5" t="s">
        <v>64</v>
      </c>
      <c r="E862" s="5" t="s">
        <v>46</v>
      </c>
      <c r="F862" s="5" t="s">
        <v>39</v>
      </c>
      <c r="G862" s="6" t="n">
        <v>645</v>
      </c>
      <c r="H862" s="6" t="n">
        <v>171</v>
      </c>
      <c r="I862" s="7" t="n">
        <f aca="false">(G862-H862)/G862</f>
        <v>0.734883720930233</v>
      </c>
      <c r="J862" s="15" t="n">
        <v>0.3895</v>
      </c>
      <c r="K862" s="11" t="str">
        <f aca="false">IF(I862&lt;J862,"TAK","NIE")</f>
        <v>NIE</v>
      </c>
    </row>
    <row r="863" customFormat="false" ht="15" hidden="false" customHeight="false" outlineLevel="0" collapsed="false">
      <c r="A863" s="5" t="s">
        <v>319</v>
      </c>
      <c r="B863" s="5" t="s">
        <v>65</v>
      </c>
      <c r="C863" s="5" t="n">
        <v>2019</v>
      </c>
      <c r="D863" s="5" t="s">
        <v>64</v>
      </c>
      <c r="E863" s="5" t="s">
        <v>46</v>
      </c>
      <c r="F863" s="5" t="s">
        <v>39</v>
      </c>
      <c r="G863" s="6" t="n">
        <v>645</v>
      </c>
      <c r="H863" s="6" t="n">
        <v>250</v>
      </c>
      <c r="I863" s="7" t="n">
        <f aca="false">(G863-H863)/G863</f>
        <v>0.612403100775194</v>
      </c>
      <c r="J863" s="15" t="n">
        <v>0.3895</v>
      </c>
      <c r="K863" s="11" t="str">
        <f aca="false">IF(I863&lt;J863,"TAK","NIE")</f>
        <v>NIE</v>
      </c>
    </row>
    <row r="864" customFormat="false" ht="15" hidden="false" customHeight="false" outlineLevel="0" collapsed="false">
      <c r="A864" s="5" t="s">
        <v>320</v>
      </c>
      <c r="B864" s="5" t="s">
        <v>65</v>
      </c>
      <c r="C864" s="5" t="n">
        <v>2019</v>
      </c>
      <c r="D864" s="5" t="s">
        <v>64</v>
      </c>
      <c r="E864" s="5" t="s">
        <v>46</v>
      </c>
      <c r="F864" s="5" t="s">
        <v>39</v>
      </c>
      <c r="G864" s="6" t="n">
        <v>645</v>
      </c>
      <c r="H864" s="6" t="n">
        <v>181</v>
      </c>
      <c r="I864" s="7" t="n">
        <f aca="false">(G864-H864)/G864</f>
        <v>0.71937984496124</v>
      </c>
      <c r="J864" s="15" t="n">
        <v>0.3895</v>
      </c>
      <c r="K864" s="11" t="str">
        <f aca="false">IF(I864&lt;J864,"TAK","NIE")</f>
        <v>NIE</v>
      </c>
    </row>
    <row r="865" customFormat="false" ht="15" hidden="false" customHeight="false" outlineLevel="0" collapsed="false">
      <c r="A865" s="5" t="s">
        <v>321</v>
      </c>
      <c r="B865" s="5" t="s">
        <v>65</v>
      </c>
      <c r="C865" s="5" t="n">
        <v>2019</v>
      </c>
      <c r="D865" s="5" t="s">
        <v>64</v>
      </c>
      <c r="E865" s="5" t="s">
        <v>46</v>
      </c>
      <c r="F865" s="5" t="s">
        <v>39</v>
      </c>
      <c r="G865" s="6" t="n">
        <v>645</v>
      </c>
      <c r="H865" s="6" t="n">
        <v>56</v>
      </c>
      <c r="I865" s="7" t="n">
        <f aca="false">(G865-H865)/G865</f>
        <v>0.913178294573643</v>
      </c>
      <c r="J865" s="15" t="n">
        <v>0.3895</v>
      </c>
      <c r="K865" s="11" t="str">
        <f aca="false">IF(I865&lt;J865,"TAK","NIE")</f>
        <v>NIE</v>
      </c>
    </row>
    <row r="866" customFormat="false" ht="15" hidden="false" customHeight="false" outlineLevel="0" collapsed="false">
      <c r="A866" s="5" t="s">
        <v>322</v>
      </c>
      <c r="B866" s="5" t="s">
        <v>65</v>
      </c>
      <c r="C866" s="5" t="n">
        <v>2019</v>
      </c>
      <c r="D866" s="5" t="s">
        <v>64</v>
      </c>
      <c r="E866" s="5" t="s">
        <v>46</v>
      </c>
      <c r="F866" s="5" t="s">
        <v>39</v>
      </c>
      <c r="G866" s="6" t="n">
        <v>645</v>
      </c>
      <c r="H866" s="6" t="n">
        <v>250</v>
      </c>
      <c r="I866" s="7" t="n">
        <f aca="false">(G866-H866)/G866</f>
        <v>0.612403100775194</v>
      </c>
      <c r="J866" s="15" t="n">
        <v>0.3895</v>
      </c>
      <c r="K866" s="11" t="str">
        <f aca="false">IF(I866&lt;J866,"TAK","NIE")</f>
        <v>NIE</v>
      </c>
    </row>
    <row r="867" customFormat="false" ht="15" hidden="false" customHeight="false" outlineLevel="0" collapsed="false">
      <c r="A867" s="5" t="s">
        <v>323</v>
      </c>
      <c r="B867" s="5" t="s">
        <v>65</v>
      </c>
      <c r="C867" s="5" t="n">
        <v>2019</v>
      </c>
      <c r="D867" s="5" t="s">
        <v>64</v>
      </c>
      <c r="E867" s="5" t="s">
        <v>46</v>
      </c>
      <c r="F867" s="5" t="s">
        <v>39</v>
      </c>
      <c r="G867" s="6" t="n">
        <v>645</v>
      </c>
      <c r="H867" s="6" t="n">
        <v>126</v>
      </c>
      <c r="I867" s="7" t="n">
        <f aca="false">(G867-H867)/G867</f>
        <v>0.804651162790698</v>
      </c>
      <c r="J867" s="15" t="n">
        <v>0.3895</v>
      </c>
      <c r="K867" s="11" t="str">
        <f aca="false">IF(I867&lt;J867,"TAK","NIE")</f>
        <v>NIE</v>
      </c>
    </row>
    <row r="868" customFormat="false" ht="15" hidden="false" customHeight="false" outlineLevel="0" collapsed="false">
      <c r="A868" s="5" t="s">
        <v>324</v>
      </c>
      <c r="B868" s="5" t="s">
        <v>65</v>
      </c>
      <c r="C868" s="5" t="n">
        <v>2019</v>
      </c>
      <c r="D868" s="5" t="s">
        <v>64</v>
      </c>
      <c r="E868" s="5" t="s">
        <v>46</v>
      </c>
      <c r="F868" s="5" t="s">
        <v>39</v>
      </c>
      <c r="G868" s="6" t="n">
        <v>644</v>
      </c>
      <c r="H868" s="6" t="n">
        <v>248</v>
      </c>
      <c r="I868" s="7" t="n">
        <f aca="false">(G868-H868)/G868</f>
        <v>0.614906832298137</v>
      </c>
      <c r="J868" s="15" t="n">
        <v>0.3895</v>
      </c>
      <c r="K868" s="11" t="str">
        <f aca="false">IF(I868&lt;J868,"TAK","NIE")</f>
        <v>NIE</v>
      </c>
    </row>
    <row r="869" customFormat="false" ht="15" hidden="false" customHeight="false" outlineLevel="0" collapsed="false">
      <c r="A869" s="5" t="s">
        <v>325</v>
      </c>
      <c r="B869" s="5" t="s">
        <v>65</v>
      </c>
      <c r="C869" s="5" t="n">
        <v>2019</v>
      </c>
      <c r="D869" s="5" t="s">
        <v>64</v>
      </c>
      <c r="E869" s="5" t="s">
        <v>46</v>
      </c>
      <c r="F869" s="5" t="s">
        <v>39</v>
      </c>
      <c r="G869" s="6" t="n">
        <v>645</v>
      </c>
      <c r="H869" s="6" t="n">
        <v>344</v>
      </c>
      <c r="I869" s="7" t="n">
        <f aca="false">(G869-H869)/G869</f>
        <v>0.466666666666667</v>
      </c>
      <c r="J869" s="15" t="n">
        <v>0.3895</v>
      </c>
      <c r="K869" s="11" t="str">
        <f aca="false">IF(I869&lt;J869,"TAK","NIE")</f>
        <v>NIE</v>
      </c>
    </row>
    <row r="870" customFormat="false" ht="15" hidden="false" customHeight="false" outlineLevel="0" collapsed="false">
      <c r="A870" s="5" t="s">
        <v>326</v>
      </c>
      <c r="B870" s="5" t="s">
        <v>65</v>
      </c>
      <c r="C870" s="5" t="n">
        <v>2019</v>
      </c>
      <c r="D870" s="5" t="s">
        <v>64</v>
      </c>
      <c r="E870" s="5" t="s">
        <v>46</v>
      </c>
      <c r="F870" s="5" t="s">
        <v>39</v>
      </c>
      <c r="G870" s="6" t="n">
        <v>645</v>
      </c>
      <c r="H870" s="6" t="n">
        <v>234</v>
      </c>
      <c r="I870" s="7" t="n">
        <f aca="false">(G870-H870)/G870</f>
        <v>0.637209302325581</v>
      </c>
      <c r="J870" s="15" t="n">
        <v>0.3895</v>
      </c>
      <c r="K870" s="11" t="str">
        <f aca="false">IF(I870&lt;J870,"TAK","NIE")</f>
        <v>NIE</v>
      </c>
    </row>
    <row r="871" customFormat="false" ht="15" hidden="false" customHeight="false" outlineLevel="0" collapsed="false">
      <c r="A871" s="5" t="s">
        <v>327</v>
      </c>
      <c r="B871" s="5" t="s">
        <v>65</v>
      </c>
      <c r="C871" s="5" t="n">
        <v>2019</v>
      </c>
      <c r="D871" s="5" t="s">
        <v>64</v>
      </c>
      <c r="E871" s="5" t="s">
        <v>46</v>
      </c>
      <c r="F871" s="5" t="s">
        <v>39</v>
      </c>
      <c r="G871" s="6" t="n">
        <v>645</v>
      </c>
      <c r="H871" s="6" t="n">
        <v>251</v>
      </c>
      <c r="I871" s="7" t="n">
        <f aca="false">(G871-H871)/G871</f>
        <v>0.610852713178295</v>
      </c>
      <c r="J871" s="15" t="n">
        <v>0.3895</v>
      </c>
      <c r="K871" s="11" t="str">
        <f aca="false">IF(I871&lt;J871,"TAK","NIE")</f>
        <v>NIE</v>
      </c>
    </row>
    <row r="872" customFormat="false" ht="15" hidden="false" customHeight="false" outlineLevel="0" collapsed="false">
      <c r="A872" s="5" t="s">
        <v>328</v>
      </c>
      <c r="B872" s="5" t="s">
        <v>65</v>
      </c>
      <c r="C872" s="5" t="n">
        <v>2019</v>
      </c>
      <c r="D872" s="5" t="s">
        <v>64</v>
      </c>
      <c r="E872" s="5" t="s">
        <v>46</v>
      </c>
      <c r="F872" s="5" t="s">
        <v>39</v>
      </c>
      <c r="G872" s="6" t="n">
        <v>645</v>
      </c>
      <c r="H872" s="6" t="n">
        <v>227</v>
      </c>
      <c r="I872" s="7" t="n">
        <f aca="false">(G872-H872)/G872</f>
        <v>0.648062015503876</v>
      </c>
      <c r="J872" s="15" t="n">
        <v>0.3895</v>
      </c>
      <c r="K872" s="11" t="str">
        <f aca="false">IF(I872&lt;J872,"TAK","NIE")</f>
        <v>NIE</v>
      </c>
    </row>
    <row r="873" customFormat="false" ht="15" hidden="false" customHeight="false" outlineLevel="0" collapsed="false">
      <c r="A873" s="5" t="s">
        <v>329</v>
      </c>
      <c r="B873" s="5" t="s">
        <v>65</v>
      </c>
      <c r="C873" s="5" t="n">
        <v>2019</v>
      </c>
      <c r="D873" s="5" t="s">
        <v>64</v>
      </c>
      <c r="E873" s="5" t="s">
        <v>46</v>
      </c>
      <c r="F873" s="5" t="s">
        <v>39</v>
      </c>
      <c r="G873" s="6" t="n">
        <v>645</v>
      </c>
      <c r="H873" s="6" t="n">
        <v>197</v>
      </c>
      <c r="I873" s="7" t="n">
        <f aca="false">(G873-H873)/G873</f>
        <v>0.694573643410853</v>
      </c>
      <c r="J873" s="15" t="n">
        <v>0.3895</v>
      </c>
      <c r="K873" s="11" t="str">
        <f aca="false">IF(I873&lt;J873,"TAK","NIE")</f>
        <v>NIE</v>
      </c>
    </row>
    <row r="874" customFormat="false" ht="15" hidden="false" customHeight="false" outlineLevel="0" collapsed="false">
      <c r="A874" s="5" t="s">
        <v>330</v>
      </c>
      <c r="B874" s="5" t="s">
        <v>65</v>
      </c>
      <c r="C874" s="5" t="n">
        <v>2019</v>
      </c>
      <c r="D874" s="5" t="s">
        <v>64</v>
      </c>
      <c r="E874" s="5" t="s">
        <v>46</v>
      </c>
      <c r="F874" s="5" t="s">
        <v>39</v>
      </c>
      <c r="G874" s="6" t="n">
        <v>645</v>
      </c>
      <c r="H874" s="6" t="n">
        <v>180</v>
      </c>
      <c r="I874" s="7" t="n">
        <f aca="false">(G874-H874)/G874</f>
        <v>0.72093023255814</v>
      </c>
      <c r="J874" s="15" t="n">
        <v>0.3895</v>
      </c>
      <c r="K874" s="11" t="str">
        <f aca="false">IF(I874&lt;J874,"TAK","NIE")</f>
        <v>NIE</v>
      </c>
    </row>
    <row r="875" customFormat="false" ht="15" hidden="false" customHeight="false" outlineLevel="0" collapsed="false">
      <c r="A875" s="5" t="s">
        <v>331</v>
      </c>
      <c r="B875" s="5" t="s">
        <v>65</v>
      </c>
      <c r="C875" s="5" t="n">
        <v>2019</v>
      </c>
      <c r="D875" s="5" t="s">
        <v>64</v>
      </c>
      <c r="E875" s="5" t="s">
        <v>46</v>
      </c>
      <c r="F875" s="5" t="s">
        <v>39</v>
      </c>
      <c r="G875" s="6" t="n">
        <v>645</v>
      </c>
      <c r="H875" s="6" t="n">
        <v>250</v>
      </c>
      <c r="I875" s="7" t="n">
        <f aca="false">(G875-H875)/G875</f>
        <v>0.612403100775194</v>
      </c>
      <c r="J875" s="15" t="n">
        <v>0.3895</v>
      </c>
      <c r="K875" s="11" t="str">
        <f aca="false">IF(I875&lt;J875,"TAK","NIE")</f>
        <v>NIE</v>
      </c>
    </row>
    <row r="876" customFormat="false" ht="15" hidden="false" customHeight="false" outlineLevel="0" collapsed="false">
      <c r="A876" s="5" t="s">
        <v>332</v>
      </c>
      <c r="B876" s="5" t="s">
        <v>65</v>
      </c>
      <c r="C876" s="5" t="n">
        <v>2019</v>
      </c>
      <c r="D876" s="5" t="s">
        <v>64</v>
      </c>
      <c r="E876" s="5" t="s">
        <v>46</v>
      </c>
      <c r="F876" s="5" t="s">
        <v>39</v>
      </c>
      <c r="G876" s="6" t="n">
        <v>645</v>
      </c>
      <c r="H876" s="6" t="n">
        <v>272</v>
      </c>
      <c r="I876" s="7" t="n">
        <f aca="false">(G876-H876)/G876</f>
        <v>0.578294573643411</v>
      </c>
      <c r="J876" s="15" t="n">
        <v>0.3895</v>
      </c>
      <c r="K876" s="11" t="str">
        <f aca="false">IF(I876&lt;J876,"TAK","NIE")</f>
        <v>NIE</v>
      </c>
    </row>
    <row r="877" customFormat="false" ht="15" hidden="false" customHeight="false" outlineLevel="0" collapsed="false">
      <c r="A877" s="5" t="s">
        <v>333</v>
      </c>
      <c r="B877" s="5" t="s">
        <v>65</v>
      </c>
      <c r="C877" s="5" t="n">
        <v>2019</v>
      </c>
      <c r="D877" s="5" t="s">
        <v>64</v>
      </c>
      <c r="E877" s="5" t="s">
        <v>46</v>
      </c>
      <c r="F877" s="5" t="s">
        <v>39</v>
      </c>
      <c r="G877" s="6" t="n">
        <v>645</v>
      </c>
      <c r="H877" s="6" t="n">
        <v>155</v>
      </c>
      <c r="I877" s="7" t="n">
        <f aca="false">(G877-H877)/G877</f>
        <v>0.75968992248062</v>
      </c>
      <c r="J877" s="15" t="n">
        <v>0.3895</v>
      </c>
      <c r="K877" s="11" t="str">
        <f aca="false">IF(I877&lt;J877,"TAK","NIE")</f>
        <v>NIE</v>
      </c>
    </row>
    <row r="878" customFormat="false" ht="15" hidden="false" customHeight="false" outlineLevel="0" collapsed="false">
      <c r="A878" s="5" t="s">
        <v>334</v>
      </c>
      <c r="B878" s="5" t="s">
        <v>65</v>
      </c>
      <c r="C878" s="5" t="n">
        <v>2019</v>
      </c>
      <c r="D878" s="5" t="s">
        <v>64</v>
      </c>
      <c r="E878" s="5" t="s">
        <v>46</v>
      </c>
      <c r="F878" s="5" t="s">
        <v>39</v>
      </c>
      <c r="G878" s="6" t="n">
        <v>645</v>
      </c>
      <c r="H878" s="6" t="n">
        <v>372</v>
      </c>
      <c r="I878" s="7" t="n">
        <f aca="false">(G878-H878)/G878</f>
        <v>0.423255813953488</v>
      </c>
      <c r="J878" s="15" t="n">
        <v>0.3895</v>
      </c>
      <c r="K878" s="11" t="str">
        <f aca="false">IF(I878&lt;J878,"TAK","NIE")</f>
        <v>NIE</v>
      </c>
    </row>
    <row r="879" customFormat="false" ht="15" hidden="false" customHeight="false" outlineLevel="0" collapsed="false">
      <c r="A879" s="5" t="s">
        <v>335</v>
      </c>
      <c r="B879" s="5" t="s">
        <v>65</v>
      </c>
      <c r="C879" s="5" t="n">
        <v>2019</v>
      </c>
      <c r="D879" s="5" t="s">
        <v>64</v>
      </c>
      <c r="E879" s="5" t="s">
        <v>46</v>
      </c>
      <c r="F879" s="5" t="s">
        <v>39</v>
      </c>
      <c r="G879" s="6" t="n">
        <v>645</v>
      </c>
      <c r="H879" s="6" t="n">
        <v>271</v>
      </c>
      <c r="I879" s="7" t="n">
        <f aca="false">(G879-H879)/G879</f>
        <v>0.57984496124031</v>
      </c>
      <c r="J879" s="15" t="n">
        <v>0.3895</v>
      </c>
      <c r="K879" s="11" t="str">
        <f aca="false">IF(I879&lt;J879,"TAK","NIE")</f>
        <v>NIE</v>
      </c>
    </row>
    <row r="880" customFormat="false" ht="15" hidden="false" customHeight="false" outlineLevel="0" collapsed="false">
      <c r="A880" s="5" t="s">
        <v>336</v>
      </c>
      <c r="B880" s="5" t="s">
        <v>65</v>
      </c>
      <c r="C880" s="5" t="n">
        <v>2019</v>
      </c>
      <c r="D880" s="5" t="s">
        <v>64</v>
      </c>
      <c r="E880" s="5" t="s">
        <v>46</v>
      </c>
      <c r="F880" s="5" t="s">
        <v>39</v>
      </c>
      <c r="G880" s="6" t="n">
        <v>645</v>
      </c>
      <c r="H880" s="6" t="n">
        <v>140</v>
      </c>
      <c r="I880" s="7" t="n">
        <f aca="false">(G880-H880)/G880</f>
        <v>0.782945736434109</v>
      </c>
      <c r="J880" s="15" t="n">
        <v>0.3895</v>
      </c>
      <c r="K880" s="11" t="str">
        <f aca="false">IF(I880&lt;J880,"TAK","NIE")</f>
        <v>NIE</v>
      </c>
    </row>
    <row r="881" customFormat="false" ht="15" hidden="false" customHeight="false" outlineLevel="0" collapsed="false">
      <c r="A881" s="5" t="s">
        <v>315</v>
      </c>
      <c r="B881" s="5" t="s">
        <v>65</v>
      </c>
      <c r="C881" s="5" t="n">
        <v>2019</v>
      </c>
      <c r="D881" s="5" t="s">
        <v>64</v>
      </c>
      <c r="E881" s="5" t="s">
        <v>46</v>
      </c>
      <c r="F881" s="5" t="s">
        <v>40</v>
      </c>
      <c r="G881" s="6" t="n">
        <v>474</v>
      </c>
      <c r="H881" s="6" t="n">
        <v>168</v>
      </c>
      <c r="I881" s="7" t="n">
        <f aca="false">(G881-H881)/G881</f>
        <v>0.645569620253165</v>
      </c>
      <c r="J881" s="15" t="n">
        <v>0.4435</v>
      </c>
      <c r="K881" s="11" t="str">
        <f aca="false">IF(I881&lt;J881,"TAK","NIE")</f>
        <v>NIE</v>
      </c>
    </row>
    <row r="882" customFormat="false" ht="15" hidden="false" customHeight="false" outlineLevel="0" collapsed="false">
      <c r="A882" s="5" t="s">
        <v>316</v>
      </c>
      <c r="B882" s="5" t="s">
        <v>65</v>
      </c>
      <c r="C882" s="5" t="n">
        <v>2019</v>
      </c>
      <c r="D882" s="5" t="s">
        <v>64</v>
      </c>
      <c r="E882" s="5" t="s">
        <v>46</v>
      </c>
      <c r="F882" s="5" t="s">
        <v>40</v>
      </c>
      <c r="G882" s="6" t="n">
        <v>474</v>
      </c>
      <c r="H882" s="6" t="n">
        <v>106</v>
      </c>
      <c r="I882" s="7" t="n">
        <f aca="false">(G882-H882)/G882</f>
        <v>0.776371308016878</v>
      </c>
      <c r="J882" s="15" t="n">
        <v>0.4435</v>
      </c>
      <c r="K882" s="11" t="str">
        <f aca="false">IF(I882&lt;J882,"TAK","NIE")</f>
        <v>NIE</v>
      </c>
    </row>
    <row r="883" customFormat="false" ht="15" hidden="false" customHeight="false" outlineLevel="0" collapsed="false">
      <c r="A883" s="5" t="s">
        <v>195</v>
      </c>
      <c r="B883" s="5" t="s">
        <v>65</v>
      </c>
      <c r="C883" s="5" t="n">
        <v>2019</v>
      </c>
      <c r="D883" s="5" t="s">
        <v>64</v>
      </c>
      <c r="E883" s="5" t="s">
        <v>46</v>
      </c>
      <c r="F883" s="5" t="s">
        <v>40</v>
      </c>
      <c r="G883" s="6" t="n">
        <v>474</v>
      </c>
      <c r="H883" s="6" t="n">
        <v>248</v>
      </c>
      <c r="I883" s="7" t="n">
        <f aca="false">(G883-H883)/G883</f>
        <v>0.476793248945148</v>
      </c>
      <c r="J883" s="15" t="n">
        <v>0.4435</v>
      </c>
      <c r="K883" s="11" t="str">
        <f aca="false">IF(I883&lt;J883,"TAK","NIE")</f>
        <v>NIE</v>
      </c>
    </row>
    <row r="884" customFormat="false" ht="15" hidden="false" customHeight="false" outlineLevel="0" collapsed="false">
      <c r="A884" s="5" t="s">
        <v>317</v>
      </c>
      <c r="B884" s="5" t="s">
        <v>65</v>
      </c>
      <c r="C884" s="5" t="n">
        <v>2019</v>
      </c>
      <c r="D884" s="5" t="s">
        <v>64</v>
      </c>
      <c r="E884" s="5" t="s">
        <v>46</v>
      </c>
      <c r="F884" s="5" t="s">
        <v>40</v>
      </c>
      <c r="G884" s="6" t="n">
        <v>474</v>
      </c>
      <c r="H884" s="6" t="n">
        <v>111</v>
      </c>
      <c r="I884" s="7" t="n">
        <f aca="false">(G884-H884)/G884</f>
        <v>0.765822784810127</v>
      </c>
      <c r="J884" s="15" t="n">
        <v>0.4435</v>
      </c>
      <c r="K884" s="11" t="str">
        <f aca="false">IF(I884&lt;J884,"TAK","NIE")</f>
        <v>NIE</v>
      </c>
    </row>
    <row r="885" customFormat="false" ht="15" hidden="false" customHeight="false" outlineLevel="0" collapsed="false">
      <c r="A885" s="5" t="s">
        <v>318</v>
      </c>
      <c r="B885" s="5" t="s">
        <v>65</v>
      </c>
      <c r="C885" s="5" t="n">
        <v>2019</v>
      </c>
      <c r="D885" s="5" t="s">
        <v>64</v>
      </c>
      <c r="E885" s="5" t="s">
        <v>46</v>
      </c>
      <c r="F885" s="5" t="s">
        <v>40</v>
      </c>
      <c r="G885" s="6" t="n">
        <v>474</v>
      </c>
      <c r="H885" s="6" t="n">
        <v>197</v>
      </c>
      <c r="I885" s="7" t="n">
        <f aca="false">(G885-H885)/G885</f>
        <v>0.584388185654008</v>
      </c>
      <c r="J885" s="15" t="n">
        <v>0.4435</v>
      </c>
      <c r="K885" s="11" t="str">
        <f aca="false">IF(I885&lt;J885,"TAK","NIE")</f>
        <v>NIE</v>
      </c>
    </row>
    <row r="886" customFormat="false" ht="15" hidden="false" customHeight="false" outlineLevel="0" collapsed="false">
      <c r="A886" s="5" t="s">
        <v>319</v>
      </c>
      <c r="B886" s="5" t="s">
        <v>65</v>
      </c>
      <c r="C886" s="5" t="n">
        <v>2019</v>
      </c>
      <c r="D886" s="5" t="s">
        <v>64</v>
      </c>
      <c r="E886" s="5" t="s">
        <v>46</v>
      </c>
      <c r="F886" s="5" t="s">
        <v>40</v>
      </c>
      <c r="G886" s="6" t="n">
        <v>474</v>
      </c>
      <c r="H886" s="6" t="n">
        <v>156</v>
      </c>
      <c r="I886" s="7" t="n">
        <f aca="false">(G886-H886)/G886</f>
        <v>0.670886075949367</v>
      </c>
      <c r="J886" s="15" t="n">
        <v>0.4435</v>
      </c>
      <c r="K886" s="11" t="str">
        <f aca="false">IF(I886&lt;J886,"TAK","NIE")</f>
        <v>NIE</v>
      </c>
    </row>
    <row r="887" customFormat="false" ht="15" hidden="false" customHeight="false" outlineLevel="0" collapsed="false">
      <c r="A887" s="5" t="s">
        <v>320</v>
      </c>
      <c r="B887" s="5" t="s">
        <v>65</v>
      </c>
      <c r="C887" s="5" t="n">
        <v>2019</v>
      </c>
      <c r="D887" s="5" t="s">
        <v>64</v>
      </c>
      <c r="E887" s="5" t="s">
        <v>46</v>
      </c>
      <c r="F887" s="5" t="s">
        <v>40</v>
      </c>
      <c r="G887" s="6" t="n">
        <v>474</v>
      </c>
      <c r="H887" s="6" t="n">
        <v>144</v>
      </c>
      <c r="I887" s="7" t="n">
        <f aca="false">(G887-H887)/G887</f>
        <v>0.69620253164557</v>
      </c>
      <c r="J887" s="15" t="n">
        <v>0.4435</v>
      </c>
      <c r="K887" s="11" t="str">
        <f aca="false">IF(I887&lt;J887,"TAK","NIE")</f>
        <v>NIE</v>
      </c>
    </row>
    <row r="888" customFormat="false" ht="15" hidden="false" customHeight="false" outlineLevel="0" collapsed="false">
      <c r="A888" s="5" t="s">
        <v>321</v>
      </c>
      <c r="B888" s="5" t="s">
        <v>65</v>
      </c>
      <c r="C888" s="5" t="n">
        <v>2019</v>
      </c>
      <c r="D888" s="5" t="s">
        <v>64</v>
      </c>
      <c r="E888" s="5" t="s">
        <v>46</v>
      </c>
      <c r="F888" s="5" t="s">
        <v>40</v>
      </c>
      <c r="G888" s="6" t="n">
        <v>474</v>
      </c>
      <c r="H888" s="6" t="n">
        <v>118</v>
      </c>
      <c r="I888" s="7" t="n">
        <f aca="false">(G888-H888)/G888</f>
        <v>0.751054852320675</v>
      </c>
      <c r="J888" s="15" t="n">
        <v>0.4435</v>
      </c>
      <c r="K888" s="11" t="str">
        <f aca="false">IF(I888&lt;J888,"TAK","NIE")</f>
        <v>NIE</v>
      </c>
    </row>
    <row r="889" customFormat="false" ht="15" hidden="false" customHeight="false" outlineLevel="0" collapsed="false">
      <c r="A889" s="5" t="s">
        <v>322</v>
      </c>
      <c r="B889" s="5" t="s">
        <v>65</v>
      </c>
      <c r="C889" s="5" t="n">
        <v>2019</v>
      </c>
      <c r="D889" s="5" t="s">
        <v>64</v>
      </c>
      <c r="E889" s="5" t="s">
        <v>46</v>
      </c>
      <c r="F889" s="5" t="s">
        <v>40</v>
      </c>
      <c r="G889" s="6" t="n">
        <v>474</v>
      </c>
      <c r="H889" s="6" t="n">
        <v>163</v>
      </c>
      <c r="I889" s="7" t="n">
        <f aca="false">(G889-H889)/G889</f>
        <v>0.656118143459916</v>
      </c>
      <c r="J889" s="15" t="n">
        <v>0.4435</v>
      </c>
      <c r="K889" s="11" t="str">
        <f aca="false">IF(I889&lt;J889,"TAK","NIE")</f>
        <v>NIE</v>
      </c>
    </row>
    <row r="890" customFormat="false" ht="15" hidden="false" customHeight="false" outlineLevel="0" collapsed="false">
      <c r="A890" s="5" t="s">
        <v>323</v>
      </c>
      <c r="B890" s="5" t="s">
        <v>65</v>
      </c>
      <c r="C890" s="5" t="n">
        <v>2019</v>
      </c>
      <c r="D890" s="5" t="s">
        <v>64</v>
      </c>
      <c r="E890" s="5" t="s">
        <v>46</v>
      </c>
      <c r="F890" s="5" t="s">
        <v>40</v>
      </c>
      <c r="G890" s="6" t="n">
        <v>474</v>
      </c>
      <c r="H890" s="6" t="n">
        <v>154</v>
      </c>
      <c r="I890" s="7" t="n">
        <f aca="false">(G890-H890)/G890</f>
        <v>0.675105485232068</v>
      </c>
      <c r="J890" s="15" t="n">
        <v>0.4435</v>
      </c>
      <c r="K890" s="11" t="str">
        <f aca="false">IF(I890&lt;J890,"TAK","NIE")</f>
        <v>NIE</v>
      </c>
    </row>
    <row r="891" customFormat="false" ht="15" hidden="false" customHeight="false" outlineLevel="0" collapsed="false">
      <c r="A891" s="5" t="s">
        <v>324</v>
      </c>
      <c r="B891" s="5" t="s">
        <v>65</v>
      </c>
      <c r="C891" s="5" t="n">
        <v>2019</v>
      </c>
      <c r="D891" s="5" t="s">
        <v>64</v>
      </c>
      <c r="E891" s="5" t="s">
        <v>46</v>
      </c>
      <c r="F891" s="5" t="s">
        <v>40</v>
      </c>
      <c r="G891" s="6" t="n">
        <v>474</v>
      </c>
      <c r="H891" s="6" t="n">
        <v>152</v>
      </c>
      <c r="I891" s="7" t="n">
        <f aca="false">(G891-H891)/G891</f>
        <v>0.679324894514768</v>
      </c>
      <c r="J891" s="15" t="n">
        <v>0.4435</v>
      </c>
      <c r="K891" s="11" t="str">
        <f aca="false">IF(I891&lt;J891,"TAK","NIE")</f>
        <v>NIE</v>
      </c>
    </row>
    <row r="892" customFormat="false" ht="15" hidden="false" customHeight="false" outlineLevel="0" collapsed="false">
      <c r="A892" s="5" t="s">
        <v>325</v>
      </c>
      <c r="B892" s="5" t="s">
        <v>65</v>
      </c>
      <c r="C892" s="5" t="n">
        <v>2019</v>
      </c>
      <c r="D892" s="5" t="s">
        <v>64</v>
      </c>
      <c r="E892" s="5" t="s">
        <v>46</v>
      </c>
      <c r="F892" s="5" t="s">
        <v>40</v>
      </c>
      <c r="G892" s="6" t="n">
        <v>474</v>
      </c>
      <c r="H892" s="6" t="n">
        <v>259</v>
      </c>
      <c r="I892" s="7" t="n">
        <f aca="false">(G892-H892)/G892</f>
        <v>0.453586497890295</v>
      </c>
      <c r="J892" s="15" t="n">
        <v>0.4435</v>
      </c>
      <c r="K892" s="11" t="str">
        <f aca="false">IF(I892&lt;J892,"TAK","NIE")</f>
        <v>NIE</v>
      </c>
    </row>
    <row r="893" customFormat="false" ht="15" hidden="false" customHeight="false" outlineLevel="0" collapsed="false">
      <c r="A893" s="5" t="s">
        <v>326</v>
      </c>
      <c r="B893" s="5" t="s">
        <v>65</v>
      </c>
      <c r="C893" s="5" t="n">
        <v>2019</v>
      </c>
      <c r="D893" s="5" t="s">
        <v>64</v>
      </c>
      <c r="E893" s="5" t="s">
        <v>46</v>
      </c>
      <c r="F893" s="5" t="s">
        <v>40</v>
      </c>
      <c r="G893" s="6" t="n">
        <v>474</v>
      </c>
      <c r="H893" s="6" t="n">
        <v>160</v>
      </c>
      <c r="I893" s="7" t="n">
        <f aca="false">(G893-H893)/G893</f>
        <v>0.662447257383966</v>
      </c>
      <c r="J893" s="15" t="n">
        <v>0.4435</v>
      </c>
      <c r="K893" s="11" t="str">
        <f aca="false">IF(I893&lt;J893,"TAK","NIE")</f>
        <v>NIE</v>
      </c>
    </row>
    <row r="894" customFormat="false" ht="15" hidden="false" customHeight="false" outlineLevel="0" collapsed="false">
      <c r="A894" s="5" t="s">
        <v>327</v>
      </c>
      <c r="B894" s="5" t="s">
        <v>65</v>
      </c>
      <c r="C894" s="5" t="n">
        <v>2019</v>
      </c>
      <c r="D894" s="5" t="s">
        <v>64</v>
      </c>
      <c r="E894" s="5" t="s">
        <v>46</v>
      </c>
      <c r="F894" s="5" t="s">
        <v>40</v>
      </c>
      <c r="G894" s="6" t="n">
        <v>474</v>
      </c>
      <c r="H894" s="6" t="n">
        <v>216</v>
      </c>
      <c r="I894" s="7" t="n">
        <f aca="false">(G894-H894)/G894</f>
        <v>0.544303797468354</v>
      </c>
      <c r="J894" s="15" t="n">
        <v>0.4435</v>
      </c>
      <c r="K894" s="11" t="str">
        <f aca="false">IF(I894&lt;J894,"TAK","NIE")</f>
        <v>NIE</v>
      </c>
    </row>
    <row r="895" customFormat="false" ht="15" hidden="false" customHeight="false" outlineLevel="0" collapsed="false">
      <c r="A895" s="5" t="s">
        <v>328</v>
      </c>
      <c r="B895" s="5" t="s">
        <v>65</v>
      </c>
      <c r="C895" s="5" t="n">
        <v>2019</v>
      </c>
      <c r="D895" s="5" t="s">
        <v>64</v>
      </c>
      <c r="E895" s="5" t="s">
        <v>46</v>
      </c>
      <c r="F895" s="5" t="s">
        <v>40</v>
      </c>
      <c r="G895" s="6" t="n">
        <v>474</v>
      </c>
      <c r="H895" s="6" t="n">
        <v>111</v>
      </c>
      <c r="I895" s="7" t="n">
        <f aca="false">(G895-H895)/G895</f>
        <v>0.765822784810127</v>
      </c>
      <c r="J895" s="15" t="n">
        <v>0.4435</v>
      </c>
      <c r="K895" s="11" t="str">
        <f aca="false">IF(I895&lt;J895,"TAK","NIE")</f>
        <v>NIE</v>
      </c>
    </row>
    <row r="896" customFormat="false" ht="15" hidden="false" customHeight="false" outlineLevel="0" collapsed="false">
      <c r="A896" s="5" t="s">
        <v>329</v>
      </c>
      <c r="B896" s="5" t="s">
        <v>65</v>
      </c>
      <c r="C896" s="5" t="n">
        <v>2019</v>
      </c>
      <c r="D896" s="5" t="s">
        <v>64</v>
      </c>
      <c r="E896" s="5" t="s">
        <v>46</v>
      </c>
      <c r="F896" s="5" t="s">
        <v>40</v>
      </c>
      <c r="G896" s="6" t="n">
        <v>474</v>
      </c>
      <c r="H896" s="6" t="n">
        <v>134</v>
      </c>
      <c r="I896" s="7" t="n">
        <f aca="false">(G896-H896)/G896</f>
        <v>0.717299578059072</v>
      </c>
      <c r="J896" s="15" t="n">
        <v>0.4435</v>
      </c>
      <c r="K896" s="11" t="str">
        <f aca="false">IF(I896&lt;J896,"TAK","NIE")</f>
        <v>NIE</v>
      </c>
    </row>
    <row r="897" customFormat="false" ht="15" hidden="false" customHeight="false" outlineLevel="0" collapsed="false">
      <c r="A897" s="5" t="s">
        <v>330</v>
      </c>
      <c r="B897" s="5" t="s">
        <v>65</v>
      </c>
      <c r="C897" s="5" t="n">
        <v>2019</v>
      </c>
      <c r="D897" s="5" t="s">
        <v>64</v>
      </c>
      <c r="E897" s="5" t="s">
        <v>46</v>
      </c>
      <c r="F897" s="5" t="s">
        <v>40</v>
      </c>
      <c r="G897" s="6" t="n">
        <v>474</v>
      </c>
      <c r="H897" s="6" t="n">
        <v>207</v>
      </c>
      <c r="I897" s="7" t="n">
        <f aca="false">(G897-H897)/G897</f>
        <v>0.563291139240506</v>
      </c>
      <c r="J897" s="15" t="n">
        <v>0.4435</v>
      </c>
      <c r="K897" s="11" t="str">
        <f aca="false">IF(I897&lt;J897,"TAK","NIE")</f>
        <v>NIE</v>
      </c>
    </row>
    <row r="898" customFormat="false" ht="15" hidden="false" customHeight="false" outlineLevel="0" collapsed="false">
      <c r="A898" s="5" t="s">
        <v>331</v>
      </c>
      <c r="B898" s="5" t="s">
        <v>65</v>
      </c>
      <c r="C898" s="5" t="n">
        <v>2019</v>
      </c>
      <c r="D898" s="5" t="s">
        <v>64</v>
      </c>
      <c r="E898" s="5" t="s">
        <v>46</v>
      </c>
      <c r="F898" s="5" t="s">
        <v>40</v>
      </c>
      <c r="G898" s="6" t="n">
        <v>474</v>
      </c>
      <c r="H898" s="6" t="n">
        <v>191</v>
      </c>
      <c r="I898" s="7" t="n">
        <f aca="false">(G898-H898)/G898</f>
        <v>0.59704641350211</v>
      </c>
      <c r="J898" s="15" t="n">
        <v>0.4435</v>
      </c>
      <c r="K898" s="11" t="str">
        <f aca="false">IF(I898&lt;J898,"TAK","NIE")</f>
        <v>NIE</v>
      </c>
    </row>
    <row r="899" customFormat="false" ht="15" hidden="false" customHeight="false" outlineLevel="0" collapsed="false">
      <c r="A899" s="5" t="s">
        <v>332</v>
      </c>
      <c r="B899" s="5" t="s">
        <v>65</v>
      </c>
      <c r="C899" s="5" t="n">
        <v>2019</v>
      </c>
      <c r="D899" s="5" t="s">
        <v>64</v>
      </c>
      <c r="E899" s="5" t="s">
        <v>46</v>
      </c>
      <c r="F899" s="5" t="s">
        <v>40</v>
      </c>
      <c r="G899" s="6" t="n">
        <v>474</v>
      </c>
      <c r="H899" s="6" t="n">
        <v>179</v>
      </c>
      <c r="I899" s="7" t="n">
        <f aca="false">(G899-H899)/G899</f>
        <v>0.622362869198312</v>
      </c>
      <c r="J899" s="15" t="n">
        <v>0.4435</v>
      </c>
      <c r="K899" s="11" t="str">
        <f aca="false">IF(I899&lt;J899,"TAK","NIE")</f>
        <v>NIE</v>
      </c>
    </row>
    <row r="900" customFormat="false" ht="15" hidden="false" customHeight="false" outlineLevel="0" collapsed="false">
      <c r="A900" s="5" t="s">
        <v>333</v>
      </c>
      <c r="B900" s="5" t="s">
        <v>65</v>
      </c>
      <c r="C900" s="5" t="n">
        <v>2019</v>
      </c>
      <c r="D900" s="5" t="s">
        <v>64</v>
      </c>
      <c r="E900" s="5" t="s">
        <v>46</v>
      </c>
      <c r="F900" s="5" t="s">
        <v>40</v>
      </c>
      <c r="G900" s="6" t="n">
        <v>474</v>
      </c>
      <c r="H900" s="6" t="n">
        <v>164</v>
      </c>
      <c r="I900" s="7" t="n">
        <f aca="false">(G900-H900)/G900</f>
        <v>0.654008438818565</v>
      </c>
      <c r="J900" s="15" t="n">
        <v>0.4435</v>
      </c>
      <c r="K900" s="11" t="str">
        <f aca="false">IF(I900&lt;J900,"TAK","NIE")</f>
        <v>NIE</v>
      </c>
    </row>
    <row r="901" customFormat="false" ht="15" hidden="false" customHeight="false" outlineLevel="0" collapsed="false">
      <c r="A901" s="5" t="s">
        <v>334</v>
      </c>
      <c r="B901" s="5" t="s">
        <v>65</v>
      </c>
      <c r="C901" s="5" t="n">
        <v>2019</v>
      </c>
      <c r="D901" s="5" t="s">
        <v>64</v>
      </c>
      <c r="E901" s="5" t="s">
        <v>46</v>
      </c>
      <c r="F901" s="5" t="s">
        <v>40</v>
      </c>
      <c r="G901" s="6" t="n">
        <v>474</v>
      </c>
      <c r="H901" s="6" t="n">
        <v>214</v>
      </c>
      <c r="I901" s="7" t="n">
        <f aca="false">(G901-H901)/G901</f>
        <v>0.548523206751055</v>
      </c>
      <c r="J901" s="15" t="n">
        <v>0.4435</v>
      </c>
      <c r="K901" s="11" t="str">
        <f aca="false">IF(I901&lt;J901,"TAK","NIE")</f>
        <v>NIE</v>
      </c>
    </row>
    <row r="902" customFormat="false" ht="15" hidden="false" customHeight="false" outlineLevel="0" collapsed="false">
      <c r="A902" s="5" t="s">
        <v>335</v>
      </c>
      <c r="B902" s="5" t="s">
        <v>65</v>
      </c>
      <c r="C902" s="5" t="n">
        <v>2019</v>
      </c>
      <c r="D902" s="5" t="s">
        <v>64</v>
      </c>
      <c r="E902" s="5" t="s">
        <v>46</v>
      </c>
      <c r="F902" s="5" t="s">
        <v>40</v>
      </c>
      <c r="G902" s="6" t="n">
        <v>474</v>
      </c>
      <c r="H902" s="6" t="n">
        <v>169</v>
      </c>
      <c r="I902" s="7" t="n">
        <f aca="false">(G902-H902)/G902</f>
        <v>0.643459915611814</v>
      </c>
      <c r="J902" s="15" t="n">
        <v>0.4435</v>
      </c>
      <c r="K902" s="11" t="str">
        <f aca="false">IF(I902&lt;J902,"TAK","NIE")</f>
        <v>NIE</v>
      </c>
    </row>
    <row r="903" customFormat="false" ht="15" hidden="false" customHeight="false" outlineLevel="0" collapsed="false">
      <c r="A903" s="5" t="s">
        <v>336</v>
      </c>
      <c r="B903" s="5" t="s">
        <v>65</v>
      </c>
      <c r="C903" s="5" t="n">
        <v>2019</v>
      </c>
      <c r="D903" s="5" t="s">
        <v>64</v>
      </c>
      <c r="E903" s="5" t="s">
        <v>46</v>
      </c>
      <c r="F903" s="5" t="s">
        <v>40</v>
      </c>
      <c r="G903" s="6" t="n">
        <v>474</v>
      </c>
      <c r="H903" s="6" t="n">
        <v>151</v>
      </c>
      <c r="I903" s="7" t="n">
        <f aca="false">(G903-H903)/G903</f>
        <v>0.681434599156118</v>
      </c>
      <c r="J903" s="15" t="n">
        <v>0.4435</v>
      </c>
      <c r="K903" s="11" t="str">
        <f aca="false">IF(I903&lt;J903,"TAK","NIE")</f>
        <v>NIE</v>
      </c>
    </row>
    <row r="904" customFormat="false" ht="15" hidden="false" customHeight="false" outlineLevel="0" collapsed="false">
      <c r="A904" s="5" t="s">
        <v>315</v>
      </c>
      <c r="B904" s="5" t="s">
        <v>66</v>
      </c>
      <c r="C904" s="5" t="n">
        <v>2019</v>
      </c>
      <c r="D904" s="5" t="s">
        <v>64</v>
      </c>
      <c r="E904" s="5" t="s">
        <v>55</v>
      </c>
      <c r="F904" s="5" t="s">
        <v>39</v>
      </c>
      <c r="G904" s="6" t="n">
        <v>687</v>
      </c>
      <c r="H904" s="6" t="n">
        <v>176</v>
      </c>
      <c r="I904" s="7" t="n">
        <f aca="false">(G904-H904)/G904</f>
        <v>0.743813682678312</v>
      </c>
      <c r="J904" s="15" t="n">
        <v>0.2707</v>
      </c>
      <c r="K904" s="11" t="str">
        <f aca="false">IF(I904&lt;J904,"TAK","NIE")</f>
        <v>NIE</v>
      </c>
    </row>
    <row r="905" customFormat="false" ht="15" hidden="false" customHeight="false" outlineLevel="0" collapsed="false">
      <c r="A905" s="5" t="s">
        <v>316</v>
      </c>
      <c r="B905" s="5" t="s">
        <v>66</v>
      </c>
      <c r="C905" s="5" t="n">
        <v>2019</v>
      </c>
      <c r="D905" s="5" t="s">
        <v>64</v>
      </c>
      <c r="E905" s="5" t="s">
        <v>55</v>
      </c>
      <c r="F905" s="5" t="s">
        <v>39</v>
      </c>
      <c r="G905" s="6" t="n">
        <v>687</v>
      </c>
      <c r="H905" s="6" t="n">
        <v>145</v>
      </c>
      <c r="I905" s="7" t="n">
        <f aca="false">(G905-H905)/G905</f>
        <v>0.788937409024745</v>
      </c>
      <c r="J905" s="15" t="n">
        <v>0.2707</v>
      </c>
      <c r="K905" s="11" t="str">
        <f aca="false">IF(I905&lt;J905,"TAK","NIE")</f>
        <v>NIE</v>
      </c>
    </row>
    <row r="906" customFormat="false" ht="15" hidden="false" customHeight="false" outlineLevel="0" collapsed="false">
      <c r="A906" s="5" t="s">
        <v>195</v>
      </c>
      <c r="B906" s="5" t="s">
        <v>66</v>
      </c>
      <c r="C906" s="5" t="n">
        <v>2019</v>
      </c>
      <c r="D906" s="5" t="s">
        <v>64</v>
      </c>
      <c r="E906" s="5" t="s">
        <v>55</v>
      </c>
      <c r="F906" s="5" t="s">
        <v>39</v>
      </c>
      <c r="G906" s="6" t="n">
        <v>687</v>
      </c>
      <c r="H906" s="6" t="n">
        <v>384</v>
      </c>
      <c r="I906" s="7" t="n">
        <f aca="false">(G906-H906)/G906</f>
        <v>0.441048034934498</v>
      </c>
      <c r="J906" s="15" t="n">
        <v>0.2707</v>
      </c>
      <c r="K906" s="11" t="str">
        <f aca="false">IF(I906&lt;J906,"TAK","NIE")</f>
        <v>NIE</v>
      </c>
    </row>
    <row r="907" customFormat="false" ht="15" hidden="false" customHeight="false" outlineLevel="0" collapsed="false">
      <c r="A907" s="5" t="s">
        <v>317</v>
      </c>
      <c r="B907" s="5" t="s">
        <v>66</v>
      </c>
      <c r="C907" s="5" t="n">
        <v>2019</v>
      </c>
      <c r="D907" s="5" t="s">
        <v>64</v>
      </c>
      <c r="E907" s="5" t="s">
        <v>55</v>
      </c>
      <c r="F907" s="5" t="s">
        <v>39</v>
      </c>
      <c r="G907" s="6" t="n">
        <v>687</v>
      </c>
      <c r="H907" s="6" t="n">
        <v>134</v>
      </c>
      <c r="I907" s="7" t="n">
        <f aca="false">(G907-H907)/G907</f>
        <v>0.804949053857351</v>
      </c>
      <c r="J907" s="15" t="n">
        <v>0.2707</v>
      </c>
      <c r="K907" s="11" t="str">
        <f aca="false">IF(I907&lt;J907,"TAK","NIE")</f>
        <v>NIE</v>
      </c>
    </row>
    <row r="908" customFormat="false" ht="15" hidden="false" customHeight="false" outlineLevel="0" collapsed="false">
      <c r="A908" s="5" t="s">
        <v>318</v>
      </c>
      <c r="B908" s="5" t="s">
        <v>66</v>
      </c>
      <c r="C908" s="5" t="n">
        <v>2019</v>
      </c>
      <c r="D908" s="5" t="s">
        <v>64</v>
      </c>
      <c r="E908" s="5" t="s">
        <v>55</v>
      </c>
      <c r="F908" s="5" t="s">
        <v>39</v>
      </c>
      <c r="G908" s="6" t="n">
        <v>687</v>
      </c>
      <c r="H908" s="6" t="n">
        <v>241</v>
      </c>
      <c r="I908" s="7" t="n">
        <f aca="false">(G908-H908)/G908</f>
        <v>0.64919941775837</v>
      </c>
      <c r="J908" s="15" t="n">
        <v>0.2707</v>
      </c>
      <c r="K908" s="11" t="str">
        <f aca="false">IF(I908&lt;J908,"TAK","NIE")</f>
        <v>NIE</v>
      </c>
    </row>
    <row r="909" customFormat="false" ht="15" hidden="false" customHeight="false" outlineLevel="0" collapsed="false">
      <c r="A909" s="5" t="s">
        <v>319</v>
      </c>
      <c r="B909" s="5" t="s">
        <v>66</v>
      </c>
      <c r="C909" s="5" t="n">
        <v>2019</v>
      </c>
      <c r="D909" s="5" t="s">
        <v>64</v>
      </c>
      <c r="E909" s="5" t="s">
        <v>55</v>
      </c>
      <c r="F909" s="5" t="s">
        <v>39</v>
      </c>
      <c r="G909" s="6" t="n">
        <v>687</v>
      </c>
      <c r="H909" s="6" t="n">
        <v>214</v>
      </c>
      <c r="I909" s="7" t="n">
        <f aca="false">(G909-H909)/G909</f>
        <v>0.688500727802038</v>
      </c>
      <c r="J909" s="15" t="n">
        <v>0.2707</v>
      </c>
      <c r="K909" s="11" t="str">
        <f aca="false">IF(I909&lt;J909,"TAK","NIE")</f>
        <v>NIE</v>
      </c>
    </row>
    <row r="910" customFormat="false" ht="15" hidden="false" customHeight="false" outlineLevel="0" collapsed="false">
      <c r="A910" s="5" t="s">
        <v>320</v>
      </c>
      <c r="B910" s="5" t="s">
        <v>66</v>
      </c>
      <c r="C910" s="5" t="n">
        <v>2019</v>
      </c>
      <c r="D910" s="5" t="s">
        <v>64</v>
      </c>
      <c r="E910" s="5" t="s">
        <v>55</v>
      </c>
      <c r="F910" s="5" t="s">
        <v>39</v>
      </c>
      <c r="G910" s="6" t="n">
        <v>687</v>
      </c>
      <c r="H910" s="6" t="n">
        <v>339</v>
      </c>
      <c r="I910" s="7" t="n">
        <f aca="false">(G910-H910)/G910</f>
        <v>0.506550218340611</v>
      </c>
      <c r="J910" s="15" t="n">
        <v>0.2707</v>
      </c>
      <c r="K910" s="11" t="str">
        <f aca="false">IF(I910&lt;J910,"TAK","NIE")</f>
        <v>NIE</v>
      </c>
    </row>
    <row r="911" customFormat="false" ht="15" hidden="false" customHeight="false" outlineLevel="0" collapsed="false">
      <c r="A911" s="5" t="s">
        <v>321</v>
      </c>
      <c r="B911" s="5" t="s">
        <v>66</v>
      </c>
      <c r="C911" s="5" t="n">
        <v>2019</v>
      </c>
      <c r="D911" s="5" t="s">
        <v>64</v>
      </c>
      <c r="E911" s="5" t="s">
        <v>55</v>
      </c>
      <c r="F911" s="5" t="s">
        <v>39</v>
      </c>
      <c r="G911" s="6" t="n">
        <v>687</v>
      </c>
      <c r="H911" s="6" t="n">
        <v>128</v>
      </c>
      <c r="I911" s="7" t="n">
        <f aca="false">(G911-H911)/G911</f>
        <v>0.813682678311499</v>
      </c>
      <c r="J911" s="15" t="n">
        <v>0.2707</v>
      </c>
      <c r="K911" s="11" t="str">
        <f aca="false">IF(I911&lt;J911,"TAK","NIE")</f>
        <v>NIE</v>
      </c>
    </row>
    <row r="912" customFormat="false" ht="15" hidden="false" customHeight="false" outlineLevel="0" collapsed="false">
      <c r="A912" s="5" t="s">
        <v>322</v>
      </c>
      <c r="B912" s="5" t="s">
        <v>66</v>
      </c>
      <c r="C912" s="5" t="n">
        <v>2019</v>
      </c>
      <c r="D912" s="5" t="s">
        <v>64</v>
      </c>
      <c r="E912" s="5" t="s">
        <v>55</v>
      </c>
      <c r="F912" s="5" t="s">
        <v>39</v>
      </c>
      <c r="G912" s="6" t="n">
        <v>687</v>
      </c>
      <c r="H912" s="6" t="n">
        <v>278</v>
      </c>
      <c r="I912" s="7" t="n">
        <f aca="false">(G912-H912)/G912</f>
        <v>0.595342066957788</v>
      </c>
      <c r="J912" s="15" t="n">
        <v>0.2707</v>
      </c>
      <c r="K912" s="11" t="str">
        <f aca="false">IF(I912&lt;J912,"TAK","NIE")</f>
        <v>NIE</v>
      </c>
    </row>
    <row r="913" customFormat="false" ht="15" hidden="false" customHeight="false" outlineLevel="0" collapsed="false">
      <c r="A913" s="5" t="s">
        <v>323</v>
      </c>
      <c r="B913" s="5" t="s">
        <v>66</v>
      </c>
      <c r="C913" s="5" t="n">
        <v>2019</v>
      </c>
      <c r="D913" s="5" t="s">
        <v>64</v>
      </c>
      <c r="E913" s="5" t="s">
        <v>55</v>
      </c>
      <c r="F913" s="5" t="s">
        <v>39</v>
      </c>
      <c r="G913" s="6" t="n">
        <v>687</v>
      </c>
      <c r="H913" s="6" t="n">
        <v>217</v>
      </c>
      <c r="I913" s="7" t="n">
        <f aca="false">(G913-H913)/G913</f>
        <v>0.684133915574964</v>
      </c>
      <c r="J913" s="15" t="n">
        <v>0.2707</v>
      </c>
      <c r="K913" s="11" t="str">
        <f aca="false">IF(I913&lt;J913,"TAK","NIE")</f>
        <v>NIE</v>
      </c>
    </row>
    <row r="914" customFormat="false" ht="15" hidden="false" customHeight="false" outlineLevel="0" collapsed="false">
      <c r="A914" s="5" t="s">
        <v>324</v>
      </c>
      <c r="B914" s="5" t="s">
        <v>66</v>
      </c>
      <c r="C914" s="5" t="n">
        <v>2019</v>
      </c>
      <c r="D914" s="5" t="s">
        <v>64</v>
      </c>
      <c r="E914" s="5" t="s">
        <v>55</v>
      </c>
      <c r="F914" s="5" t="s">
        <v>39</v>
      </c>
      <c r="G914" s="6" t="n">
        <v>687</v>
      </c>
      <c r="H914" s="6" t="n">
        <v>287</v>
      </c>
      <c r="I914" s="7" t="n">
        <f aca="false">(G914-H914)/G914</f>
        <v>0.582241630276565</v>
      </c>
      <c r="J914" s="15" t="n">
        <v>0.2707</v>
      </c>
      <c r="K914" s="11" t="str">
        <f aca="false">IF(I914&lt;J914,"TAK","NIE")</f>
        <v>NIE</v>
      </c>
    </row>
    <row r="915" customFormat="false" ht="15" hidden="false" customHeight="false" outlineLevel="0" collapsed="false">
      <c r="A915" s="5" t="s">
        <v>325</v>
      </c>
      <c r="B915" s="5" t="s">
        <v>66</v>
      </c>
      <c r="C915" s="5" t="n">
        <v>2019</v>
      </c>
      <c r="D915" s="5" t="s">
        <v>64</v>
      </c>
      <c r="E915" s="5" t="s">
        <v>55</v>
      </c>
      <c r="F915" s="5" t="s">
        <v>39</v>
      </c>
      <c r="G915" s="6" t="n">
        <v>687</v>
      </c>
      <c r="H915" s="6" t="n">
        <v>441</v>
      </c>
      <c r="I915" s="7" t="n">
        <f aca="false">(G915-H915)/G915</f>
        <v>0.358078602620087</v>
      </c>
      <c r="J915" s="15" t="n">
        <v>0.2707</v>
      </c>
      <c r="K915" s="11" t="str">
        <f aca="false">IF(I915&lt;J915,"TAK","NIE")</f>
        <v>NIE</v>
      </c>
    </row>
    <row r="916" customFormat="false" ht="15" hidden="false" customHeight="false" outlineLevel="0" collapsed="false">
      <c r="A916" s="5" t="s">
        <v>326</v>
      </c>
      <c r="B916" s="5" t="s">
        <v>66</v>
      </c>
      <c r="C916" s="5" t="n">
        <v>2019</v>
      </c>
      <c r="D916" s="5" t="s">
        <v>64</v>
      </c>
      <c r="E916" s="5" t="s">
        <v>55</v>
      </c>
      <c r="F916" s="5" t="s">
        <v>39</v>
      </c>
      <c r="G916" s="6" t="n">
        <v>687</v>
      </c>
      <c r="H916" s="6" t="n">
        <v>208</v>
      </c>
      <c r="I916" s="7" t="n">
        <f aca="false">(G916-H916)/G916</f>
        <v>0.697234352256186</v>
      </c>
      <c r="J916" s="15" t="n">
        <v>0.2707</v>
      </c>
      <c r="K916" s="11" t="str">
        <f aca="false">IF(I916&lt;J916,"TAK","NIE")</f>
        <v>NIE</v>
      </c>
    </row>
    <row r="917" customFormat="false" ht="15" hidden="false" customHeight="false" outlineLevel="0" collapsed="false">
      <c r="A917" s="5" t="s">
        <v>327</v>
      </c>
      <c r="B917" s="5" t="s">
        <v>66</v>
      </c>
      <c r="C917" s="5" t="n">
        <v>2019</v>
      </c>
      <c r="D917" s="5" t="s">
        <v>64</v>
      </c>
      <c r="E917" s="5" t="s">
        <v>55</v>
      </c>
      <c r="F917" s="5" t="s">
        <v>39</v>
      </c>
      <c r="G917" s="6" t="n">
        <v>687</v>
      </c>
      <c r="H917" s="6" t="n">
        <v>395</v>
      </c>
      <c r="I917" s="7" t="n">
        <f aca="false">(G917-H917)/G917</f>
        <v>0.425036390101892</v>
      </c>
      <c r="J917" s="15" t="n">
        <v>0.2707</v>
      </c>
      <c r="K917" s="11" t="str">
        <f aca="false">IF(I917&lt;J917,"TAK","NIE")</f>
        <v>NIE</v>
      </c>
    </row>
    <row r="918" customFormat="false" ht="15" hidden="false" customHeight="false" outlineLevel="0" collapsed="false">
      <c r="A918" s="5" t="s">
        <v>328</v>
      </c>
      <c r="B918" s="5" t="s">
        <v>66</v>
      </c>
      <c r="C918" s="5" t="n">
        <v>2019</v>
      </c>
      <c r="D918" s="5" t="s">
        <v>64</v>
      </c>
      <c r="E918" s="5" t="s">
        <v>55</v>
      </c>
      <c r="F918" s="5" t="s">
        <v>39</v>
      </c>
      <c r="G918" s="6" t="n">
        <v>687</v>
      </c>
      <c r="H918" s="6" t="n">
        <v>70</v>
      </c>
      <c r="I918" s="7" t="n">
        <f aca="false">(G918-H918)/G918</f>
        <v>0.898107714701601</v>
      </c>
      <c r="J918" s="15" t="n">
        <v>0.2707</v>
      </c>
      <c r="K918" s="11" t="str">
        <f aca="false">IF(I918&lt;J918,"TAK","NIE")</f>
        <v>NIE</v>
      </c>
    </row>
    <row r="919" customFormat="false" ht="15" hidden="false" customHeight="false" outlineLevel="0" collapsed="false">
      <c r="A919" s="5" t="s">
        <v>329</v>
      </c>
      <c r="B919" s="5" t="s">
        <v>66</v>
      </c>
      <c r="C919" s="5" t="n">
        <v>2019</v>
      </c>
      <c r="D919" s="5" t="s">
        <v>64</v>
      </c>
      <c r="E919" s="5" t="s">
        <v>55</v>
      </c>
      <c r="F919" s="5" t="s">
        <v>39</v>
      </c>
      <c r="G919" s="6" t="n">
        <v>687</v>
      </c>
      <c r="H919" s="6" t="n">
        <v>133</v>
      </c>
      <c r="I919" s="7" t="n">
        <f aca="false">(G919-H919)/G919</f>
        <v>0.806404657933042</v>
      </c>
      <c r="J919" s="15" t="n">
        <v>0.2707</v>
      </c>
      <c r="K919" s="11" t="str">
        <f aca="false">IF(I919&lt;J919,"TAK","NIE")</f>
        <v>NIE</v>
      </c>
    </row>
    <row r="920" customFormat="false" ht="15" hidden="false" customHeight="false" outlineLevel="0" collapsed="false">
      <c r="A920" s="5" t="s">
        <v>330</v>
      </c>
      <c r="B920" s="5" t="s">
        <v>66</v>
      </c>
      <c r="C920" s="5" t="n">
        <v>2019</v>
      </c>
      <c r="D920" s="5" t="s">
        <v>64</v>
      </c>
      <c r="E920" s="5" t="s">
        <v>55</v>
      </c>
      <c r="F920" s="5" t="s">
        <v>39</v>
      </c>
      <c r="G920" s="6" t="n">
        <v>687</v>
      </c>
      <c r="H920" s="6" t="n">
        <v>322</v>
      </c>
      <c r="I920" s="7" t="n">
        <f aca="false">(G920-H920)/G920</f>
        <v>0.531295487627365</v>
      </c>
      <c r="J920" s="15" t="n">
        <v>0.2707</v>
      </c>
      <c r="K920" s="11" t="str">
        <f aca="false">IF(I920&lt;J920,"TAK","NIE")</f>
        <v>NIE</v>
      </c>
    </row>
    <row r="921" customFormat="false" ht="15" hidden="false" customHeight="false" outlineLevel="0" collapsed="false">
      <c r="A921" s="5" t="s">
        <v>331</v>
      </c>
      <c r="B921" s="5" t="s">
        <v>66</v>
      </c>
      <c r="C921" s="5" t="n">
        <v>2019</v>
      </c>
      <c r="D921" s="5" t="s">
        <v>64</v>
      </c>
      <c r="E921" s="5" t="s">
        <v>55</v>
      </c>
      <c r="F921" s="5" t="s">
        <v>39</v>
      </c>
      <c r="G921" s="6" t="n">
        <v>687</v>
      </c>
      <c r="H921" s="6" t="n">
        <v>280</v>
      </c>
      <c r="I921" s="7" t="n">
        <f aca="false">(G921-H921)/G921</f>
        <v>0.592430858806405</v>
      </c>
      <c r="J921" s="15" t="n">
        <v>0.2707</v>
      </c>
      <c r="K921" s="11" t="str">
        <f aca="false">IF(I921&lt;J921,"TAK","NIE")</f>
        <v>NIE</v>
      </c>
    </row>
    <row r="922" customFormat="false" ht="15" hidden="false" customHeight="false" outlineLevel="0" collapsed="false">
      <c r="A922" s="5" t="s">
        <v>332</v>
      </c>
      <c r="B922" s="5" t="s">
        <v>66</v>
      </c>
      <c r="C922" s="5" t="n">
        <v>2019</v>
      </c>
      <c r="D922" s="5" t="s">
        <v>64</v>
      </c>
      <c r="E922" s="5" t="s">
        <v>55</v>
      </c>
      <c r="F922" s="5" t="s">
        <v>39</v>
      </c>
      <c r="G922" s="6" t="n">
        <v>687</v>
      </c>
      <c r="H922" s="6" t="n">
        <v>273</v>
      </c>
      <c r="I922" s="7" t="n">
        <f aca="false">(G922-H922)/G922</f>
        <v>0.602620087336245</v>
      </c>
      <c r="J922" s="15" t="n">
        <v>0.2707</v>
      </c>
      <c r="K922" s="11" t="str">
        <f aca="false">IF(I922&lt;J922,"TAK","NIE")</f>
        <v>NIE</v>
      </c>
    </row>
    <row r="923" customFormat="false" ht="15" hidden="false" customHeight="false" outlineLevel="0" collapsed="false">
      <c r="A923" s="5" t="s">
        <v>333</v>
      </c>
      <c r="B923" s="5" t="s">
        <v>66</v>
      </c>
      <c r="C923" s="5" t="n">
        <v>2019</v>
      </c>
      <c r="D923" s="5" t="s">
        <v>64</v>
      </c>
      <c r="E923" s="5" t="s">
        <v>55</v>
      </c>
      <c r="F923" s="5" t="s">
        <v>39</v>
      </c>
      <c r="G923" s="6" t="n">
        <v>687</v>
      </c>
      <c r="H923" s="6" t="n">
        <v>289</v>
      </c>
      <c r="I923" s="7" t="n">
        <f aca="false">(G923-H923)/G923</f>
        <v>0.579330422125182</v>
      </c>
      <c r="J923" s="15" t="n">
        <v>0.2707</v>
      </c>
      <c r="K923" s="11" t="str">
        <f aca="false">IF(I923&lt;J923,"TAK","NIE")</f>
        <v>NIE</v>
      </c>
    </row>
    <row r="924" customFormat="false" ht="15" hidden="false" customHeight="false" outlineLevel="0" collapsed="false">
      <c r="A924" s="5" t="s">
        <v>334</v>
      </c>
      <c r="B924" s="5" t="s">
        <v>66</v>
      </c>
      <c r="C924" s="5" t="n">
        <v>2019</v>
      </c>
      <c r="D924" s="5" t="s">
        <v>64</v>
      </c>
      <c r="E924" s="5" t="s">
        <v>55</v>
      </c>
      <c r="F924" s="5" t="s">
        <v>39</v>
      </c>
      <c r="G924" s="6" t="n">
        <v>687</v>
      </c>
      <c r="H924" s="6" t="n">
        <v>402</v>
      </c>
      <c r="I924" s="7" t="n">
        <f aca="false">(G924-H924)/G924</f>
        <v>0.414847161572052</v>
      </c>
      <c r="J924" s="15" t="n">
        <v>0.2707</v>
      </c>
      <c r="K924" s="11" t="str">
        <f aca="false">IF(I924&lt;J924,"TAK","NIE")</f>
        <v>NIE</v>
      </c>
    </row>
    <row r="925" customFormat="false" ht="15" hidden="false" customHeight="false" outlineLevel="0" collapsed="false">
      <c r="A925" s="5" t="s">
        <v>335</v>
      </c>
      <c r="B925" s="5" t="s">
        <v>66</v>
      </c>
      <c r="C925" s="5" t="n">
        <v>2019</v>
      </c>
      <c r="D925" s="5" t="s">
        <v>64</v>
      </c>
      <c r="E925" s="5" t="s">
        <v>55</v>
      </c>
      <c r="F925" s="5" t="s">
        <v>39</v>
      </c>
      <c r="G925" s="6" t="n">
        <v>687</v>
      </c>
      <c r="H925" s="6" t="n">
        <v>252</v>
      </c>
      <c r="I925" s="7" t="n">
        <f aca="false">(G925-H925)/G925</f>
        <v>0.633187772925764</v>
      </c>
      <c r="J925" s="15" t="n">
        <v>0.2707</v>
      </c>
      <c r="K925" s="11" t="str">
        <f aca="false">IF(I925&lt;J925,"TAK","NIE")</f>
        <v>NIE</v>
      </c>
    </row>
    <row r="926" customFormat="false" ht="15" hidden="false" customHeight="false" outlineLevel="0" collapsed="false">
      <c r="A926" s="5" t="s">
        <v>336</v>
      </c>
      <c r="B926" s="5" t="s">
        <v>66</v>
      </c>
      <c r="C926" s="5" t="n">
        <v>2019</v>
      </c>
      <c r="D926" s="5" t="s">
        <v>64</v>
      </c>
      <c r="E926" s="5" t="s">
        <v>55</v>
      </c>
      <c r="F926" s="5" t="s">
        <v>39</v>
      </c>
      <c r="G926" s="6" t="n">
        <v>687</v>
      </c>
      <c r="H926" s="6" t="n">
        <v>175</v>
      </c>
      <c r="I926" s="7" t="n">
        <f aca="false">(G926-H926)/G926</f>
        <v>0.745269286754003</v>
      </c>
      <c r="J926" s="15" t="n">
        <v>0.2707</v>
      </c>
      <c r="K926" s="11" t="str">
        <f aca="false">IF(I926&lt;J926,"TAK","NIE")</f>
        <v>NIE</v>
      </c>
    </row>
    <row r="927" customFormat="false" ht="15" hidden="false" customHeight="false" outlineLevel="0" collapsed="false">
      <c r="A927" s="5" t="s">
        <v>315</v>
      </c>
      <c r="B927" s="5" t="s">
        <v>66</v>
      </c>
      <c r="C927" s="5" t="n">
        <v>2019</v>
      </c>
      <c r="D927" s="5" t="s">
        <v>64</v>
      </c>
      <c r="E927" s="5" t="s">
        <v>55</v>
      </c>
      <c r="F927" s="5" t="s">
        <v>40</v>
      </c>
      <c r="G927" s="6" t="n">
        <v>265</v>
      </c>
      <c r="H927" s="6" t="n">
        <v>161</v>
      </c>
      <c r="I927" s="7" t="n">
        <f aca="false">(G927-H927)/G927</f>
        <v>0.392452830188679</v>
      </c>
      <c r="J927" s="15" t="n">
        <v>0.0125</v>
      </c>
      <c r="K927" s="11" t="str">
        <f aca="false">IF(I927&lt;J927,"TAK","NIE")</f>
        <v>NIE</v>
      </c>
    </row>
    <row r="928" customFormat="false" ht="15" hidden="false" customHeight="false" outlineLevel="0" collapsed="false">
      <c r="A928" s="5" t="s">
        <v>316</v>
      </c>
      <c r="B928" s="5" t="s">
        <v>66</v>
      </c>
      <c r="C928" s="5" t="n">
        <v>2019</v>
      </c>
      <c r="D928" s="5" t="s">
        <v>64</v>
      </c>
      <c r="E928" s="5" t="s">
        <v>55</v>
      </c>
      <c r="F928" s="5" t="s">
        <v>40</v>
      </c>
      <c r="G928" s="6" t="n">
        <v>265</v>
      </c>
      <c r="H928" s="6" t="n">
        <v>120</v>
      </c>
      <c r="I928" s="7" t="n">
        <f aca="false">(G928-H928)/G928</f>
        <v>0.547169811320755</v>
      </c>
      <c r="J928" s="15" t="n">
        <v>0.0125</v>
      </c>
      <c r="K928" s="11" t="str">
        <f aca="false">IF(I928&lt;J928,"TAK","NIE")</f>
        <v>NIE</v>
      </c>
    </row>
    <row r="929" customFormat="false" ht="15" hidden="false" customHeight="false" outlineLevel="0" collapsed="false">
      <c r="A929" s="5" t="s">
        <v>195</v>
      </c>
      <c r="B929" s="5" t="s">
        <v>66</v>
      </c>
      <c r="C929" s="5" t="n">
        <v>2019</v>
      </c>
      <c r="D929" s="5" t="s">
        <v>64</v>
      </c>
      <c r="E929" s="5" t="s">
        <v>55</v>
      </c>
      <c r="F929" s="5" t="s">
        <v>40</v>
      </c>
      <c r="G929" s="6" t="n">
        <v>265</v>
      </c>
      <c r="H929" s="6" t="n">
        <v>185</v>
      </c>
      <c r="I929" s="7" t="n">
        <f aca="false">(G929-H929)/G929</f>
        <v>0.30188679245283</v>
      </c>
      <c r="J929" s="15" t="n">
        <v>0.0125</v>
      </c>
      <c r="K929" s="11" t="str">
        <f aca="false">IF(I929&lt;J929,"TAK","NIE")</f>
        <v>NIE</v>
      </c>
    </row>
    <row r="930" customFormat="false" ht="15" hidden="false" customHeight="false" outlineLevel="0" collapsed="false">
      <c r="A930" s="5" t="s">
        <v>317</v>
      </c>
      <c r="B930" s="5" t="s">
        <v>66</v>
      </c>
      <c r="C930" s="5" t="n">
        <v>2019</v>
      </c>
      <c r="D930" s="5" t="s">
        <v>64</v>
      </c>
      <c r="E930" s="5" t="s">
        <v>55</v>
      </c>
      <c r="F930" s="5" t="s">
        <v>40</v>
      </c>
      <c r="G930" s="6" t="n">
        <v>265</v>
      </c>
      <c r="H930" s="6" t="n">
        <v>114</v>
      </c>
      <c r="I930" s="7" t="n">
        <f aca="false">(G930-H930)/G930</f>
        <v>0.569811320754717</v>
      </c>
      <c r="J930" s="15" t="n">
        <v>0.0125</v>
      </c>
      <c r="K930" s="11" t="str">
        <f aca="false">IF(I930&lt;J930,"TAK","NIE")</f>
        <v>NIE</v>
      </c>
    </row>
    <row r="931" customFormat="false" ht="15" hidden="false" customHeight="false" outlineLevel="0" collapsed="false">
      <c r="A931" s="5" t="s">
        <v>318</v>
      </c>
      <c r="B931" s="5" t="s">
        <v>66</v>
      </c>
      <c r="C931" s="5" t="n">
        <v>2019</v>
      </c>
      <c r="D931" s="5" t="s">
        <v>64</v>
      </c>
      <c r="E931" s="5" t="s">
        <v>55</v>
      </c>
      <c r="F931" s="5" t="s">
        <v>40</v>
      </c>
      <c r="G931" s="6" t="n">
        <v>265</v>
      </c>
      <c r="H931" s="6" t="n">
        <v>120</v>
      </c>
      <c r="I931" s="7" t="n">
        <f aca="false">(G931-H931)/G931</f>
        <v>0.547169811320755</v>
      </c>
      <c r="J931" s="15" t="n">
        <v>0.0125</v>
      </c>
      <c r="K931" s="11" t="str">
        <f aca="false">IF(I931&lt;J931,"TAK","NIE")</f>
        <v>NIE</v>
      </c>
    </row>
    <row r="932" customFormat="false" ht="15" hidden="false" customHeight="false" outlineLevel="0" collapsed="false">
      <c r="A932" s="5" t="s">
        <v>319</v>
      </c>
      <c r="B932" s="5" t="s">
        <v>66</v>
      </c>
      <c r="C932" s="5" t="n">
        <v>2019</v>
      </c>
      <c r="D932" s="5" t="s">
        <v>64</v>
      </c>
      <c r="E932" s="5" t="s">
        <v>55</v>
      </c>
      <c r="F932" s="5" t="s">
        <v>40</v>
      </c>
      <c r="G932" s="6" t="n">
        <v>265</v>
      </c>
      <c r="H932" s="6" t="n">
        <v>165</v>
      </c>
      <c r="I932" s="7" t="n">
        <f aca="false">(G932-H932)/G932</f>
        <v>0.377358490566038</v>
      </c>
      <c r="J932" s="15" t="n">
        <v>0.0125</v>
      </c>
      <c r="K932" s="11" t="str">
        <f aca="false">IF(I932&lt;J932,"TAK","NIE")</f>
        <v>NIE</v>
      </c>
    </row>
    <row r="933" customFormat="false" ht="15" hidden="false" customHeight="false" outlineLevel="0" collapsed="false">
      <c r="A933" s="5" t="s">
        <v>320</v>
      </c>
      <c r="B933" s="5" t="s">
        <v>66</v>
      </c>
      <c r="C933" s="5" t="n">
        <v>2019</v>
      </c>
      <c r="D933" s="5" t="s">
        <v>64</v>
      </c>
      <c r="E933" s="5" t="s">
        <v>55</v>
      </c>
      <c r="F933" s="5" t="s">
        <v>40</v>
      </c>
      <c r="G933" s="6" t="n">
        <v>265</v>
      </c>
      <c r="H933" s="6" t="n">
        <v>163</v>
      </c>
      <c r="I933" s="7" t="n">
        <f aca="false">(G933-H933)/G933</f>
        <v>0.384905660377359</v>
      </c>
      <c r="J933" s="15" t="n">
        <v>0.0125</v>
      </c>
      <c r="K933" s="11" t="str">
        <f aca="false">IF(I933&lt;J933,"TAK","NIE")</f>
        <v>NIE</v>
      </c>
    </row>
    <row r="934" customFormat="false" ht="15" hidden="false" customHeight="false" outlineLevel="0" collapsed="false">
      <c r="A934" s="5" t="s">
        <v>321</v>
      </c>
      <c r="B934" s="5" t="s">
        <v>66</v>
      </c>
      <c r="C934" s="5" t="n">
        <v>2019</v>
      </c>
      <c r="D934" s="5" t="s">
        <v>64</v>
      </c>
      <c r="E934" s="5" t="s">
        <v>55</v>
      </c>
      <c r="F934" s="5" t="s">
        <v>40</v>
      </c>
      <c r="G934" s="6" t="n">
        <v>265</v>
      </c>
      <c r="H934" s="6" t="n">
        <v>102</v>
      </c>
      <c r="I934" s="7" t="n">
        <f aca="false">(G934-H934)/G934</f>
        <v>0.615094339622642</v>
      </c>
      <c r="J934" s="15" t="n">
        <v>0.0125</v>
      </c>
      <c r="K934" s="11" t="str">
        <f aca="false">IF(I934&lt;J934,"TAK","NIE")</f>
        <v>NIE</v>
      </c>
    </row>
    <row r="935" customFormat="false" ht="15" hidden="false" customHeight="false" outlineLevel="0" collapsed="false">
      <c r="A935" s="5" t="s">
        <v>322</v>
      </c>
      <c r="B935" s="5" t="s">
        <v>66</v>
      </c>
      <c r="C935" s="5" t="n">
        <v>2019</v>
      </c>
      <c r="D935" s="5" t="s">
        <v>64</v>
      </c>
      <c r="E935" s="5" t="s">
        <v>55</v>
      </c>
      <c r="F935" s="5" t="s">
        <v>40</v>
      </c>
      <c r="G935" s="6" t="n">
        <v>265</v>
      </c>
      <c r="H935" s="6" t="n">
        <v>148</v>
      </c>
      <c r="I935" s="7" t="n">
        <f aca="false">(G935-H935)/G935</f>
        <v>0.441509433962264</v>
      </c>
      <c r="J935" s="15" t="n">
        <v>0.0125</v>
      </c>
      <c r="K935" s="11" t="str">
        <f aca="false">IF(I935&lt;J935,"TAK","NIE")</f>
        <v>NIE</v>
      </c>
    </row>
    <row r="936" customFormat="false" ht="15" hidden="false" customHeight="false" outlineLevel="0" collapsed="false">
      <c r="A936" s="5" t="s">
        <v>323</v>
      </c>
      <c r="B936" s="5" t="s">
        <v>66</v>
      </c>
      <c r="C936" s="5" t="n">
        <v>2019</v>
      </c>
      <c r="D936" s="5" t="s">
        <v>64</v>
      </c>
      <c r="E936" s="5" t="s">
        <v>55</v>
      </c>
      <c r="F936" s="5" t="s">
        <v>40</v>
      </c>
      <c r="G936" s="6" t="n">
        <v>265</v>
      </c>
      <c r="H936" s="6" t="n">
        <v>71</v>
      </c>
      <c r="I936" s="7" t="n">
        <f aca="false">(G936-H936)/G936</f>
        <v>0.732075471698113</v>
      </c>
      <c r="J936" s="15" t="n">
        <v>0.0125</v>
      </c>
      <c r="K936" s="11" t="str">
        <f aca="false">IF(I936&lt;J936,"TAK","NIE")</f>
        <v>NIE</v>
      </c>
    </row>
    <row r="937" customFormat="false" ht="15" hidden="false" customHeight="false" outlineLevel="0" collapsed="false">
      <c r="A937" s="5" t="s">
        <v>324</v>
      </c>
      <c r="B937" s="5" t="s">
        <v>66</v>
      </c>
      <c r="C937" s="5" t="n">
        <v>2019</v>
      </c>
      <c r="D937" s="5" t="s">
        <v>64</v>
      </c>
      <c r="E937" s="5" t="s">
        <v>55</v>
      </c>
      <c r="F937" s="5" t="s">
        <v>40</v>
      </c>
      <c r="G937" s="6" t="n">
        <v>265</v>
      </c>
      <c r="H937" s="6" t="n">
        <v>183</v>
      </c>
      <c r="I937" s="7" t="n">
        <f aca="false">(G937-H937)/G937</f>
        <v>0.309433962264151</v>
      </c>
      <c r="J937" s="15" t="n">
        <v>0.0125</v>
      </c>
      <c r="K937" s="11" t="str">
        <f aca="false">IF(I937&lt;J937,"TAK","NIE")</f>
        <v>NIE</v>
      </c>
    </row>
    <row r="938" customFormat="false" ht="15" hidden="false" customHeight="false" outlineLevel="0" collapsed="false">
      <c r="A938" s="5" t="s">
        <v>325</v>
      </c>
      <c r="B938" s="5" t="s">
        <v>66</v>
      </c>
      <c r="C938" s="5" t="n">
        <v>2019</v>
      </c>
      <c r="D938" s="5" t="s">
        <v>64</v>
      </c>
      <c r="E938" s="5" t="s">
        <v>55</v>
      </c>
      <c r="F938" s="5" t="s">
        <v>40</v>
      </c>
      <c r="G938" s="6" t="n">
        <v>265</v>
      </c>
      <c r="H938" s="6" t="n">
        <v>203</v>
      </c>
      <c r="I938" s="7" t="n">
        <f aca="false">(G938-H938)/G938</f>
        <v>0.233962264150943</v>
      </c>
      <c r="J938" s="15" t="n">
        <v>0.0125</v>
      </c>
      <c r="K938" s="11" t="str">
        <f aca="false">IF(I938&lt;J938,"TAK","NIE")</f>
        <v>NIE</v>
      </c>
    </row>
    <row r="939" customFormat="false" ht="15" hidden="false" customHeight="false" outlineLevel="0" collapsed="false">
      <c r="A939" s="5" t="s">
        <v>326</v>
      </c>
      <c r="B939" s="5" t="s">
        <v>66</v>
      </c>
      <c r="C939" s="5" t="n">
        <v>2019</v>
      </c>
      <c r="D939" s="5" t="s">
        <v>64</v>
      </c>
      <c r="E939" s="5" t="s">
        <v>55</v>
      </c>
      <c r="F939" s="5" t="s">
        <v>40</v>
      </c>
      <c r="G939" s="6" t="n">
        <v>265</v>
      </c>
      <c r="H939" s="6" t="n">
        <v>147</v>
      </c>
      <c r="I939" s="7" t="n">
        <f aca="false">(G939-H939)/G939</f>
        <v>0.445283018867925</v>
      </c>
      <c r="J939" s="15" t="n">
        <v>0.0125</v>
      </c>
      <c r="K939" s="11" t="str">
        <f aca="false">IF(I939&lt;J939,"TAK","NIE")</f>
        <v>NIE</v>
      </c>
    </row>
    <row r="940" customFormat="false" ht="15" hidden="false" customHeight="false" outlineLevel="0" collapsed="false">
      <c r="A940" s="5" t="s">
        <v>327</v>
      </c>
      <c r="B940" s="5" t="s">
        <v>66</v>
      </c>
      <c r="C940" s="5" t="n">
        <v>2019</v>
      </c>
      <c r="D940" s="5" t="s">
        <v>64</v>
      </c>
      <c r="E940" s="5" t="s">
        <v>55</v>
      </c>
      <c r="F940" s="5" t="s">
        <v>40</v>
      </c>
      <c r="G940" s="6" t="n">
        <v>265</v>
      </c>
      <c r="H940" s="6" t="n">
        <v>201</v>
      </c>
      <c r="I940" s="7" t="n">
        <f aca="false">(G940-H940)/G940</f>
        <v>0.241509433962264</v>
      </c>
      <c r="J940" s="15" t="n">
        <v>0.0125</v>
      </c>
      <c r="K940" s="11" t="str">
        <f aca="false">IF(I940&lt;J940,"TAK","NIE")</f>
        <v>NIE</v>
      </c>
    </row>
    <row r="941" customFormat="false" ht="15" hidden="false" customHeight="false" outlineLevel="0" collapsed="false">
      <c r="A941" s="5" t="s">
        <v>328</v>
      </c>
      <c r="B941" s="5" t="s">
        <v>66</v>
      </c>
      <c r="C941" s="5" t="n">
        <v>2019</v>
      </c>
      <c r="D941" s="5" t="s">
        <v>64</v>
      </c>
      <c r="E941" s="5" t="s">
        <v>55</v>
      </c>
      <c r="F941" s="5" t="s">
        <v>40</v>
      </c>
      <c r="G941" s="6" t="n">
        <v>265</v>
      </c>
      <c r="H941" s="6" t="n">
        <v>131</v>
      </c>
      <c r="I941" s="7" t="n">
        <f aca="false">(G941-H941)/G941</f>
        <v>0.505660377358491</v>
      </c>
      <c r="J941" s="15" t="n">
        <v>0.0125</v>
      </c>
      <c r="K941" s="11" t="str">
        <f aca="false">IF(I941&lt;J941,"TAK","NIE")</f>
        <v>NIE</v>
      </c>
    </row>
    <row r="942" customFormat="false" ht="15" hidden="false" customHeight="false" outlineLevel="0" collapsed="false">
      <c r="A942" s="5" t="s">
        <v>329</v>
      </c>
      <c r="B942" s="5" t="s">
        <v>66</v>
      </c>
      <c r="C942" s="5" t="n">
        <v>2019</v>
      </c>
      <c r="D942" s="5" t="s">
        <v>64</v>
      </c>
      <c r="E942" s="5" t="s">
        <v>55</v>
      </c>
      <c r="F942" s="5" t="s">
        <v>40</v>
      </c>
      <c r="G942" s="6" t="n">
        <v>265</v>
      </c>
      <c r="H942" s="6" t="n">
        <v>113</v>
      </c>
      <c r="I942" s="7" t="n">
        <f aca="false">(G942-H942)/G942</f>
        <v>0.573584905660377</v>
      </c>
      <c r="J942" s="15" t="n">
        <v>0.0125</v>
      </c>
      <c r="K942" s="11" t="str">
        <f aca="false">IF(I942&lt;J942,"TAK","NIE")</f>
        <v>NIE</v>
      </c>
    </row>
    <row r="943" customFormat="false" ht="15" hidden="false" customHeight="false" outlineLevel="0" collapsed="false">
      <c r="A943" s="5" t="s">
        <v>330</v>
      </c>
      <c r="B943" s="5" t="s">
        <v>66</v>
      </c>
      <c r="C943" s="5" t="n">
        <v>2019</v>
      </c>
      <c r="D943" s="5" t="s">
        <v>64</v>
      </c>
      <c r="E943" s="5" t="s">
        <v>55</v>
      </c>
      <c r="F943" s="5" t="s">
        <v>40</v>
      </c>
      <c r="G943" s="6" t="n">
        <v>265</v>
      </c>
      <c r="H943" s="6" t="n">
        <v>173</v>
      </c>
      <c r="I943" s="7" t="n">
        <f aca="false">(G943-H943)/G943</f>
        <v>0.347169811320755</v>
      </c>
      <c r="J943" s="15" t="n">
        <v>0.0125</v>
      </c>
      <c r="K943" s="11" t="str">
        <f aca="false">IF(I943&lt;J943,"TAK","NIE")</f>
        <v>NIE</v>
      </c>
    </row>
    <row r="944" customFormat="false" ht="15" hidden="false" customHeight="false" outlineLevel="0" collapsed="false">
      <c r="A944" s="5" t="s">
        <v>331</v>
      </c>
      <c r="B944" s="5" t="s">
        <v>66</v>
      </c>
      <c r="C944" s="5" t="n">
        <v>2019</v>
      </c>
      <c r="D944" s="5" t="s">
        <v>64</v>
      </c>
      <c r="E944" s="5" t="s">
        <v>55</v>
      </c>
      <c r="F944" s="5" t="s">
        <v>40</v>
      </c>
      <c r="G944" s="6" t="n">
        <v>265</v>
      </c>
      <c r="H944" s="6" t="n">
        <v>121</v>
      </c>
      <c r="I944" s="7" t="n">
        <f aca="false">(G944-H944)/G944</f>
        <v>0.543396226415094</v>
      </c>
      <c r="J944" s="15" t="n">
        <v>0.0125</v>
      </c>
      <c r="K944" s="11" t="str">
        <f aca="false">IF(I944&lt;J944,"TAK","NIE")</f>
        <v>NIE</v>
      </c>
    </row>
    <row r="945" customFormat="false" ht="15" hidden="false" customHeight="false" outlineLevel="0" collapsed="false">
      <c r="A945" s="5" t="s">
        <v>332</v>
      </c>
      <c r="B945" s="5" t="s">
        <v>66</v>
      </c>
      <c r="C945" s="5" t="n">
        <v>2019</v>
      </c>
      <c r="D945" s="5" t="s">
        <v>64</v>
      </c>
      <c r="E945" s="5" t="s">
        <v>55</v>
      </c>
      <c r="F945" s="5" t="s">
        <v>40</v>
      </c>
      <c r="G945" s="6" t="n">
        <v>265</v>
      </c>
      <c r="H945" s="6" t="n">
        <v>132</v>
      </c>
      <c r="I945" s="7" t="n">
        <f aca="false">(G945-H945)/G945</f>
        <v>0.50188679245283</v>
      </c>
      <c r="J945" s="15" t="n">
        <v>0.0125</v>
      </c>
      <c r="K945" s="11" t="str">
        <f aca="false">IF(I945&lt;J945,"TAK","NIE")</f>
        <v>NIE</v>
      </c>
    </row>
    <row r="946" customFormat="false" ht="15" hidden="false" customHeight="false" outlineLevel="0" collapsed="false">
      <c r="A946" s="5" t="s">
        <v>333</v>
      </c>
      <c r="B946" s="5" t="s">
        <v>66</v>
      </c>
      <c r="C946" s="5" t="n">
        <v>2019</v>
      </c>
      <c r="D946" s="5" t="s">
        <v>64</v>
      </c>
      <c r="E946" s="5" t="s">
        <v>55</v>
      </c>
      <c r="F946" s="5" t="s">
        <v>40</v>
      </c>
      <c r="G946" s="6" t="n">
        <v>265</v>
      </c>
      <c r="H946" s="6" t="n">
        <v>142</v>
      </c>
      <c r="I946" s="7" t="n">
        <f aca="false">(G946-H946)/G946</f>
        <v>0.464150943396226</v>
      </c>
      <c r="J946" s="15" t="n">
        <v>0.0125</v>
      </c>
      <c r="K946" s="11" t="str">
        <f aca="false">IF(I946&lt;J946,"TAK","NIE")</f>
        <v>NIE</v>
      </c>
    </row>
    <row r="947" customFormat="false" ht="15" hidden="false" customHeight="false" outlineLevel="0" collapsed="false">
      <c r="A947" s="5" t="s">
        <v>334</v>
      </c>
      <c r="B947" s="5" t="s">
        <v>66</v>
      </c>
      <c r="C947" s="5" t="n">
        <v>2019</v>
      </c>
      <c r="D947" s="5" t="s">
        <v>64</v>
      </c>
      <c r="E947" s="5" t="s">
        <v>55</v>
      </c>
      <c r="F947" s="5" t="s">
        <v>40</v>
      </c>
      <c r="G947" s="6" t="n">
        <v>265</v>
      </c>
      <c r="H947" s="6" t="n">
        <v>181</v>
      </c>
      <c r="I947" s="7" t="n">
        <f aca="false">(G947-H947)/G947</f>
        <v>0.316981132075472</v>
      </c>
      <c r="J947" s="15" t="n">
        <v>0.0125</v>
      </c>
      <c r="K947" s="11" t="str">
        <f aca="false">IF(I947&lt;J947,"TAK","NIE")</f>
        <v>NIE</v>
      </c>
    </row>
    <row r="948" customFormat="false" ht="15" hidden="false" customHeight="false" outlineLevel="0" collapsed="false">
      <c r="A948" s="5" t="s">
        <v>335</v>
      </c>
      <c r="B948" s="5" t="s">
        <v>66</v>
      </c>
      <c r="C948" s="5" t="n">
        <v>2019</v>
      </c>
      <c r="D948" s="5" t="s">
        <v>64</v>
      </c>
      <c r="E948" s="5" t="s">
        <v>55</v>
      </c>
      <c r="F948" s="5" t="s">
        <v>40</v>
      </c>
      <c r="G948" s="6" t="n">
        <v>265</v>
      </c>
      <c r="H948" s="6" t="n">
        <v>184</v>
      </c>
      <c r="I948" s="7" t="n">
        <f aca="false">(G948-H948)/G948</f>
        <v>0.305660377358491</v>
      </c>
      <c r="J948" s="15" t="n">
        <v>0.0125</v>
      </c>
      <c r="K948" s="11" t="str">
        <f aca="false">IF(I948&lt;J948,"TAK","NIE")</f>
        <v>NIE</v>
      </c>
    </row>
    <row r="949" customFormat="false" ht="15" hidden="false" customHeight="false" outlineLevel="0" collapsed="false">
      <c r="A949" s="5" t="s">
        <v>336</v>
      </c>
      <c r="B949" s="5" t="s">
        <v>66</v>
      </c>
      <c r="C949" s="5" t="n">
        <v>2019</v>
      </c>
      <c r="D949" s="5" t="s">
        <v>64</v>
      </c>
      <c r="E949" s="5" t="s">
        <v>55</v>
      </c>
      <c r="F949" s="5" t="s">
        <v>40</v>
      </c>
      <c r="G949" s="6" t="n">
        <v>265</v>
      </c>
      <c r="H949" s="6" t="n">
        <v>154</v>
      </c>
      <c r="I949" s="7" t="n">
        <f aca="false">(G949-H949)/G949</f>
        <v>0.418867924528302</v>
      </c>
      <c r="J949" s="15" t="n">
        <v>0.0125</v>
      </c>
      <c r="K949" s="11" t="str">
        <f aca="false">IF(I949&lt;J949,"TAK","NIE")</f>
        <v>NIE</v>
      </c>
    </row>
    <row r="950" customFormat="false" ht="15" hidden="false" customHeight="false" outlineLevel="0" collapsed="false">
      <c r="A950" s="5" t="s">
        <v>337</v>
      </c>
      <c r="B950" s="5" t="s">
        <v>67</v>
      </c>
      <c r="C950" s="5" t="n">
        <v>2019</v>
      </c>
      <c r="D950" s="5" t="s">
        <v>68</v>
      </c>
      <c r="E950" s="5" t="s">
        <v>38</v>
      </c>
      <c r="F950" s="5" t="s">
        <v>39</v>
      </c>
      <c r="G950" s="6" t="n">
        <v>527</v>
      </c>
      <c r="H950" s="6" t="n">
        <v>74</v>
      </c>
      <c r="I950" s="7" t="n">
        <f aca="false">(G950-H950)/G950</f>
        <v>0.859582542694497</v>
      </c>
      <c r="J950" s="15" t="n">
        <v>0.355</v>
      </c>
      <c r="K950" s="11" t="str">
        <f aca="false">IF(I950&lt;J950,"TAK","NIE")</f>
        <v>NIE</v>
      </c>
    </row>
    <row r="951" customFormat="false" ht="15" hidden="false" customHeight="false" outlineLevel="0" collapsed="false">
      <c r="A951" s="5" t="s">
        <v>338</v>
      </c>
      <c r="B951" s="5" t="s">
        <v>67</v>
      </c>
      <c r="C951" s="5" t="n">
        <v>2019</v>
      </c>
      <c r="D951" s="5" t="s">
        <v>68</v>
      </c>
      <c r="E951" s="5" t="s">
        <v>38</v>
      </c>
      <c r="F951" s="5" t="s">
        <v>39</v>
      </c>
      <c r="G951" s="6" t="n">
        <v>527</v>
      </c>
      <c r="H951" s="6" t="n">
        <v>22</v>
      </c>
      <c r="I951" s="7" t="n">
        <f aca="false">(G951-H951)/G951</f>
        <v>0.958254269449715</v>
      </c>
      <c r="J951" s="15" t="n">
        <v>0.355</v>
      </c>
      <c r="K951" s="11" t="str">
        <f aca="false">IF(I951&lt;J951,"TAK","NIE")</f>
        <v>NIE</v>
      </c>
    </row>
    <row r="952" customFormat="false" ht="15" hidden="false" customHeight="false" outlineLevel="0" collapsed="false">
      <c r="A952" s="5" t="s">
        <v>339</v>
      </c>
      <c r="B952" s="5" t="s">
        <v>67</v>
      </c>
      <c r="C952" s="5" t="n">
        <v>2019</v>
      </c>
      <c r="D952" s="5" t="s">
        <v>68</v>
      </c>
      <c r="E952" s="5" t="s">
        <v>38</v>
      </c>
      <c r="F952" s="5" t="s">
        <v>39</v>
      </c>
      <c r="G952" s="6" t="n">
        <v>527</v>
      </c>
      <c r="H952" s="6" t="n">
        <v>109</v>
      </c>
      <c r="I952" s="7" t="n">
        <f aca="false">(G952-H952)/G952</f>
        <v>0.793168880455408</v>
      </c>
      <c r="J952" s="15" t="n">
        <v>0.355</v>
      </c>
      <c r="K952" s="11" t="str">
        <f aca="false">IF(I952&lt;J952,"TAK","NIE")</f>
        <v>NIE</v>
      </c>
    </row>
    <row r="953" customFormat="false" ht="15" hidden="false" customHeight="false" outlineLevel="0" collapsed="false">
      <c r="A953" s="5" t="s">
        <v>340</v>
      </c>
      <c r="B953" s="5" t="s">
        <v>67</v>
      </c>
      <c r="C953" s="5" t="n">
        <v>2019</v>
      </c>
      <c r="D953" s="5" t="s">
        <v>68</v>
      </c>
      <c r="E953" s="5" t="s">
        <v>38</v>
      </c>
      <c r="F953" s="5" t="s">
        <v>39</v>
      </c>
      <c r="G953" s="6" t="n">
        <v>527</v>
      </c>
      <c r="H953" s="6" t="n">
        <v>208</v>
      </c>
      <c r="I953" s="7" t="n">
        <f aca="false">(G953-H953)/G953</f>
        <v>0.605313092979127</v>
      </c>
      <c r="J953" s="15" t="n">
        <v>0.355</v>
      </c>
      <c r="K953" s="11" t="str">
        <f aca="false">IF(I953&lt;J953,"TAK","NIE")</f>
        <v>NIE</v>
      </c>
    </row>
    <row r="954" customFormat="false" ht="15" hidden="false" customHeight="false" outlineLevel="0" collapsed="false">
      <c r="A954" s="5" t="s">
        <v>341</v>
      </c>
      <c r="B954" s="5" t="s">
        <v>67</v>
      </c>
      <c r="C954" s="5" t="n">
        <v>2019</v>
      </c>
      <c r="D954" s="5" t="s">
        <v>68</v>
      </c>
      <c r="E954" s="5" t="s">
        <v>38</v>
      </c>
      <c r="F954" s="5" t="s">
        <v>39</v>
      </c>
      <c r="G954" s="6" t="n">
        <v>527</v>
      </c>
      <c r="H954" s="6" t="n">
        <v>87</v>
      </c>
      <c r="I954" s="7" t="n">
        <f aca="false">(G954-H954)/G954</f>
        <v>0.834914611005693</v>
      </c>
      <c r="J954" s="15" t="n">
        <v>0.355</v>
      </c>
      <c r="K954" s="11" t="str">
        <f aca="false">IF(I954&lt;J954,"TAK","NIE")</f>
        <v>NIE</v>
      </c>
    </row>
    <row r="955" customFormat="false" ht="15" hidden="false" customHeight="false" outlineLevel="0" collapsed="false">
      <c r="A955" s="5" t="s">
        <v>342</v>
      </c>
      <c r="B955" s="5" t="s">
        <v>67</v>
      </c>
      <c r="C955" s="5" t="n">
        <v>2019</v>
      </c>
      <c r="D955" s="5" t="s">
        <v>68</v>
      </c>
      <c r="E955" s="5" t="s">
        <v>38</v>
      </c>
      <c r="F955" s="5" t="s">
        <v>39</v>
      </c>
      <c r="G955" s="6" t="n">
        <v>527</v>
      </c>
      <c r="H955" s="6" t="n">
        <v>102</v>
      </c>
      <c r="I955" s="7" t="n">
        <f aca="false">(G955-H955)/G955</f>
        <v>0.806451612903226</v>
      </c>
      <c r="J955" s="15" t="n">
        <v>0.355</v>
      </c>
      <c r="K955" s="11" t="str">
        <f aca="false">IF(I955&lt;J955,"TAK","NIE")</f>
        <v>NIE</v>
      </c>
    </row>
    <row r="956" customFormat="false" ht="15" hidden="false" customHeight="false" outlineLevel="0" collapsed="false">
      <c r="A956" s="5" t="s">
        <v>343</v>
      </c>
      <c r="B956" s="5" t="s">
        <v>67</v>
      </c>
      <c r="C956" s="5" t="n">
        <v>2019</v>
      </c>
      <c r="D956" s="5" t="s">
        <v>68</v>
      </c>
      <c r="E956" s="5" t="s">
        <v>38</v>
      </c>
      <c r="F956" s="5" t="s">
        <v>39</v>
      </c>
      <c r="G956" s="6" t="n">
        <v>527</v>
      </c>
      <c r="H956" s="6" t="n">
        <v>252</v>
      </c>
      <c r="I956" s="7" t="n">
        <f aca="false">(G956-H956)/G956</f>
        <v>0.521821631878558</v>
      </c>
      <c r="J956" s="15" t="n">
        <v>0.355</v>
      </c>
      <c r="K956" s="11" t="str">
        <f aca="false">IF(I956&lt;J956,"TAK","NIE")</f>
        <v>NIE</v>
      </c>
    </row>
    <row r="957" customFormat="false" ht="15" hidden="false" customHeight="false" outlineLevel="0" collapsed="false">
      <c r="A957" s="5" t="s">
        <v>344</v>
      </c>
      <c r="B957" s="5" t="s">
        <v>67</v>
      </c>
      <c r="C957" s="5" t="n">
        <v>2019</v>
      </c>
      <c r="D957" s="5" t="s">
        <v>68</v>
      </c>
      <c r="E957" s="5" t="s">
        <v>38</v>
      </c>
      <c r="F957" s="5" t="s">
        <v>39</v>
      </c>
      <c r="G957" s="6" t="n">
        <v>527</v>
      </c>
      <c r="H957" s="6" t="n">
        <v>93</v>
      </c>
      <c r="I957" s="7" t="n">
        <f aca="false">(G957-H957)/G957</f>
        <v>0.823529411764706</v>
      </c>
      <c r="J957" s="15" t="n">
        <v>0.355</v>
      </c>
      <c r="K957" s="11" t="str">
        <f aca="false">IF(I957&lt;J957,"TAK","NIE")</f>
        <v>NIE</v>
      </c>
    </row>
    <row r="958" customFormat="false" ht="15" hidden="false" customHeight="false" outlineLevel="0" collapsed="false">
      <c r="A958" s="5" t="s">
        <v>345</v>
      </c>
      <c r="B958" s="5" t="s">
        <v>67</v>
      </c>
      <c r="C958" s="5" t="n">
        <v>2019</v>
      </c>
      <c r="D958" s="5" t="s">
        <v>68</v>
      </c>
      <c r="E958" s="5" t="s">
        <v>38</v>
      </c>
      <c r="F958" s="5" t="s">
        <v>39</v>
      </c>
      <c r="G958" s="6" t="n">
        <v>513</v>
      </c>
      <c r="H958" s="6" t="n">
        <v>45</v>
      </c>
      <c r="I958" s="7" t="n">
        <f aca="false">(G958-H958)/G958</f>
        <v>0.912280701754386</v>
      </c>
      <c r="J958" s="15" t="n">
        <v>0.355</v>
      </c>
      <c r="K958" s="11" t="str">
        <f aca="false">IF(I958&lt;J958,"TAK","NIE")</f>
        <v>NIE</v>
      </c>
    </row>
    <row r="959" customFormat="false" ht="15" hidden="false" customHeight="false" outlineLevel="0" collapsed="false">
      <c r="A959" s="5" t="s">
        <v>346</v>
      </c>
      <c r="B959" s="5" t="s">
        <v>67</v>
      </c>
      <c r="C959" s="5" t="n">
        <v>2019</v>
      </c>
      <c r="D959" s="5" t="s">
        <v>68</v>
      </c>
      <c r="E959" s="5" t="s">
        <v>38</v>
      </c>
      <c r="F959" s="5" t="s">
        <v>39</v>
      </c>
      <c r="G959" s="6" t="n">
        <v>527</v>
      </c>
      <c r="H959" s="6" t="n">
        <v>241</v>
      </c>
      <c r="I959" s="7" t="n">
        <f aca="false">(G959-H959)/G959</f>
        <v>0.5426944971537</v>
      </c>
      <c r="J959" s="15" t="n">
        <v>0.355</v>
      </c>
      <c r="K959" s="11" t="str">
        <f aca="false">IF(I959&lt;J959,"TAK","NIE")</f>
        <v>NIE</v>
      </c>
    </row>
    <row r="960" customFormat="false" ht="15" hidden="false" customHeight="false" outlineLevel="0" collapsed="false">
      <c r="A960" s="5" t="s">
        <v>347</v>
      </c>
      <c r="B960" s="5" t="s">
        <v>67</v>
      </c>
      <c r="C960" s="5" t="n">
        <v>2019</v>
      </c>
      <c r="D960" s="5" t="s">
        <v>68</v>
      </c>
      <c r="E960" s="5" t="s">
        <v>38</v>
      </c>
      <c r="F960" s="5" t="s">
        <v>39</v>
      </c>
      <c r="G960" s="6" t="n">
        <v>527</v>
      </c>
      <c r="H960" s="6" t="n">
        <v>35</v>
      </c>
      <c r="I960" s="7" t="n">
        <f aca="false">(G960-H960)/G960</f>
        <v>0.933586337760911</v>
      </c>
      <c r="J960" s="15" t="n">
        <v>0.355</v>
      </c>
      <c r="K960" s="11" t="str">
        <f aca="false">IF(I960&lt;J960,"TAK","NIE")</f>
        <v>NIE</v>
      </c>
    </row>
    <row r="961" customFormat="false" ht="15" hidden="false" customHeight="false" outlineLevel="0" collapsed="false">
      <c r="A961" s="5" t="s">
        <v>348</v>
      </c>
      <c r="B961" s="5" t="s">
        <v>67</v>
      </c>
      <c r="C961" s="5" t="n">
        <v>2019</v>
      </c>
      <c r="D961" s="5" t="s">
        <v>68</v>
      </c>
      <c r="E961" s="5" t="s">
        <v>38</v>
      </c>
      <c r="F961" s="5" t="s">
        <v>39</v>
      </c>
      <c r="G961" s="6" t="n">
        <v>513</v>
      </c>
      <c r="H961" s="6" t="n">
        <v>31</v>
      </c>
      <c r="I961" s="7" t="n">
        <f aca="false">(G961-H961)/G961</f>
        <v>0.939571150097466</v>
      </c>
      <c r="J961" s="15" t="n">
        <v>0.355</v>
      </c>
      <c r="K961" s="11" t="str">
        <f aca="false">IF(I961&lt;J961,"TAK","NIE")</f>
        <v>NIE</v>
      </c>
    </row>
    <row r="962" customFormat="false" ht="15" hidden="false" customHeight="false" outlineLevel="0" collapsed="false">
      <c r="A962" s="5" t="s">
        <v>349</v>
      </c>
      <c r="B962" s="5" t="s">
        <v>67</v>
      </c>
      <c r="C962" s="5" t="n">
        <v>2019</v>
      </c>
      <c r="D962" s="5" t="s">
        <v>68</v>
      </c>
      <c r="E962" s="5" t="s">
        <v>38</v>
      </c>
      <c r="F962" s="5" t="s">
        <v>39</v>
      </c>
      <c r="G962" s="6" t="n">
        <v>527</v>
      </c>
      <c r="H962" s="6" t="n">
        <v>99</v>
      </c>
      <c r="I962" s="7" t="n">
        <f aca="false">(G962-H962)/G962</f>
        <v>0.812144212523719</v>
      </c>
      <c r="J962" s="15" t="n">
        <v>0.355</v>
      </c>
      <c r="K962" s="11" t="str">
        <f aca="false">IF(I962&lt;J962,"TAK","NIE")</f>
        <v>NIE</v>
      </c>
    </row>
    <row r="963" customFormat="false" ht="15" hidden="false" customHeight="false" outlineLevel="0" collapsed="false">
      <c r="A963" s="5" t="s">
        <v>350</v>
      </c>
      <c r="B963" s="5" t="s">
        <v>67</v>
      </c>
      <c r="C963" s="5" t="n">
        <v>2019</v>
      </c>
      <c r="D963" s="5" t="s">
        <v>68</v>
      </c>
      <c r="E963" s="5" t="s">
        <v>38</v>
      </c>
      <c r="F963" s="5" t="s">
        <v>39</v>
      </c>
      <c r="G963" s="6" t="n">
        <v>527</v>
      </c>
      <c r="H963" s="6" t="n">
        <v>183</v>
      </c>
      <c r="I963" s="7" t="n">
        <f aca="false">(G963-H963)/G963</f>
        <v>0.652751423149905</v>
      </c>
      <c r="J963" s="15" t="n">
        <v>0.355</v>
      </c>
      <c r="K963" s="11" t="str">
        <f aca="false">IF(I963&lt;J963,"TAK","NIE")</f>
        <v>NIE</v>
      </c>
    </row>
    <row r="964" customFormat="false" ht="15" hidden="false" customHeight="false" outlineLevel="0" collapsed="false">
      <c r="A964" s="5" t="s">
        <v>351</v>
      </c>
      <c r="B964" s="5" t="s">
        <v>67</v>
      </c>
      <c r="C964" s="5" t="n">
        <v>2019</v>
      </c>
      <c r="D964" s="5" t="s">
        <v>68</v>
      </c>
      <c r="E964" s="5" t="s">
        <v>38</v>
      </c>
      <c r="F964" s="5" t="s">
        <v>39</v>
      </c>
      <c r="G964" s="6" t="n">
        <v>527</v>
      </c>
      <c r="H964" s="6" t="n">
        <v>158</v>
      </c>
      <c r="I964" s="7" t="n">
        <f aca="false">(G964-H964)/G964</f>
        <v>0.700189753320683</v>
      </c>
      <c r="J964" s="15" t="n">
        <v>0.355</v>
      </c>
      <c r="K964" s="11" t="str">
        <f aca="false">IF(I964&lt;J964,"TAK","NIE")</f>
        <v>NIE</v>
      </c>
    </row>
    <row r="965" customFormat="false" ht="15" hidden="false" customHeight="false" outlineLevel="0" collapsed="false">
      <c r="A965" s="5" t="s">
        <v>352</v>
      </c>
      <c r="B965" s="5" t="s">
        <v>67</v>
      </c>
      <c r="C965" s="5" t="n">
        <v>2019</v>
      </c>
      <c r="D965" s="5" t="s">
        <v>68</v>
      </c>
      <c r="E965" s="5" t="s">
        <v>38</v>
      </c>
      <c r="F965" s="5" t="s">
        <v>39</v>
      </c>
      <c r="G965" s="6" t="n">
        <v>527</v>
      </c>
      <c r="H965" s="6" t="n">
        <v>66</v>
      </c>
      <c r="I965" s="7" t="n">
        <f aca="false">(G965-H965)/G965</f>
        <v>0.874762808349146</v>
      </c>
      <c r="J965" s="15" t="n">
        <v>0.355</v>
      </c>
      <c r="K965" s="11" t="str">
        <f aca="false">IF(I965&lt;J965,"TAK","NIE")</f>
        <v>NIE</v>
      </c>
    </row>
    <row r="966" customFormat="false" ht="15" hidden="false" customHeight="false" outlineLevel="0" collapsed="false">
      <c r="A966" s="5" t="s">
        <v>353</v>
      </c>
      <c r="B966" s="5" t="s">
        <v>67</v>
      </c>
      <c r="C966" s="5" t="n">
        <v>2019</v>
      </c>
      <c r="D966" s="5" t="s">
        <v>68</v>
      </c>
      <c r="E966" s="5" t="s">
        <v>38</v>
      </c>
      <c r="F966" s="5" t="s">
        <v>39</v>
      </c>
      <c r="G966" s="6" t="n">
        <v>527</v>
      </c>
      <c r="H966" s="6" t="n">
        <v>262</v>
      </c>
      <c r="I966" s="7" t="n">
        <f aca="false">(G966-H966)/G966</f>
        <v>0.502846299810247</v>
      </c>
      <c r="J966" s="15" t="n">
        <v>0.355</v>
      </c>
      <c r="K966" s="11" t="str">
        <f aca="false">IF(I966&lt;J966,"TAK","NIE")</f>
        <v>NIE</v>
      </c>
    </row>
    <row r="967" customFormat="false" ht="15" hidden="false" customHeight="false" outlineLevel="0" collapsed="false">
      <c r="A967" s="5" t="s">
        <v>354</v>
      </c>
      <c r="B967" s="5" t="s">
        <v>67</v>
      </c>
      <c r="C967" s="5" t="n">
        <v>2019</v>
      </c>
      <c r="D967" s="5" t="s">
        <v>68</v>
      </c>
      <c r="E967" s="5" t="s">
        <v>38</v>
      </c>
      <c r="F967" s="5" t="s">
        <v>39</v>
      </c>
      <c r="G967" s="6" t="n">
        <v>527</v>
      </c>
      <c r="H967" s="6" t="n">
        <v>82</v>
      </c>
      <c r="I967" s="7" t="n">
        <f aca="false">(G967-H967)/G967</f>
        <v>0.844402277039848</v>
      </c>
      <c r="J967" s="15" t="n">
        <v>0.355</v>
      </c>
      <c r="K967" s="11" t="str">
        <f aca="false">IF(I967&lt;J967,"TAK","NIE")</f>
        <v>NIE</v>
      </c>
    </row>
    <row r="968" customFormat="false" ht="15" hidden="false" customHeight="false" outlineLevel="0" collapsed="false">
      <c r="A968" s="5" t="s">
        <v>337</v>
      </c>
      <c r="B968" s="5" t="s">
        <v>67</v>
      </c>
      <c r="C968" s="5" t="n">
        <v>2019</v>
      </c>
      <c r="D968" s="5" t="s">
        <v>68</v>
      </c>
      <c r="E968" s="5" t="s">
        <v>38</v>
      </c>
      <c r="F968" s="5" t="s">
        <v>40</v>
      </c>
      <c r="G968" s="6" t="n">
        <v>584</v>
      </c>
      <c r="H968" s="6" t="n">
        <v>110</v>
      </c>
      <c r="I968" s="7" t="n">
        <f aca="false">(G968-H968)/G968</f>
        <v>0.811643835616438</v>
      </c>
      <c r="J968" s="15" t="n">
        <v>0.4137</v>
      </c>
      <c r="K968" s="11" t="str">
        <f aca="false">IF(I968&lt;J968,"TAK","NIE")</f>
        <v>NIE</v>
      </c>
    </row>
    <row r="969" customFormat="false" ht="15" hidden="false" customHeight="false" outlineLevel="0" collapsed="false">
      <c r="A969" s="5" t="s">
        <v>338</v>
      </c>
      <c r="B969" s="5" t="s">
        <v>67</v>
      </c>
      <c r="C969" s="5" t="n">
        <v>2019</v>
      </c>
      <c r="D969" s="5" t="s">
        <v>68</v>
      </c>
      <c r="E969" s="5" t="s">
        <v>38</v>
      </c>
      <c r="F969" s="5" t="s">
        <v>40</v>
      </c>
      <c r="G969" s="6" t="n">
        <v>584</v>
      </c>
      <c r="H969" s="6" t="n">
        <v>3</v>
      </c>
      <c r="I969" s="7" t="n">
        <f aca="false">(G969-H969)/G969</f>
        <v>0.99486301369863</v>
      </c>
      <c r="J969" s="15" t="n">
        <v>0.4137</v>
      </c>
      <c r="K969" s="11" t="str">
        <f aca="false">IF(I969&lt;J969,"TAK","NIE")</f>
        <v>NIE</v>
      </c>
    </row>
    <row r="970" customFormat="false" ht="15" hidden="false" customHeight="false" outlineLevel="0" collapsed="false">
      <c r="A970" s="5" t="s">
        <v>339</v>
      </c>
      <c r="B970" s="5" t="s">
        <v>67</v>
      </c>
      <c r="C970" s="5" t="n">
        <v>2019</v>
      </c>
      <c r="D970" s="5" t="s">
        <v>68</v>
      </c>
      <c r="E970" s="5" t="s">
        <v>38</v>
      </c>
      <c r="F970" s="5" t="s">
        <v>40</v>
      </c>
      <c r="G970" s="6" t="n">
        <v>584</v>
      </c>
      <c r="H970" s="6" t="n">
        <v>139</v>
      </c>
      <c r="I970" s="7" t="n">
        <f aca="false">(G970-H970)/G970</f>
        <v>0.761986301369863</v>
      </c>
      <c r="J970" s="15" t="n">
        <v>0.4137</v>
      </c>
      <c r="K970" s="11" t="str">
        <f aca="false">IF(I970&lt;J970,"TAK","NIE")</f>
        <v>NIE</v>
      </c>
    </row>
    <row r="971" customFormat="false" ht="15" hidden="false" customHeight="false" outlineLevel="0" collapsed="false">
      <c r="A971" s="5" t="s">
        <v>340</v>
      </c>
      <c r="B971" s="5" t="s">
        <v>67</v>
      </c>
      <c r="C971" s="5" t="n">
        <v>2019</v>
      </c>
      <c r="D971" s="5" t="s">
        <v>68</v>
      </c>
      <c r="E971" s="5" t="s">
        <v>38</v>
      </c>
      <c r="F971" s="5" t="s">
        <v>40</v>
      </c>
      <c r="G971" s="6" t="n">
        <v>584</v>
      </c>
      <c r="H971" s="6" t="n">
        <v>151</v>
      </c>
      <c r="I971" s="7" t="n">
        <f aca="false">(G971-H971)/G971</f>
        <v>0.741438356164384</v>
      </c>
      <c r="J971" s="15" t="n">
        <v>0.4137</v>
      </c>
      <c r="K971" s="11" t="str">
        <f aca="false">IF(I971&lt;J971,"TAK","NIE")</f>
        <v>NIE</v>
      </c>
    </row>
    <row r="972" customFormat="false" ht="15" hidden="false" customHeight="false" outlineLevel="0" collapsed="false">
      <c r="A972" s="5" t="s">
        <v>341</v>
      </c>
      <c r="B972" s="5" t="s">
        <v>67</v>
      </c>
      <c r="C972" s="5" t="n">
        <v>2019</v>
      </c>
      <c r="D972" s="5" t="s">
        <v>68</v>
      </c>
      <c r="E972" s="5" t="s">
        <v>38</v>
      </c>
      <c r="F972" s="5" t="s">
        <v>40</v>
      </c>
      <c r="G972" s="6" t="n">
        <v>584</v>
      </c>
      <c r="H972" s="6" t="n">
        <v>165</v>
      </c>
      <c r="I972" s="7" t="n">
        <f aca="false">(G972-H972)/G972</f>
        <v>0.717465753424658</v>
      </c>
      <c r="J972" s="15" t="n">
        <v>0.4137</v>
      </c>
      <c r="K972" s="11" t="str">
        <f aca="false">IF(I972&lt;J972,"TAK","NIE")</f>
        <v>NIE</v>
      </c>
    </row>
    <row r="973" customFormat="false" ht="15" hidden="false" customHeight="false" outlineLevel="0" collapsed="false">
      <c r="A973" s="5" t="s">
        <v>342</v>
      </c>
      <c r="B973" s="5" t="s">
        <v>67</v>
      </c>
      <c r="C973" s="5" t="n">
        <v>2019</v>
      </c>
      <c r="D973" s="5" t="s">
        <v>68</v>
      </c>
      <c r="E973" s="5" t="s">
        <v>38</v>
      </c>
      <c r="F973" s="5" t="s">
        <v>40</v>
      </c>
      <c r="G973" s="6" t="n">
        <v>584</v>
      </c>
      <c r="H973" s="6" t="n">
        <v>138</v>
      </c>
      <c r="I973" s="7" t="n">
        <f aca="false">(G973-H973)/G973</f>
        <v>0.763698630136986</v>
      </c>
      <c r="J973" s="15" t="n">
        <v>0.4137</v>
      </c>
      <c r="K973" s="11" t="str">
        <f aca="false">IF(I973&lt;J973,"TAK","NIE")</f>
        <v>NIE</v>
      </c>
    </row>
    <row r="974" customFormat="false" ht="15" hidden="false" customHeight="false" outlineLevel="0" collapsed="false">
      <c r="A974" s="5" t="s">
        <v>343</v>
      </c>
      <c r="B974" s="5" t="s">
        <v>67</v>
      </c>
      <c r="C974" s="5" t="n">
        <v>2019</v>
      </c>
      <c r="D974" s="5" t="s">
        <v>68</v>
      </c>
      <c r="E974" s="5" t="s">
        <v>38</v>
      </c>
      <c r="F974" s="5" t="s">
        <v>40</v>
      </c>
      <c r="G974" s="6" t="n">
        <v>584</v>
      </c>
      <c r="H974" s="6" t="n">
        <v>335</v>
      </c>
      <c r="I974" s="7" t="n">
        <f aca="false">(G974-H974)/G974</f>
        <v>0.426369863013699</v>
      </c>
      <c r="J974" s="15" t="n">
        <v>0.4137</v>
      </c>
      <c r="K974" s="11" t="str">
        <f aca="false">IF(I974&lt;J974,"TAK","NIE")</f>
        <v>NIE</v>
      </c>
    </row>
    <row r="975" customFormat="false" ht="15" hidden="false" customHeight="false" outlineLevel="0" collapsed="false">
      <c r="A975" s="5" t="s">
        <v>344</v>
      </c>
      <c r="B975" s="5" t="s">
        <v>67</v>
      </c>
      <c r="C975" s="5" t="n">
        <v>2019</v>
      </c>
      <c r="D975" s="5" t="s">
        <v>68</v>
      </c>
      <c r="E975" s="5" t="s">
        <v>38</v>
      </c>
      <c r="F975" s="5" t="s">
        <v>40</v>
      </c>
      <c r="G975" s="6" t="n">
        <v>584</v>
      </c>
      <c r="H975" s="6" t="n">
        <v>189</v>
      </c>
      <c r="I975" s="7" t="n">
        <f aca="false">(G975-H975)/G975</f>
        <v>0.676369863013699</v>
      </c>
      <c r="J975" s="15" t="n">
        <v>0.4137</v>
      </c>
      <c r="K975" s="11" t="str">
        <f aca="false">IF(I975&lt;J975,"TAK","NIE")</f>
        <v>NIE</v>
      </c>
    </row>
    <row r="976" customFormat="false" ht="15" hidden="false" customHeight="false" outlineLevel="0" collapsed="false">
      <c r="A976" s="5" t="s">
        <v>345</v>
      </c>
      <c r="B976" s="5" t="s">
        <v>67</v>
      </c>
      <c r="C976" s="5" t="n">
        <v>2019</v>
      </c>
      <c r="D976" s="5" t="s">
        <v>68</v>
      </c>
      <c r="E976" s="5" t="s">
        <v>38</v>
      </c>
      <c r="F976" s="5" t="s">
        <v>40</v>
      </c>
      <c r="G976" s="6" t="n">
        <v>584</v>
      </c>
      <c r="H976" s="6" t="n">
        <v>128</v>
      </c>
      <c r="I976" s="7" t="n">
        <f aca="false">(G976-H976)/G976</f>
        <v>0.780821917808219</v>
      </c>
      <c r="J976" s="15" t="n">
        <v>0.4137</v>
      </c>
      <c r="K976" s="11" t="str">
        <f aca="false">IF(I976&lt;J976,"TAK","NIE")</f>
        <v>NIE</v>
      </c>
    </row>
    <row r="977" customFormat="false" ht="15" hidden="false" customHeight="false" outlineLevel="0" collapsed="false">
      <c r="A977" s="5" t="s">
        <v>346</v>
      </c>
      <c r="B977" s="5" t="s">
        <v>67</v>
      </c>
      <c r="C977" s="5" t="n">
        <v>2019</v>
      </c>
      <c r="D977" s="5" t="s">
        <v>68</v>
      </c>
      <c r="E977" s="5" t="s">
        <v>38</v>
      </c>
      <c r="F977" s="5" t="s">
        <v>40</v>
      </c>
      <c r="G977" s="6" t="n">
        <v>584</v>
      </c>
      <c r="H977" s="6" t="n">
        <v>281</v>
      </c>
      <c r="I977" s="7" t="n">
        <f aca="false">(G977-H977)/G977</f>
        <v>0.518835616438356</v>
      </c>
      <c r="J977" s="15" t="n">
        <v>0.4137</v>
      </c>
      <c r="K977" s="11" t="str">
        <f aca="false">IF(I977&lt;J977,"TAK","NIE")</f>
        <v>NIE</v>
      </c>
    </row>
    <row r="978" customFormat="false" ht="15" hidden="false" customHeight="false" outlineLevel="0" collapsed="false">
      <c r="A978" s="5" t="s">
        <v>347</v>
      </c>
      <c r="B978" s="5" t="s">
        <v>67</v>
      </c>
      <c r="C978" s="5" t="n">
        <v>2019</v>
      </c>
      <c r="D978" s="5" t="s">
        <v>68</v>
      </c>
      <c r="E978" s="5" t="s">
        <v>38</v>
      </c>
      <c r="F978" s="5" t="s">
        <v>40</v>
      </c>
      <c r="G978" s="6" t="n">
        <v>584</v>
      </c>
      <c r="H978" s="6" t="n">
        <v>58</v>
      </c>
      <c r="I978" s="7" t="n">
        <f aca="false">(G978-H978)/G978</f>
        <v>0.900684931506849</v>
      </c>
      <c r="J978" s="15" t="n">
        <v>0.4137</v>
      </c>
      <c r="K978" s="11" t="str">
        <f aca="false">IF(I978&lt;J978,"TAK","NIE")</f>
        <v>NIE</v>
      </c>
    </row>
    <row r="979" customFormat="false" ht="15" hidden="false" customHeight="false" outlineLevel="0" collapsed="false">
      <c r="A979" s="5" t="s">
        <v>348</v>
      </c>
      <c r="B979" s="5" t="s">
        <v>67</v>
      </c>
      <c r="C979" s="5" t="n">
        <v>2019</v>
      </c>
      <c r="D979" s="5" t="s">
        <v>68</v>
      </c>
      <c r="E979" s="5" t="s">
        <v>38</v>
      </c>
      <c r="F979" s="5" t="s">
        <v>40</v>
      </c>
      <c r="G979" s="6" t="n">
        <v>584</v>
      </c>
      <c r="H979" s="6" t="n">
        <v>14</v>
      </c>
      <c r="I979" s="7" t="n">
        <f aca="false">(G979-H979)/G979</f>
        <v>0.976027397260274</v>
      </c>
      <c r="J979" s="15" t="n">
        <v>0.4137</v>
      </c>
      <c r="K979" s="11" t="str">
        <f aca="false">IF(I979&lt;J979,"TAK","NIE")</f>
        <v>NIE</v>
      </c>
    </row>
    <row r="980" customFormat="false" ht="15" hidden="false" customHeight="false" outlineLevel="0" collapsed="false">
      <c r="A980" s="5" t="s">
        <v>349</v>
      </c>
      <c r="B980" s="5" t="s">
        <v>67</v>
      </c>
      <c r="C980" s="5" t="n">
        <v>2019</v>
      </c>
      <c r="D980" s="5" t="s">
        <v>68</v>
      </c>
      <c r="E980" s="5" t="s">
        <v>38</v>
      </c>
      <c r="F980" s="5" t="s">
        <v>40</v>
      </c>
      <c r="G980" s="6" t="n">
        <v>584</v>
      </c>
      <c r="H980" s="6" t="n">
        <v>85</v>
      </c>
      <c r="I980" s="7" t="n">
        <f aca="false">(G980-H980)/G980</f>
        <v>0.854452054794521</v>
      </c>
      <c r="J980" s="15" t="n">
        <v>0.4137</v>
      </c>
      <c r="K980" s="11" t="str">
        <f aca="false">IF(I980&lt;J980,"TAK","NIE")</f>
        <v>NIE</v>
      </c>
    </row>
    <row r="981" customFormat="false" ht="15" hidden="false" customHeight="false" outlineLevel="0" collapsed="false">
      <c r="A981" s="5" t="s">
        <v>350</v>
      </c>
      <c r="B981" s="5" t="s">
        <v>67</v>
      </c>
      <c r="C981" s="5" t="n">
        <v>2019</v>
      </c>
      <c r="D981" s="5" t="s">
        <v>68</v>
      </c>
      <c r="E981" s="5" t="s">
        <v>38</v>
      </c>
      <c r="F981" s="5" t="s">
        <v>40</v>
      </c>
      <c r="G981" s="6" t="n">
        <v>584</v>
      </c>
      <c r="H981" s="6" t="n">
        <v>228</v>
      </c>
      <c r="I981" s="7" t="n">
        <f aca="false">(G981-H981)/G981</f>
        <v>0.60958904109589</v>
      </c>
      <c r="J981" s="15" t="n">
        <v>0.4137</v>
      </c>
      <c r="K981" s="11" t="str">
        <f aca="false">IF(I981&lt;J981,"TAK","NIE")</f>
        <v>NIE</v>
      </c>
    </row>
    <row r="982" customFormat="false" ht="15" hidden="false" customHeight="false" outlineLevel="0" collapsed="false">
      <c r="A982" s="5" t="s">
        <v>351</v>
      </c>
      <c r="B982" s="5" t="s">
        <v>67</v>
      </c>
      <c r="C982" s="5" t="n">
        <v>2019</v>
      </c>
      <c r="D982" s="5" t="s">
        <v>68</v>
      </c>
      <c r="E982" s="5" t="s">
        <v>38</v>
      </c>
      <c r="F982" s="5" t="s">
        <v>40</v>
      </c>
      <c r="G982" s="6" t="n">
        <v>584</v>
      </c>
      <c r="H982" s="6" t="n">
        <v>166</v>
      </c>
      <c r="I982" s="7" t="n">
        <f aca="false">(G982-H982)/G982</f>
        <v>0.715753424657534</v>
      </c>
      <c r="J982" s="15" t="n">
        <v>0.4137</v>
      </c>
      <c r="K982" s="11" t="str">
        <f aca="false">IF(I982&lt;J982,"TAK","NIE")</f>
        <v>NIE</v>
      </c>
    </row>
    <row r="983" customFormat="false" ht="15" hidden="false" customHeight="false" outlineLevel="0" collapsed="false">
      <c r="A983" s="5" t="s">
        <v>352</v>
      </c>
      <c r="B983" s="5" t="s">
        <v>67</v>
      </c>
      <c r="C983" s="5" t="n">
        <v>2019</v>
      </c>
      <c r="D983" s="5" t="s">
        <v>68</v>
      </c>
      <c r="E983" s="5" t="s">
        <v>38</v>
      </c>
      <c r="F983" s="5" t="s">
        <v>40</v>
      </c>
      <c r="G983" s="6" t="n">
        <v>584</v>
      </c>
      <c r="H983" s="6" t="n">
        <v>75</v>
      </c>
      <c r="I983" s="7" t="n">
        <f aca="false">(G983-H983)/G983</f>
        <v>0.871575342465753</v>
      </c>
      <c r="J983" s="15" t="n">
        <v>0.4137</v>
      </c>
      <c r="K983" s="11" t="str">
        <f aca="false">IF(I983&lt;J983,"TAK","NIE")</f>
        <v>NIE</v>
      </c>
    </row>
    <row r="984" customFormat="false" ht="15" hidden="false" customHeight="false" outlineLevel="0" collapsed="false">
      <c r="A984" s="5" t="s">
        <v>353</v>
      </c>
      <c r="B984" s="5" t="s">
        <v>67</v>
      </c>
      <c r="C984" s="5" t="n">
        <v>2019</v>
      </c>
      <c r="D984" s="5" t="s">
        <v>68</v>
      </c>
      <c r="E984" s="5" t="s">
        <v>38</v>
      </c>
      <c r="F984" s="5" t="s">
        <v>40</v>
      </c>
      <c r="G984" s="6" t="n">
        <v>584</v>
      </c>
      <c r="H984" s="6" t="n">
        <v>449</v>
      </c>
      <c r="I984" s="7" t="n">
        <f aca="false">(G984-H984)/G984</f>
        <v>0.231164383561644</v>
      </c>
      <c r="J984" s="15" t="n">
        <v>0.4137</v>
      </c>
      <c r="K984" s="11" t="str">
        <f aca="false">IF(I984&lt;J984,"TAK","NIE")</f>
        <v>TAK</v>
      </c>
    </row>
    <row r="985" customFormat="false" ht="15" hidden="false" customHeight="false" outlineLevel="0" collapsed="false">
      <c r="A985" s="5" t="s">
        <v>354</v>
      </c>
      <c r="B985" s="5" t="s">
        <v>67</v>
      </c>
      <c r="C985" s="5" t="n">
        <v>2019</v>
      </c>
      <c r="D985" s="5" t="s">
        <v>68</v>
      </c>
      <c r="E985" s="5" t="s">
        <v>38</v>
      </c>
      <c r="F985" s="5" t="s">
        <v>40</v>
      </c>
      <c r="G985" s="6" t="n">
        <v>584</v>
      </c>
      <c r="H985" s="6" t="n">
        <v>43</v>
      </c>
      <c r="I985" s="7" t="n">
        <f aca="false">(G985-H985)/G985</f>
        <v>0.926369863013699</v>
      </c>
      <c r="J985" s="15" t="n">
        <v>0.4137</v>
      </c>
      <c r="K985" s="11" t="str">
        <f aca="false">IF(I985&lt;J985,"TAK","NIE")</f>
        <v>NIE</v>
      </c>
    </row>
    <row r="986" customFormat="false" ht="15" hidden="false" customHeight="false" outlineLevel="0" collapsed="false">
      <c r="A986" s="5" t="s">
        <v>337</v>
      </c>
      <c r="B986" s="5" t="s">
        <v>69</v>
      </c>
      <c r="C986" s="5" t="n">
        <v>2019</v>
      </c>
      <c r="D986" s="5" t="s">
        <v>68</v>
      </c>
      <c r="E986" s="5" t="s">
        <v>46</v>
      </c>
      <c r="F986" s="5" t="s">
        <v>39</v>
      </c>
      <c r="G986" s="6" t="n">
        <v>645</v>
      </c>
      <c r="H986" s="6" t="n">
        <v>250</v>
      </c>
      <c r="I986" s="7" t="n">
        <f aca="false">(G986-H986)/G986</f>
        <v>0.612403100775194</v>
      </c>
      <c r="J986" s="15" t="n">
        <v>0.299</v>
      </c>
      <c r="K986" s="11" t="str">
        <f aca="false">IF(I986&lt;J986,"TAK","NIE")</f>
        <v>NIE</v>
      </c>
    </row>
    <row r="987" customFormat="false" ht="15" hidden="false" customHeight="false" outlineLevel="0" collapsed="false">
      <c r="A987" s="5" t="s">
        <v>338</v>
      </c>
      <c r="B987" s="5" t="s">
        <v>69</v>
      </c>
      <c r="C987" s="5" t="n">
        <v>2019</v>
      </c>
      <c r="D987" s="5" t="s">
        <v>68</v>
      </c>
      <c r="E987" s="5" t="s">
        <v>46</v>
      </c>
      <c r="F987" s="5" t="s">
        <v>39</v>
      </c>
      <c r="G987" s="6" t="n">
        <v>643</v>
      </c>
      <c r="H987" s="6" t="n">
        <v>77</v>
      </c>
      <c r="I987" s="7" t="n">
        <f aca="false">(G987-H987)/G987</f>
        <v>0.880248833592535</v>
      </c>
      <c r="J987" s="15" t="n">
        <v>0.299</v>
      </c>
      <c r="K987" s="11" t="str">
        <f aca="false">IF(I987&lt;J987,"TAK","NIE")</f>
        <v>NIE</v>
      </c>
    </row>
    <row r="988" customFormat="false" ht="15" hidden="false" customHeight="false" outlineLevel="0" collapsed="false">
      <c r="A988" s="5" t="s">
        <v>339</v>
      </c>
      <c r="B988" s="5" t="s">
        <v>69</v>
      </c>
      <c r="C988" s="5" t="n">
        <v>2019</v>
      </c>
      <c r="D988" s="5" t="s">
        <v>68</v>
      </c>
      <c r="E988" s="5" t="s">
        <v>46</v>
      </c>
      <c r="F988" s="5" t="s">
        <v>39</v>
      </c>
      <c r="G988" s="6" t="n">
        <v>645</v>
      </c>
      <c r="H988" s="6" t="n">
        <v>270</v>
      </c>
      <c r="I988" s="7" t="n">
        <f aca="false">(G988-H988)/G988</f>
        <v>0.581395348837209</v>
      </c>
      <c r="J988" s="15" t="n">
        <v>0.299</v>
      </c>
      <c r="K988" s="11" t="str">
        <f aca="false">IF(I988&lt;J988,"TAK","NIE")</f>
        <v>NIE</v>
      </c>
    </row>
    <row r="989" customFormat="false" ht="15" hidden="false" customHeight="false" outlineLevel="0" collapsed="false">
      <c r="A989" s="5" t="s">
        <v>340</v>
      </c>
      <c r="B989" s="5" t="s">
        <v>69</v>
      </c>
      <c r="C989" s="5" t="n">
        <v>2019</v>
      </c>
      <c r="D989" s="5" t="s">
        <v>68</v>
      </c>
      <c r="E989" s="5" t="s">
        <v>46</v>
      </c>
      <c r="F989" s="5" t="s">
        <v>39</v>
      </c>
      <c r="G989" s="6" t="n">
        <v>643</v>
      </c>
      <c r="H989" s="6" t="n">
        <v>176</v>
      </c>
      <c r="I989" s="7" t="n">
        <f aca="false">(G989-H989)/G989</f>
        <v>0.726283048211509</v>
      </c>
      <c r="J989" s="15" t="n">
        <v>0.299</v>
      </c>
      <c r="K989" s="11" t="str">
        <f aca="false">IF(I989&lt;J989,"TAK","NIE")</f>
        <v>NIE</v>
      </c>
    </row>
    <row r="990" customFormat="false" ht="15" hidden="false" customHeight="false" outlineLevel="0" collapsed="false">
      <c r="A990" s="5" t="s">
        <v>341</v>
      </c>
      <c r="B990" s="5" t="s">
        <v>69</v>
      </c>
      <c r="C990" s="5" t="n">
        <v>2019</v>
      </c>
      <c r="D990" s="5" t="s">
        <v>68</v>
      </c>
      <c r="E990" s="5" t="s">
        <v>46</v>
      </c>
      <c r="F990" s="5" t="s">
        <v>39</v>
      </c>
      <c r="G990" s="6" t="n">
        <v>643</v>
      </c>
      <c r="H990" s="6" t="n">
        <v>91</v>
      </c>
      <c r="I990" s="7" t="n">
        <f aca="false">(G990-H990)/G990</f>
        <v>0.858475894245723</v>
      </c>
      <c r="J990" s="15" t="n">
        <v>0.299</v>
      </c>
      <c r="K990" s="11" t="str">
        <f aca="false">IF(I990&lt;J990,"TAK","NIE")</f>
        <v>NIE</v>
      </c>
    </row>
    <row r="991" customFormat="false" ht="15" hidden="false" customHeight="false" outlineLevel="0" collapsed="false">
      <c r="A991" s="5" t="s">
        <v>342</v>
      </c>
      <c r="B991" s="5" t="s">
        <v>69</v>
      </c>
      <c r="C991" s="5" t="n">
        <v>2019</v>
      </c>
      <c r="D991" s="5" t="s">
        <v>68</v>
      </c>
      <c r="E991" s="5" t="s">
        <v>46</v>
      </c>
      <c r="F991" s="5" t="s">
        <v>39</v>
      </c>
      <c r="G991" s="6" t="n">
        <v>645</v>
      </c>
      <c r="H991" s="6" t="n">
        <v>88</v>
      </c>
      <c r="I991" s="7" t="n">
        <f aca="false">(G991-H991)/G991</f>
        <v>0.863565891472868</v>
      </c>
      <c r="J991" s="15" t="n">
        <v>0.299</v>
      </c>
      <c r="K991" s="11" t="str">
        <f aca="false">IF(I991&lt;J991,"TAK","NIE")</f>
        <v>NIE</v>
      </c>
    </row>
    <row r="992" customFormat="false" ht="15" hidden="false" customHeight="false" outlineLevel="0" collapsed="false">
      <c r="A992" s="5" t="s">
        <v>343</v>
      </c>
      <c r="B992" s="5" t="s">
        <v>69</v>
      </c>
      <c r="C992" s="5" t="n">
        <v>2019</v>
      </c>
      <c r="D992" s="5" t="s">
        <v>68</v>
      </c>
      <c r="E992" s="5" t="s">
        <v>46</v>
      </c>
      <c r="F992" s="5" t="s">
        <v>39</v>
      </c>
      <c r="G992" s="6" t="n">
        <v>645</v>
      </c>
      <c r="H992" s="6" t="n">
        <v>275</v>
      </c>
      <c r="I992" s="7" t="n">
        <f aca="false">(G992-H992)/G992</f>
        <v>0.573643410852713</v>
      </c>
      <c r="J992" s="15" t="n">
        <v>0.299</v>
      </c>
      <c r="K992" s="11" t="str">
        <f aca="false">IF(I992&lt;J992,"TAK","NIE")</f>
        <v>NIE</v>
      </c>
    </row>
    <row r="993" customFormat="false" ht="15" hidden="false" customHeight="false" outlineLevel="0" collapsed="false">
      <c r="A993" s="5" t="s">
        <v>344</v>
      </c>
      <c r="B993" s="5" t="s">
        <v>69</v>
      </c>
      <c r="C993" s="5" t="n">
        <v>2019</v>
      </c>
      <c r="D993" s="5" t="s">
        <v>68</v>
      </c>
      <c r="E993" s="5" t="s">
        <v>46</v>
      </c>
      <c r="F993" s="5" t="s">
        <v>39</v>
      </c>
      <c r="G993" s="6" t="n">
        <v>643</v>
      </c>
      <c r="H993" s="6" t="n">
        <v>167</v>
      </c>
      <c r="I993" s="7" t="n">
        <f aca="false">(G993-H993)/G993</f>
        <v>0.740279937791602</v>
      </c>
      <c r="J993" s="15" t="n">
        <v>0.299</v>
      </c>
      <c r="K993" s="11" t="str">
        <f aca="false">IF(I993&lt;J993,"TAK","NIE")</f>
        <v>NIE</v>
      </c>
    </row>
    <row r="994" customFormat="false" ht="15" hidden="false" customHeight="false" outlineLevel="0" collapsed="false">
      <c r="A994" s="5" t="s">
        <v>345</v>
      </c>
      <c r="B994" s="5" t="s">
        <v>69</v>
      </c>
      <c r="C994" s="5" t="n">
        <v>2019</v>
      </c>
      <c r="D994" s="5" t="s">
        <v>68</v>
      </c>
      <c r="E994" s="5" t="s">
        <v>46</v>
      </c>
      <c r="F994" s="5" t="s">
        <v>39</v>
      </c>
      <c r="G994" s="6" t="n">
        <v>645</v>
      </c>
      <c r="H994" s="6" t="n">
        <v>64</v>
      </c>
      <c r="I994" s="7" t="n">
        <f aca="false">(G994-H994)/G994</f>
        <v>0.90077519379845</v>
      </c>
      <c r="J994" s="15" t="n">
        <v>0.299</v>
      </c>
      <c r="K994" s="11" t="str">
        <f aca="false">IF(I994&lt;J994,"TAK","NIE")</f>
        <v>NIE</v>
      </c>
    </row>
    <row r="995" customFormat="false" ht="15" hidden="false" customHeight="false" outlineLevel="0" collapsed="false">
      <c r="A995" s="5" t="s">
        <v>346</v>
      </c>
      <c r="B995" s="5" t="s">
        <v>69</v>
      </c>
      <c r="C995" s="5" t="n">
        <v>2019</v>
      </c>
      <c r="D995" s="5" t="s">
        <v>68</v>
      </c>
      <c r="E995" s="5" t="s">
        <v>46</v>
      </c>
      <c r="F995" s="5" t="s">
        <v>39</v>
      </c>
      <c r="G995" s="6" t="n">
        <v>643</v>
      </c>
      <c r="H995" s="6" t="n">
        <v>326</v>
      </c>
      <c r="I995" s="7" t="n">
        <f aca="false">(G995-H995)/G995</f>
        <v>0.493001555209953</v>
      </c>
      <c r="J995" s="15" t="n">
        <v>0.299</v>
      </c>
      <c r="K995" s="11" t="str">
        <f aca="false">IF(I995&lt;J995,"TAK","NIE")</f>
        <v>NIE</v>
      </c>
    </row>
    <row r="996" customFormat="false" ht="15" hidden="false" customHeight="false" outlineLevel="0" collapsed="false">
      <c r="A996" s="5" t="s">
        <v>347</v>
      </c>
      <c r="B996" s="5" t="s">
        <v>69</v>
      </c>
      <c r="C996" s="5" t="n">
        <v>2019</v>
      </c>
      <c r="D996" s="5" t="s">
        <v>68</v>
      </c>
      <c r="E996" s="5" t="s">
        <v>46</v>
      </c>
      <c r="F996" s="5" t="s">
        <v>39</v>
      </c>
      <c r="G996" s="6" t="n">
        <v>645</v>
      </c>
      <c r="H996" s="6" t="n">
        <v>55</v>
      </c>
      <c r="I996" s="7" t="n">
        <f aca="false">(G996-H996)/G996</f>
        <v>0.914728682170543</v>
      </c>
      <c r="J996" s="15" t="n">
        <v>0.299</v>
      </c>
      <c r="K996" s="11" t="str">
        <f aca="false">IF(I996&lt;J996,"TAK","NIE")</f>
        <v>NIE</v>
      </c>
    </row>
    <row r="997" customFormat="false" ht="15" hidden="false" customHeight="false" outlineLevel="0" collapsed="false">
      <c r="A997" s="5" t="s">
        <v>348</v>
      </c>
      <c r="B997" s="5" t="s">
        <v>69</v>
      </c>
      <c r="C997" s="5" t="n">
        <v>2019</v>
      </c>
      <c r="D997" s="5" t="s">
        <v>68</v>
      </c>
      <c r="E997" s="5" t="s">
        <v>46</v>
      </c>
      <c r="F997" s="5" t="s">
        <v>39</v>
      </c>
      <c r="G997" s="6" t="n">
        <v>645</v>
      </c>
      <c r="H997" s="6" t="n">
        <v>73</v>
      </c>
      <c r="I997" s="7" t="n">
        <f aca="false">(G997-H997)/G997</f>
        <v>0.886821705426357</v>
      </c>
      <c r="J997" s="15" t="n">
        <v>0.299</v>
      </c>
      <c r="K997" s="11" t="str">
        <f aca="false">IF(I997&lt;J997,"TAK","NIE")</f>
        <v>NIE</v>
      </c>
    </row>
    <row r="998" customFormat="false" ht="15" hidden="false" customHeight="false" outlineLevel="0" collapsed="false">
      <c r="A998" s="5" t="s">
        <v>349</v>
      </c>
      <c r="B998" s="5" t="s">
        <v>69</v>
      </c>
      <c r="C998" s="5" t="n">
        <v>2019</v>
      </c>
      <c r="D998" s="5" t="s">
        <v>68</v>
      </c>
      <c r="E998" s="5" t="s">
        <v>46</v>
      </c>
      <c r="F998" s="5" t="s">
        <v>39</v>
      </c>
      <c r="G998" s="6" t="n">
        <v>643</v>
      </c>
      <c r="H998" s="6" t="n">
        <v>233</v>
      </c>
      <c r="I998" s="7" t="n">
        <f aca="false">(G998-H998)/G998</f>
        <v>0.637636080870918</v>
      </c>
      <c r="J998" s="15" t="n">
        <v>0.299</v>
      </c>
      <c r="K998" s="11" t="str">
        <f aca="false">IF(I998&lt;J998,"TAK","NIE")</f>
        <v>NIE</v>
      </c>
    </row>
    <row r="999" customFormat="false" ht="15" hidden="false" customHeight="false" outlineLevel="0" collapsed="false">
      <c r="A999" s="5" t="s">
        <v>350</v>
      </c>
      <c r="B999" s="5" t="s">
        <v>69</v>
      </c>
      <c r="C999" s="5" t="n">
        <v>2019</v>
      </c>
      <c r="D999" s="5" t="s">
        <v>68</v>
      </c>
      <c r="E999" s="5" t="s">
        <v>46</v>
      </c>
      <c r="F999" s="5" t="s">
        <v>39</v>
      </c>
      <c r="G999" s="6" t="n">
        <v>643</v>
      </c>
      <c r="H999" s="6" t="n">
        <v>205</v>
      </c>
      <c r="I999" s="7" t="n">
        <f aca="false">(G999-H999)/G999</f>
        <v>0.681181959564541</v>
      </c>
      <c r="J999" s="15" t="n">
        <v>0.299</v>
      </c>
      <c r="K999" s="11" t="str">
        <f aca="false">IF(I999&lt;J999,"TAK","NIE")</f>
        <v>NIE</v>
      </c>
    </row>
    <row r="1000" customFormat="false" ht="15" hidden="false" customHeight="false" outlineLevel="0" collapsed="false">
      <c r="A1000" s="5" t="s">
        <v>351</v>
      </c>
      <c r="B1000" s="5" t="s">
        <v>69</v>
      </c>
      <c r="C1000" s="5" t="n">
        <v>2019</v>
      </c>
      <c r="D1000" s="5" t="s">
        <v>68</v>
      </c>
      <c r="E1000" s="5" t="s">
        <v>46</v>
      </c>
      <c r="F1000" s="5" t="s">
        <v>39</v>
      </c>
      <c r="G1000" s="6" t="n">
        <v>645</v>
      </c>
      <c r="H1000" s="6" t="n">
        <v>222</v>
      </c>
      <c r="I1000" s="7" t="n">
        <f aca="false">(G1000-H1000)/G1000</f>
        <v>0.655813953488372</v>
      </c>
      <c r="J1000" s="15" t="n">
        <v>0.299</v>
      </c>
      <c r="K1000" s="11" t="str">
        <f aca="false">IF(I1000&lt;J1000,"TAK","NIE")</f>
        <v>NIE</v>
      </c>
    </row>
    <row r="1001" customFormat="false" ht="15" hidden="false" customHeight="false" outlineLevel="0" collapsed="false">
      <c r="A1001" s="5" t="s">
        <v>352</v>
      </c>
      <c r="B1001" s="5" t="s">
        <v>69</v>
      </c>
      <c r="C1001" s="5" t="n">
        <v>2019</v>
      </c>
      <c r="D1001" s="5" t="s">
        <v>68</v>
      </c>
      <c r="E1001" s="5" t="s">
        <v>46</v>
      </c>
      <c r="F1001" s="5" t="s">
        <v>39</v>
      </c>
      <c r="G1001" s="6" t="n">
        <v>643</v>
      </c>
      <c r="H1001" s="6" t="n">
        <v>131</v>
      </c>
      <c r="I1001" s="7" t="n">
        <f aca="false">(G1001-H1001)/G1001</f>
        <v>0.796267496111975</v>
      </c>
      <c r="J1001" s="15" t="n">
        <v>0.299</v>
      </c>
      <c r="K1001" s="11" t="str">
        <f aca="false">IF(I1001&lt;J1001,"TAK","NIE")</f>
        <v>NIE</v>
      </c>
    </row>
    <row r="1002" customFormat="false" ht="15" hidden="false" customHeight="false" outlineLevel="0" collapsed="false">
      <c r="A1002" s="5" t="s">
        <v>354</v>
      </c>
      <c r="B1002" s="5" t="s">
        <v>69</v>
      </c>
      <c r="C1002" s="5" t="n">
        <v>2019</v>
      </c>
      <c r="D1002" s="5" t="s">
        <v>68</v>
      </c>
      <c r="E1002" s="5" t="s">
        <v>46</v>
      </c>
      <c r="F1002" s="5" t="s">
        <v>39</v>
      </c>
      <c r="G1002" s="6" t="n">
        <v>643</v>
      </c>
      <c r="H1002" s="6" t="n">
        <v>95</v>
      </c>
      <c r="I1002" s="7" t="n">
        <f aca="false">(G1002-H1002)/G1002</f>
        <v>0.852255054432348</v>
      </c>
      <c r="J1002" s="15" t="n">
        <v>0.299</v>
      </c>
      <c r="K1002" s="11" t="str">
        <f aca="false">IF(I1002&lt;J1002,"TAK","NIE")</f>
        <v>NIE</v>
      </c>
    </row>
    <row r="1003" customFormat="false" ht="15" hidden="false" customHeight="false" outlineLevel="0" collapsed="false">
      <c r="A1003" s="5" t="s">
        <v>337</v>
      </c>
      <c r="B1003" s="5" t="s">
        <v>69</v>
      </c>
      <c r="C1003" s="5" t="n">
        <v>2019</v>
      </c>
      <c r="D1003" s="5" t="s">
        <v>68</v>
      </c>
      <c r="E1003" s="5" t="s">
        <v>46</v>
      </c>
      <c r="F1003" s="5" t="s">
        <v>40</v>
      </c>
      <c r="G1003" s="6" t="n">
        <v>485</v>
      </c>
      <c r="H1003" s="6" t="n">
        <v>213</v>
      </c>
      <c r="I1003" s="7" t="n">
        <f aca="false">(G1003-H1003)/G1003</f>
        <v>0.560824742268041</v>
      </c>
      <c r="J1003" s="15" t="n">
        <v>0.452</v>
      </c>
      <c r="K1003" s="11" t="str">
        <f aca="false">IF(I1003&lt;J1003,"TAK","NIE")</f>
        <v>NIE</v>
      </c>
    </row>
    <row r="1004" customFormat="false" ht="15" hidden="false" customHeight="false" outlineLevel="0" collapsed="false">
      <c r="A1004" s="5" t="s">
        <v>338</v>
      </c>
      <c r="B1004" s="5" t="s">
        <v>69</v>
      </c>
      <c r="C1004" s="5" t="n">
        <v>2019</v>
      </c>
      <c r="D1004" s="5" t="s">
        <v>68</v>
      </c>
      <c r="E1004" s="5" t="s">
        <v>46</v>
      </c>
      <c r="F1004" s="5" t="s">
        <v>40</v>
      </c>
      <c r="G1004" s="6" t="n">
        <v>485</v>
      </c>
      <c r="H1004" s="6" t="n">
        <v>135</v>
      </c>
      <c r="I1004" s="7" t="n">
        <f aca="false">(G1004-H1004)/G1004</f>
        <v>0.721649484536083</v>
      </c>
      <c r="J1004" s="15" t="n">
        <v>0.452</v>
      </c>
      <c r="K1004" s="11" t="str">
        <f aca="false">IF(I1004&lt;J1004,"TAK","NIE")</f>
        <v>NIE</v>
      </c>
    </row>
    <row r="1005" customFormat="false" ht="15" hidden="false" customHeight="false" outlineLevel="0" collapsed="false">
      <c r="A1005" s="5" t="s">
        <v>339</v>
      </c>
      <c r="B1005" s="5" t="s">
        <v>69</v>
      </c>
      <c r="C1005" s="5" t="n">
        <v>2019</v>
      </c>
      <c r="D1005" s="5" t="s">
        <v>68</v>
      </c>
      <c r="E1005" s="5" t="s">
        <v>46</v>
      </c>
      <c r="F1005" s="5" t="s">
        <v>40</v>
      </c>
      <c r="G1005" s="6" t="n">
        <v>485</v>
      </c>
      <c r="H1005" s="6" t="n">
        <v>174</v>
      </c>
      <c r="I1005" s="7" t="n">
        <f aca="false">(G1005-H1005)/G1005</f>
        <v>0.641237113402062</v>
      </c>
      <c r="J1005" s="15" t="n">
        <v>0.452</v>
      </c>
      <c r="K1005" s="11" t="str">
        <f aca="false">IF(I1005&lt;J1005,"TAK","NIE")</f>
        <v>NIE</v>
      </c>
    </row>
    <row r="1006" customFormat="false" ht="15" hidden="false" customHeight="false" outlineLevel="0" collapsed="false">
      <c r="A1006" s="5" t="s">
        <v>340</v>
      </c>
      <c r="B1006" s="5" t="s">
        <v>69</v>
      </c>
      <c r="C1006" s="5" t="n">
        <v>2019</v>
      </c>
      <c r="D1006" s="5" t="s">
        <v>68</v>
      </c>
      <c r="E1006" s="5" t="s">
        <v>46</v>
      </c>
      <c r="F1006" s="5" t="s">
        <v>40</v>
      </c>
      <c r="G1006" s="6" t="n">
        <v>485</v>
      </c>
      <c r="H1006" s="6" t="n">
        <v>177</v>
      </c>
      <c r="I1006" s="7" t="n">
        <f aca="false">(G1006-H1006)/G1006</f>
        <v>0.635051546391753</v>
      </c>
      <c r="J1006" s="15" t="n">
        <v>0.452</v>
      </c>
      <c r="K1006" s="11" t="str">
        <f aca="false">IF(I1006&lt;J1006,"TAK","NIE")</f>
        <v>NIE</v>
      </c>
    </row>
    <row r="1007" customFormat="false" ht="15" hidden="false" customHeight="false" outlineLevel="0" collapsed="false">
      <c r="A1007" s="5" t="s">
        <v>341</v>
      </c>
      <c r="B1007" s="5" t="s">
        <v>69</v>
      </c>
      <c r="C1007" s="5" t="n">
        <v>2019</v>
      </c>
      <c r="D1007" s="5" t="s">
        <v>68</v>
      </c>
      <c r="E1007" s="5" t="s">
        <v>46</v>
      </c>
      <c r="F1007" s="5" t="s">
        <v>40</v>
      </c>
      <c r="G1007" s="6" t="n">
        <v>485</v>
      </c>
      <c r="H1007" s="6" t="n">
        <v>157</v>
      </c>
      <c r="I1007" s="7" t="n">
        <f aca="false">(G1007-H1007)/G1007</f>
        <v>0.676288659793815</v>
      </c>
      <c r="J1007" s="15" t="n">
        <v>0.452</v>
      </c>
      <c r="K1007" s="11" t="str">
        <f aca="false">IF(I1007&lt;J1007,"TAK","NIE")</f>
        <v>NIE</v>
      </c>
    </row>
    <row r="1008" customFormat="false" ht="15" hidden="false" customHeight="false" outlineLevel="0" collapsed="false">
      <c r="A1008" s="5" t="s">
        <v>342</v>
      </c>
      <c r="B1008" s="5" t="s">
        <v>69</v>
      </c>
      <c r="C1008" s="5" t="n">
        <v>2019</v>
      </c>
      <c r="D1008" s="5" t="s">
        <v>68</v>
      </c>
      <c r="E1008" s="5" t="s">
        <v>46</v>
      </c>
      <c r="F1008" s="5" t="s">
        <v>40</v>
      </c>
      <c r="G1008" s="6" t="n">
        <v>485</v>
      </c>
      <c r="H1008" s="6" t="n">
        <v>146</v>
      </c>
      <c r="I1008" s="7" t="n">
        <f aca="false">(G1008-H1008)/G1008</f>
        <v>0.698969072164948</v>
      </c>
      <c r="J1008" s="15" t="n">
        <v>0.452</v>
      </c>
      <c r="K1008" s="11" t="str">
        <f aca="false">IF(I1008&lt;J1008,"TAK","NIE")</f>
        <v>NIE</v>
      </c>
    </row>
    <row r="1009" customFormat="false" ht="15" hidden="false" customHeight="false" outlineLevel="0" collapsed="false">
      <c r="A1009" s="5" t="s">
        <v>343</v>
      </c>
      <c r="B1009" s="5" t="s">
        <v>69</v>
      </c>
      <c r="C1009" s="5" t="n">
        <v>2019</v>
      </c>
      <c r="D1009" s="5" t="s">
        <v>68</v>
      </c>
      <c r="E1009" s="5" t="s">
        <v>46</v>
      </c>
      <c r="F1009" s="5" t="s">
        <v>40</v>
      </c>
      <c r="G1009" s="6" t="n">
        <v>485</v>
      </c>
      <c r="H1009" s="6" t="n">
        <v>218</v>
      </c>
      <c r="I1009" s="7" t="n">
        <f aca="false">(G1009-H1009)/G1009</f>
        <v>0.550515463917526</v>
      </c>
      <c r="J1009" s="15" t="n">
        <v>0.452</v>
      </c>
      <c r="K1009" s="11" t="str">
        <f aca="false">IF(I1009&lt;J1009,"TAK","NIE")</f>
        <v>NIE</v>
      </c>
    </row>
    <row r="1010" customFormat="false" ht="15" hidden="false" customHeight="false" outlineLevel="0" collapsed="false">
      <c r="A1010" s="5" t="s">
        <v>344</v>
      </c>
      <c r="B1010" s="5" t="s">
        <v>69</v>
      </c>
      <c r="C1010" s="5" t="n">
        <v>2019</v>
      </c>
      <c r="D1010" s="5" t="s">
        <v>68</v>
      </c>
      <c r="E1010" s="5" t="s">
        <v>46</v>
      </c>
      <c r="F1010" s="5" t="s">
        <v>40</v>
      </c>
      <c r="G1010" s="6" t="n">
        <v>485</v>
      </c>
      <c r="H1010" s="6" t="n">
        <v>145</v>
      </c>
      <c r="I1010" s="7" t="n">
        <f aca="false">(G1010-H1010)/G1010</f>
        <v>0.701030927835052</v>
      </c>
      <c r="J1010" s="15" t="n">
        <v>0.452</v>
      </c>
      <c r="K1010" s="11" t="str">
        <f aca="false">IF(I1010&lt;J1010,"TAK","NIE")</f>
        <v>NIE</v>
      </c>
    </row>
    <row r="1011" customFormat="false" ht="15" hidden="false" customHeight="false" outlineLevel="0" collapsed="false">
      <c r="A1011" s="5" t="s">
        <v>345</v>
      </c>
      <c r="B1011" s="5" t="s">
        <v>69</v>
      </c>
      <c r="C1011" s="5" t="n">
        <v>2019</v>
      </c>
      <c r="D1011" s="5" t="s">
        <v>68</v>
      </c>
      <c r="E1011" s="5" t="s">
        <v>46</v>
      </c>
      <c r="F1011" s="5" t="s">
        <v>40</v>
      </c>
      <c r="G1011" s="6" t="n">
        <v>485</v>
      </c>
      <c r="H1011" s="6" t="n">
        <v>86</v>
      </c>
      <c r="I1011" s="7" t="n">
        <f aca="false">(G1011-H1011)/G1011</f>
        <v>0.822680412371134</v>
      </c>
      <c r="J1011" s="15" t="n">
        <v>0.452</v>
      </c>
      <c r="K1011" s="11" t="str">
        <f aca="false">IF(I1011&lt;J1011,"TAK","NIE")</f>
        <v>NIE</v>
      </c>
    </row>
    <row r="1012" customFormat="false" ht="15" hidden="false" customHeight="false" outlineLevel="0" collapsed="false">
      <c r="A1012" s="5" t="s">
        <v>346</v>
      </c>
      <c r="B1012" s="5" t="s">
        <v>69</v>
      </c>
      <c r="C1012" s="5" t="n">
        <v>2019</v>
      </c>
      <c r="D1012" s="5" t="s">
        <v>68</v>
      </c>
      <c r="E1012" s="5" t="s">
        <v>46</v>
      </c>
      <c r="F1012" s="5" t="s">
        <v>40</v>
      </c>
      <c r="G1012" s="6" t="n">
        <v>485</v>
      </c>
      <c r="H1012" s="6" t="n">
        <v>227</v>
      </c>
      <c r="I1012" s="7" t="n">
        <f aca="false">(G1012-H1012)/G1012</f>
        <v>0.531958762886598</v>
      </c>
      <c r="J1012" s="15" t="n">
        <v>0.452</v>
      </c>
      <c r="K1012" s="11" t="str">
        <f aca="false">IF(I1012&lt;J1012,"TAK","NIE")</f>
        <v>NIE</v>
      </c>
    </row>
    <row r="1013" customFormat="false" ht="15" hidden="false" customHeight="false" outlineLevel="0" collapsed="false">
      <c r="A1013" s="5" t="s">
        <v>347</v>
      </c>
      <c r="B1013" s="5" t="s">
        <v>69</v>
      </c>
      <c r="C1013" s="5" t="n">
        <v>2019</v>
      </c>
      <c r="D1013" s="5" t="s">
        <v>68</v>
      </c>
      <c r="E1013" s="5" t="s">
        <v>46</v>
      </c>
      <c r="F1013" s="5" t="s">
        <v>40</v>
      </c>
      <c r="G1013" s="6" t="n">
        <v>485</v>
      </c>
      <c r="H1013" s="6" t="n">
        <v>116</v>
      </c>
      <c r="I1013" s="7" t="n">
        <f aca="false">(G1013-H1013)/G1013</f>
        <v>0.760824742268041</v>
      </c>
      <c r="J1013" s="15" t="n">
        <v>0.452</v>
      </c>
      <c r="K1013" s="11" t="str">
        <f aca="false">IF(I1013&lt;J1013,"TAK","NIE")</f>
        <v>NIE</v>
      </c>
    </row>
    <row r="1014" customFormat="false" ht="15" hidden="false" customHeight="false" outlineLevel="0" collapsed="false">
      <c r="A1014" s="5" t="s">
        <v>348</v>
      </c>
      <c r="B1014" s="5" t="s">
        <v>69</v>
      </c>
      <c r="C1014" s="5" t="n">
        <v>2019</v>
      </c>
      <c r="D1014" s="5" t="s">
        <v>68</v>
      </c>
      <c r="E1014" s="5" t="s">
        <v>46</v>
      </c>
      <c r="F1014" s="5" t="s">
        <v>40</v>
      </c>
      <c r="G1014" s="6" t="n">
        <v>485</v>
      </c>
      <c r="H1014" s="6" t="n">
        <v>81</v>
      </c>
      <c r="I1014" s="7" t="n">
        <f aca="false">(G1014-H1014)/G1014</f>
        <v>0.83298969072165</v>
      </c>
      <c r="J1014" s="15" t="n">
        <v>0.452</v>
      </c>
      <c r="K1014" s="11" t="str">
        <f aca="false">IF(I1014&lt;J1014,"TAK","NIE")</f>
        <v>NIE</v>
      </c>
    </row>
    <row r="1015" customFormat="false" ht="15" hidden="false" customHeight="false" outlineLevel="0" collapsed="false">
      <c r="A1015" s="5" t="s">
        <v>349</v>
      </c>
      <c r="B1015" s="5" t="s">
        <v>69</v>
      </c>
      <c r="C1015" s="5" t="n">
        <v>2019</v>
      </c>
      <c r="D1015" s="5" t="s">
        <v>68</v>
      </c>
      <c r="E1015" s="5" t="s">
        <v>46</v>
      </c>
      <c r="F1015" s="5" t="s">
        <v>40</v>
      </c>
      <c r="G1015" s="6" t="n">
        <v>485</v>
      </c>
      <c r="H1015" s="6" t="n">
        <v>118</v>
      </c>
      <c r="I1015" s="7" t="n">
        <f aca="false">(G1015-H1015)/G1015</f>
        <v>0.756701030927835</v>
      </c>
      <c r="J1015" s="15" t="n">
        <v>0.452</v>
      </c>
      <c r="K1015" s="11" t="str">
        <f aca="false">IF(I1015&lt;J1015,"TAK","NIE")</f>
        <v>NIE</v>
      </c>
    </row>
    <row r="1016" customFormat="false" ht="15" hidden="false" customHeight="false" outlineLevel="0" collapsed="false">
      <c r="A1016" s="5" t="s">
        <v>350</v>
      </c>
      <c r="B1016" s="5" t="s">
        <v>69</v>
      </c>
      <c r="C1016" s="5" t="n">
        <v>2019</v>
      </c>
      <c r="D1016" s="5" t="s">
        <v>68</v>
      </c>
      <c r="E1016" s="5" t="s">
        <v>46</v>
      </c>
      <c r="F1016" s="5" t="s">
        <v>40</v>
      </c>
      <c r="G1016" s="6" t="n">
        <v>485</v>
      </c>
      <c r="H1016" s="6" t="n">
        <v>168</v>
      </c>
      <c r="I1016" s="7" t="n">
        <f aca="false">(G1016-H1016)/G1016</f>
        <v>0.65360824742268</v>
      </c>
      <c r="J1016" s="15" t="n">
        <v>0.452</v>
      </c>
      <c r="K1016" s="11" t="str">
        <f aca="false">IF(I1016&lt;J1016,"TAK","NIE")</f>
        <v>NIE</v>
      </c>
    </row>
    <row r="1017" customFormat="false" ht="15" hidden="false" customHeight="false" outlineLevel="0" collapsed="false">
      <c r="A1017" s="5" t="s">
        <v>351</v>
      </c>
      <c r="B1017" s="5" t="s">
        <v>69</v>
      </c>
      <c r="C1017" s="5" t="n">
        <v>2019</v>
      </c>
      <c r="D1017" s="5" t="s">
        <v>68</v>
      </c>
      <c r="E1017" s="5" t="s">
        <v>46</v>
      </c>
      <c r="F1017" s="5" t="s">
        <v>40</v>
      </c>
      <c r="G1017" s="6" t="n">
        <v>485</v>
      </c>
      <c r="H1017" s="6" t="n">
        <v>175</v>
      </c>
      <c r="I1017" s="7" t="n">
        <f aca="false">(G1017-H1017)/G1017</f>
        <v>0.639175257731959</v>
      </c>
      <c r="J1017" s="15" t="n">
        <v>0.452</v>
      </c>
      <c r="K1017" s="11" t="str">
        <f aca="false">IF(I1017&lt;J1017,"TAK","NIE")</f>
        <v>NIE</v>
      </c>
    </row>
    <row r="1018" customFormat="false" ht="15" hidden="false" customHeight="false" outlineLevel="0" collapsed="false">
      <c r="A1018" s="5" t="s">
        <v>352</v>
      </c>
      <c r="B1018" s="5" t="s">
        <v>69</v>
      </c>
      <c r="C1018" s="5" t="n">
        <v>2019</v>
      </c>
      <c r="D1018" s="5" t="s">
        <v>68</v>
      </c>
      <c r="E1018" s="5" t="s">
        <v>46</v>
      </c>
      <c r="F1018" s="5" t="s">
        <v>40</v>
      </c>
      <c r="G1018" s="6" t="n">
        <v>485</v>
      </c>
      <c r="H1018" s="6" t="n">
        <v>218</v>
      </c>
      <c r="I1018" s="7" t="n">
        <f aca="false">(G1018-H1018)/G1018</f>
        <v>0.550515463917526</v>
      </c>
      <c r="J1018" s="15" t="n">
        <v>0.452</v>
      </c>
      <c r="K1018" s="11" t="str">
        <f aca="false">IF(I1018&lt;J1018,"TAK","NIE")</f>
        <v>NIE</v>
      </c>
    </row>
    <row r="1019" customFormat="false" ht="15" hidden="false" customHeight="false" outlineLevel="0" collapsed="false">
      <c r="A1019" s="5" t="s">
        <v>354</v>
      </c>
      <c r="B1019" s="5" t="s">
        <v>69</v>
      </c>
      <c r="C1019" s="5" t="n">
        <v>2019</v>
      </c>
      <c r="D1019" s="5" t="s">
        <v>68</v>
      </c>
      <c r="E1019" s="5" t="s">
        <v>46</v>
      </c>
      <c r="F1019" s="5" t="s">
        <v>40</v>
      </c>
      <c r="G1019" s="6" t="n">
        <v>485</v>
      </c>
      <c r="H1019" s="6" t="n">
        <v>93</v>
      </c>
      <c r="I1019" s="7" t="n">
        <f aca="false">(G1019-H1019)/G1019</f>
        <v>0.808247422680412</v>
      </c>
      <c r="J1019" s="15" t="n">
        <v>0.452</v>
      </c>
      <c r="K1019" s="11" t="str">
        <f aca="false">IF(I1019&lt;J1019,"TAK","NIE")</f>
        <v>NIE</v>
      </c>
    </row>
    <row r="1020" customFormat="false" ht="15" hidden="false" customHeight="false" outlineLevel="0" collapsed="false">
      <c r="A1020" s="5" t="s">
        <v>337</v>
      </c>
      <c r="B1020" s="5" t="s">
        <v>70</v>
      </c>
      <c r="C1020" s="5" t="n">
        <v>2019</v>
      </c>
      <c r="D1020" s="5" t="s">
        <v>68</v>
      </c>
      <c r="E1020" s="5" t="s">
        <v>55</v>
      </c>
      <c r="F1020" s="5" t="s">
        <v>39</v>
      </c>
      <c r="G1020" s="6" t="n">
        <v>654</v>
      </c>
      <c r="H1020" s="6" t="n">
        <v>225</v>
      </c>
      <c r="I1020" s="7" t="n">
        <f aca="false">(G1020-H1020)/G1020</f>
        <v>0.655963302752294</v>
      </c>
      <c r="J1020" s="15" t="n">
        <v>0.418</v>
      </c>
      <c r="K1020" s="11" t="str">
        <f aca="false">IF(I1020&lt;J1020,"TAK","NIE")</f>
        <v>NIE</v>
      </c>
    </row>
    <row r="1021" customFormat="false" ht="15" hidden="false" customHeight="false" outlineLevel="0" collapsed="false">
      <c r="A1021" s="5" t="s">
        <v>338</v>
      </c>
      <c r="B1021" s="5" t="s">
        <v>70</v>
      </c>
      <c r="C1021" s="5" t="n">
        <v>2019</v>
      </c>
      <c r="D1021" s="5" t="s">
        <v>68</v>
      </c>
      <c r="E1021" s="5" t="s">
        <v>55</v>
      </c>
      <c r="F1021" s="5" t="s">
        <v>39</v>
      </c>
      <c r="G1021" s="6" t="n">
        <v>654</v>
      </c>
      <c r="H1021" s="6" t="n">
        <v>178</v>
      </c>
      <c r="I1021" s="7" t="n">
        <f aca="false">(G1021-H1021)/G1021</f>
        <v>0.72782874617737</v>
      </c>
      <c r="J1021" s="15" t="n">
        <v>0.418</v>
      </c>
      <c r="K1021" s="11" t="str">
        <f aca="false">IF(I1021&lt;J1021,"TAK","NIE")</f>
        <v>NIE</v>
      </c>
    </row>
    <row r="1022" customFormat="false" ht="15" hidden="false" customHeight="false" outlineLevel="0" collapsed="false">
      <c r="A1022" s="5" t="s">
        <v>339</v>
      </c>
      <c r="B1022" s="5" t="s">
        <v>70</v>
      </c>
      <c r="C1022" s="5" t="n">
        <v>2019</v>
      </c>
      <c r="D1022" s="5" t="s">
        <v>68</v>
      </c>
      <c r="E1022" s="5" t="s">
        <v>55</v>
      </c>
      <c r="F1022" s="5" t="s">
        <v>39</v>
      </c>
      <c r="G1022" s="6" t="n">
        <v>654</v>
      </c>
      <c r="H1022" s="6" t="n">
        <v>208</v>
      </c>
      <c r="I1022" s="7" t="n">
        <f aca="false">(G1022-H1022)/G1022</f>
        <v>0.681957186544343</v>
      </c>
      <c r="J1022" s="15" t="n">
        <v>0.418</v>
      </c>
      <c r="K1022" s="11" t="str">
        <f aca="false">IF(I1022&lt;J1022,"TAK","NIE")</f>
        <v>NIE</v>
      </c>
    </row>
    <row r="1023" customFormat="false" ht="15" hidden="false" customHeight="false" outlineLevel="0" collapsed="false">
      <c r="A1023" s="5" t="s">
        <v>340</v>
      </c>
      <c r="B1023" s="5" t="s">
        <v>70</v>
      </c>
      <c r="C1023" s="5" t="n">
        <v>2019</v>
      </c>
      <c r="D1023" s="5" t="s">
        <v>68</v>
      </c>
      <c r="E1023" s="5" t="s">
        <v>55</v>
      </c>
      <c r="F1023" s="5" t="s">
        <v>39</v>
      </c>
      <c r="G1023" s="6" t="n">
        <v>654</v>
      </c>
      <c r="H1023" s="6" t="n">
        <v>118</v>
      </c>
      <c r="I1023" s="7" t="n">
        <f aca="false">(G1023-H1023)/G1023</f>
        <v>0.819571865443425</v>
      </c>
      <c r="J1023" s="15" t="n">
        <v>0.418</v>
      </c>
      <c r="K1023" s="11" t="str">
        <f aca="false">IF(I1023&lt;J1023,"TAK","NIE")</f>
        <v>NIE</v>
      </c>
    </row>
    <row r="1024" customFormat="false" ht="15" hidden="false" customHeight="false" outlineLevel="0" collapsed="false">
      <c r="A1024" s="5" t="s">
        <v>341</v>
      </c>
      <c r="B1024" s="5" t="s">
        <v>70</v>
      </c>
      <c r="C1024" s="5" t="n">
        <v>2019</v>
      </c>
      <c r="D1024" s="5" t="s">
        <v>68</v>
      </c>
      <c r="E1024" s="5" t="s">
        <v>55</v>
      </c>
      <c r="F1024" s="5" t="s">
        <v>39</v>
      </c>
      <c r="G1024" s="6" t="n">
        <v>654</v>
      </c>
      <c r="H1024" s="6" t="n">
        <v>93</v>
      </c>
      <c r="I1024" s="7" t="n">
        <f aca="false">(G1024-H1024)/G1024</f>
        <v>0.857798165137615</v>
      </c>
      <c r="J1024" s="15" t="n">
        <v>0.418</v>
      </c>
      <c r="K1024" s="11" t="str">
        <f aca="false">IF(I1024&lt;J1024,"TAK","NIE")</f>
        <v>NIE</v>
      </c>
    </row>
    <row r="1025" customFormat="false" ht="15" hidden="false" customHeight="false" outlineLevel="0" collapsed="false">
      <c r="A1025" s="5" t="s">
        <v>342</v>
      </c>
      <c r="B1025" s="5" t="s">
        <v>70</v>
      </c>
      <c r="C1025" s="5" t="n">
        <v>2019</v>
      </c>
      <c r="D1025" s="5" t="s">
        <v>68</v>
      </c>
      <c r="E1025" s="5" t="s">
        <v>55</v>
      </c>
      <c r="F1025" s="5" t="s">
        <v>39</v>
      </c>
      <c r="G1025" s="6" t="n">
        <v>654</v>
      </c>
      <c r="H1025" s="6" t="n">
        <v>202</v>
      </c>
      <c r="I1025" s="7" t="n">
        <f aca="false">(G1025-H1025)/G1025</f>
        <v>0.691131498470948</v>
      </c>
      <c r="J1025" s="15" t="n">
        <v>0.418</v>
      </c>
      <c r="K1025" s="11" t="str">
        <f aca="false">IF(I1025&lt;J1025,"TAK","NIE")</f>
        <v>NIE</v>
      </c>
    </row>
    <row r="1026" customFormat="false" ht="15" hidden="false" customHeight="false" outlineLevel="0" collapsed="false">
      <c r="A1026" s="5" t="s">
        <v>343</v>
      </c>
      <c r="B1026" s="5" t="s">
        <v>70</v>
      </c>
      <c r="C1026" s="5" t="n">
        <v>2019</v>
      </c>
      <c r="D1026" s="5" t="s">
        <v>68</v>
      </c>
      <c r="E1026" s="5" t="s">
        <v>55</v>
      </c>
      <c r="F1026" s="5" t="s">
        <v>39</v>
      </c>
      <c r="G1026" s="6" t="n">
        <v>654</v>
      </c>
      <c r="H1026" s="6" t="n">
        <v>306</v>
      </c>
      <c r="I1026" s="7" t="n">
        <f aca="false">(G1026-H1026)/G1026</f>
        <v>0.532110091743119</v>
      </c>
      <c r="J1026" s="15" t="n">
        <v>0.418</v>
      </c>
      <c r="K1026" s="11" t="str">
        <f aca="false">IF(I1026&lt;J1026,"TAK","NIE")</f>
        <v>NIE</v>
      </c>
    </row>
    <row r="1027" customFormat="false" ht="15" hidden="false" customHeight="false" outlineLevel="0" collapsed="false">
      <c r="A1027" s="5" t="s">
        <v>344</v>
      </c>
      <c r="B1027" s="5" t="s">
        <v>70</v>
      </c>
      <c r="C1027" s="5" t="n">
        <v>2019</v>
      </c>
      <c r="D1027" s="5" t="s">
        <v>68</v>
      </c>
      <c r="E1027" s="5" t="s">
        <v>55</v>
      </c>
      <c r="F1027" s="5" t="s">
        <v>39</v>
      </c>
      <c r="G1027" s="6" t="n">
        <v>654</v>
      </c>
      <c r="H1027" s="6" t="n">
        <v>122</v>
      </c>
      <c r="I1027" s="7" t="n">
        <f aca="false">(G1027-H1027)/G1027</f>
        <v>0.813455657492355</v>
      </c>
      <c r="J1027" s="15" t="n">
        <v>0.418</v>
      </c>
      <c r="K1027" s="11" t="str">
        <f aca="false">IF(I1027&lt;J1027,"TAK","NIE")</f>
        <v>NIE</v>
      </c>
    </row>
    <row r="1028" customFormat="false" ht="15" hidden="false" customHeight="false" outlineLevel="0" collapsed="false">
      <c r="A1028" s="5" t="s">
        <v>345</v>
      </c>
      <c r="B1028" s="5" t="s">
        <v>70</v>
      </c>
      <c r="C1028" s="5" t="n">
        <v>2019</v>
      </c>
      <c r="D1028" s="5" t="s">
        <v>68</v>
      </c>
      <c r="E1028" s="5" t="s">
        <v>55</v>
      </c>
      <c r="F1028" s="5" t="s">
        <v>39</v>
      </c>
      <c r="G1028" s="6" t="n">
        <v>654</v>
      </c>
      <c r="H1028" s="6" t="n">
        <v>82</v>
      </c>
      <c r="I1028" s="7" t="n">
        <f aca="false">(G1028-H1028)/G1028</f>
        <v>0.874617737003058</v>
      </c>
      <c r="J1028" s="15" t="n">
        <v>0.418</v>
      </c>
      <c r="K1028" s="11" t="str">
        <f aca="false">IF(I1028&lt;J1028,"TAK","NIE")</f>
        <v>NIE</v>
      </c>
    </row>
    <row r="1029" customFormat="false" ht="15" hidden="false" customHeight="false" outlineLevel="0" collapsed="false">
      <c r="A1029" s="5" t="s">
        <v>346</v>
      </c>
      <c r="B1029" s="5" t="s">
        <v>70</v>
      </c>
      <c r="C1029" s="5" t="n">
        <v>2019</v>
      </c>
      <c r="D1029" s="5" t="s">
        <v>68</v>
      </c>
      <c r="E1029" s="5" t="s">
        <v>55</v>
      </c>
      <c r="F1029" s="5" t="s">
        <v>39</v>
      </c>
      <c r="G1029" s="6" t="n">
        <v>654</v>
      </c>
      <c r="H1029" s="6" t="n">
        <v>330</v>
      </c>
      <c r="I1029" s="7" t="n">
        <f aca="false">(G1029-H1029)/G1029</f>
        <v>0.495412844036697</v>
      </c>
      <c r="J1029" s="15" t="n">
        <v>0.418</v>
      </c>
      <c r="K1029" s="11" t="str">
        <f aca="false">IF(I1029&lt;J1029,"TAK","NIE")</f>
        <v>NIE</v>
      </c>
    </row>
    <row r="1030" customFormat="false" ht="15" hidden="false" customHeight="false" outlineLevel="0" collapsed="false">
      <c r="A1030" s="5" t="s">
        <v>347</v>
      </c>
      <c r="B1030" s="5" t="s">
        <v>70</v>
      </c>
      <c r="C1030" s="5" t="n">
        <v>2019</v>
      </c>
      <c r="D1030" s="5" t="s">
        <v>68</v>
      </c>
      <c r="E1030" s="5" t="s">
        <v>55</v>
      </c>
      <c r="F1030" s="5" t="s">
        <v>39</v>
      </c>
      <c r="G1030" s="6" t="n">
        <v>654</v>
      </c>
      <c r="H1030" s="6" t="n">
        <v>71</v>
      </c>
      <c r="I1030" s="7" t="n">
        <f aca="false">(G1030-H1030)/G1030</f>
        <v>0.891437308868502</v>
      </c>
      <c r="J1030" s="15" t="n">
        <v>0.418</v>
      </c>
      <c r="K1030" s="11" t="str">
        <f aca="false">IF(I1030&lt;J1030,"TAK","NIE")</f>
        <v>NIE</v>
      </c>
    </row>
    <row r="1031" customFormat="false" ht="15" hidden="false" customHeight="false" outlineLevel="0" collapsed="false">
      <c r="A1031" s="5" t="s">
        <v>348</v>
      </c>
      <c r="B1031" s="5" t="s">
        <v>70</v>
      </c>
      <c r="C1031" s="5" t="n">
        <v>2019</v>
      </c>
      <c r="D1031" s="5" t="s">
        <v>68</v>
      </c>
      <c r="E1031" s="5" t="s">
        <v>55</v>
      </c>
      <c r="F1031" s="5" t="s">
        <v>39</v>
      </c>
      <c r="G1031" s="6" t="n">
        <v>654</v>
      </c>
      <c r="H1031" s="6" t="n">
        <v>66</v>
      </c>
      <c r="I1031" s="7" t="n">
        <f aca="false">(G1031-H1031)/G1031</f>
        <v>0.89908256880734</v>
      </c>
      <c r="J1031" s="15" t="n">
        <v>0.418</v>
      </c>
      <c r="K1031" s="11" t="str">
        <f aca="false">IF(I1031&lt;J1031,"TAK","NIE")</f>
        <v>NIE</v>
      </c>
    </row>
    <row r="1032" customFormat="false" ht="15" hidden="false" customHeight="false" outlineLevel="0" collapsed="false">
      <c r="A1032" s="5" t="s">
        <v>349</v>
      </c>
      <c r="B1032" s="5" t="s">
        <v>70</v>
      </c>
      <c r="C1032" s="5" t="n">
        <v>2019</v>
      </c>
      <c r="D1032" s="5" t="s">
        <v>68</v>
      </c>
      <c r="E1032" s="5" t="s">
        <v>55</v>
      </c>
      <c r="F1032" s="5" t="s">
        <v>39</v>
      </c>
      <c r="G1032" s="6" t="n">
        <v>654</v>
      </c>
      <c r="H1032" s="6" t="n">
        <v>176</v>
      </c>
      <c r="I1032" s="7" t="n">
        <f aca="false">(G1032-H1032)/G1032</f>
        <v>0.730886850152905</v>
      </c>
      <c r="J1032" s="15" t="n">
        <v>0.418</v>
      </c>
      <c r="K1032" s="11" t="str">
        <f aca="false">IF(I1032&lt;J1032,"TAK","NIE")</f>
        <v>NIE</v>
      </c>
    </row>
    <row r="1033" customFormat="false" ht="15" hidden="false" customHeight="false" outlineLevel="0" collapsed="false">
      <c r="A1033" s="5" t="s">
        <v>350</v>
      </c>
      <c r="B1033" s="5" t="s">
        <v>70</v>
      </c>
      <c r="C1033" s="5" t="n">
        <v>2019</v>
      </c>
      <c r="D1033" s="5" t="s">
        <v>68</v>
      </c>
      <c r="E1033" s="5" t="s">
        <v>55</v>
      </c>
      <c r="F1033" s="5" t="s">
        <v>39</v>
      </c>
      <c r="G1033" s="6" t="n">
        <v>654</v>
      </c>
      <c r="H1033" s="6" t="n">
        <v>224</v>
      </c>
      <c r="I1033" s="7" t="n">
        <f aca="false">(G1033-H1033)/G1033</f>
        <v>0.657492354740061</v>
      </c>
      <c r="J1033" s="15" t="n">
        <v>0.418</v>
      </c>
      <c r="K1033" s="11" t="str">
        <f aca="false">IF(I1033&lt;J1033,"TAK","NIE")</f>
        <v>NIE</v>
      </c>
    </row>
    <row r="1034" customFormat="false" ht="15" hidden="false" customHeight="false" outlineLevel="0" collapsed="false">
      <c r="A1034" s="5" t="s">
        <v>351</v>
      </c>
      <c r="B1034" s="5" t="s">
        <v>70</v>
      </c>
      <c r="C1034" s="5" t="n">
        <v>2019</v>
      </c>
      <c r="D1034" s="5" t="s">
        <v>68</v>
      </c>
      <c r="E1034" s="5" t="s">
        <v>55</v>
      </c>
      <c r="F1034" s="5" t="s">
        <v>39</v>
      </c>
      <c r="G1034" s="6" t="n">
        <v>654</v>
      </c>
      <c r="H1034" s="6" t="n">
        <v>90</v>
      </c>
      <c r="I1034" s="7" t="n">
        <f aca="false">(G1034-H1034)/G1034</f>
        <v>0.862385321100918</v>
      </c>
      <c r="J1034" s="15" t="n">
        <v>0.418</v>
      </c>
      <c r="K1034" s="11" t="str">
        <f aca="false">IF(I1034&lt;J1034,"TAK","NIE")</f>
        <v>NIE</v>
      </c>
    </row>
    <row r="1035" customFormat="false" ht="15" hidden="false" customHeight="false" outlineLevel="0" collapsed="false">
      <c r="A1035" s="5" t="s">
        <v>352</v>
      </c>
      <c r="B1035" s="5" t="s">
        <v>70</v>
      </c>
      <c r="C1035" s="5" t="n">
        <v>2019</v>
      </c>
      <c r="D1035" s="5" t="s">
        <v>68</v>
      </c>
      <c r="E1035" s="5" t="s">
        <v>55</v>
      </c>
      <c r="F1035" s="5" t="s">
        <v>39</v>
      </c>
      <c r="G1035" s="6" t="n">
        <v>654</v>
      </c>
      <c r="H1035" s="6" t="n">
        <v>208</v>
      </c>
      <c r="I1035" s="7" t="n">
        <f aca="false">(G1035-H1035)/G1035</f>
        <v>0.681957186544343</v>
      </c>
      <c r="J1035" s="15" t="n">
        <v>0.418</v>
      </c>
      <c r="K1035" s="11" t="str">
        <f aca="false">IF(I1035&lt;J1035,"TAK","NIE")</f>
        <v>NIE</v>
      </c>
    </row>
    <row r="1036" customFormat="false" ht="15" hidden="false" customHeight="false" outlineLevel="0" collapsed="false">
      <c r="A1036" s="5" t="s">
        <v>354</v>
      </c>
      <c r="B1036" s="5" t="s">
        <v>70</v>
      </c>
      <c r="C1036" s="5" t="n">
        <v>2019</v>
      </c>
      <c r="D1036" s="5" t="s">
        <v>68</v>
      </c>
      <c r="E1036" s="5" t="s">
        <v>55</v>
      </c>
      <c r="F1036" s="5" t="s">
        <v>39</v>
      </c>
      <c r="G1036" s="6" t="n">
        <v>654</v>
      </c>
      <c r="H1036" s="6" t="n">
        <v>118</v>
      </c>
      <c r="I1036" s="7" t="n">
        <f aca="false">(G1036-H1036)/G1036</f>
        <v>0.819571865443425</v>
      </c>
      <c r="J1036" s="15" t="n">
        <v>0.418</v>
      </c>
      <c r="K1036" s="11" t="str">
        <f aca="false">IF(I1036&lt;J1036,"TAK","NIE")</f>
        <v>NIE</v>
      </c>
    </row>
    <row r="1037" customFormat="false" ht="15" hidden="false" customHeight="false" outlineLevel="0" collapsed="false">
      <c r="A1037" s="5" t="s">
        <v>337</v>
      </c>
      <c r="B1037" s="5" t="s">
        <v>70</v>
      </c>
      <c r="C1037" s="5" t="n">
        <v>2019</v>
      </c>
      <c r="D1037" s="5" t="s">
        <v>68</v>
      </c>
      <c r="E1037" s="5" t="s">
        <v>55</v>
      </c>
      <c r="F1037" s="5" t="s">
        <v>40</v>
      </c>
      <c r="G1037" s="6" t="n">
        <v>262</v>
      </c>
      <c r="H1037" s="6" t="n">
        <v>173</v>
      </c>
      <c r="I1037" s="7" t="n">
        <f aca="false">(G1037-H1037)/G1037</f>
        <v>0.33969465648855</v>
      </c>
      <c r="J1037" s="15" t="n">
        <v>0.3765</v>
      </c>
      <c r="K1037" s="11" t="str">
        <f aca="false">IF(I1037&lt;J1037,"TAK","NIE")</f>
        <v>TAK</v>
      </c>
    </row>
    <row r="1038" customFormat="false" ht="15" hidden="false" customHeight="false" outlineLevel="0" collapsed="false">
      <c r="A1038" s="5" t="s">
        <v>338</v>
      </c>
      <c r="B1038" s="5" t="s">
        <v>70</v>
      </c>
      <c r="C1038" s="5" t="n">
        <v>2019</v>
      </c>
      <c r="D1038" s="5" t="s">
        <v>68</v>
      </c>
      <c r="E1038" s="5" t="s">
        <v>55</v>
      </c>
      <c r="F1038" s="5" t="s">
        <v>40</v>
      </c>
      <c r="G1038" s="6" t="n">
        <v>262</v>
      </c>
      <c r="H1038" s="6" t="n">
        <v>110</v>
      </c>
      <c r="I1038" s="7" t="n">
        <f aca="false">(G1038-H1038)/G1038</f>
        <v>0.580152671755725</v>
      </c>
      <c r="J1038" s="15" t="n">
        <v>0.3765</v>
      </c>
      <c r="K1038" s="11" t="str">
        <f aca="false">IF(I1038&lt;J1038,"TAK","NIE")</f>
        <v>NIE</v>
      </c>
    </row>
    <row r="1039" customFormat="false" ht="15" hidden="false" customHeight="false" outlineLevel="0" collapsed="false">
      <c r="A1039" s="5" t="s">
        <v>339</v>
      </c>
      <c r="B1039" s="5" t="s">
        <v>70</v>
      </c>
      <c r="C1039" s="5" t="n">
        <v>2019</v>
      </c>
      <c r="D1039" s="5" t="s">
        <v>68</v>
      </c>
      <c r="E1039" s="5" t="s">
        <v>55</v>
      </c>
      <c r="F1039" s="5" t="s">
        <v>40</v>
      </c>
      <c r="G1039" s="6" t="n">
        <v>262</v>
      </c>
      <c r="H1039" s="6" t="n">
        <v>116</v>
      </c>
      <c r="I1039" s="7" t="n">
        <f aca="false">(G1039-H1039)/G1039</f>
        <v>0.557251908396947</v>
      </c>
      <c r="J1039" s="15" t="n">
        <v>0.3765</v>
      </c>
      <c r="K1039" s="11" t="str">
        <f aca="false">IF(I1039&lt;J1039,"TAK","NIE")</f>
        <v>NIE</v>
      </c>
    </row>
    <row r="1040" customFormat="false" ht="15" hidden="false" customHeight="false" outlineLevel="0" collapsed="false">
      <c r="A1040" s="5" t="s">
        <v>340</v>
      </c>
      <c r="B1040" s="5" t="s">
        <v>70</v>
      </c>
      <c r="C1040" s="5" t="n">
        <v>2019</v>
      </c>
      <c r="D1040" s="5" t="s">
        <v>68</v>
      </c>
      <c r="E1040" s="5" t="s">
        <v>55</v>
      </c>
      <c r="F1040" s="5" t="s">
        <v>40</v>
      </c>
      <c r="G1040" s="6" t="n">
        <v>262</v>
      </c>
      <c r="H1040" s="6" t="n">
        <v>113</v>
      </c>
      <c r="I1040" s="7" t="n">
        <f aca="false">(G1040-H1040)/G1040</f>
        <v>0.568702290076336</v>
      </c>
      <c r="J1040" s="15" t="n">
        <v>0.3765</v>
      </c>
      <c r="K1040" s="11" t="str">
        <f aca="false">IF(I1040&lt;J1040,"TAK","NIE")</f>
        <v>NIE</v>
      </c>
    </row>
    <row r="1041" customFormat="false" ht="15" hidden="false" customHeight="false" outlineLevel="0" collapsed="false">
      <c r="A1041" s="5" t="s">
        <v>341</v>
      </c>
      <c r="B1041" s="5" t="s">
        <v>70</v>
      </c>
      <c r="C1041" s="5" t="n">
        <v>2019</v>
      </c>
      <c r="D1041" s="5" t="s">
        <v>68</v>
      </c>
      <c r="E1041" s="5" t="s">
        <v>55</v>
      </c>
      <c r="F1041" s="5" t="s">
        <v>40</v>
      </c>
      <c r="G1041" s="6" t="n">
        <v>262</v>
      </c>
      <c r="H1041" s="6" t="n">
        <v>86</v>
      </c>
      <c r="I1041" s="7" t="n">
        <f aca="false">(G1041-H1041)/G1041</f>
        <v>0.67175572519084</v>
      </c>
      <c r="J1041" s="15" t="n">
        <v>0.3765</v>
      </c>
      <c r="K1041" s="11" t="str">
        <f aca="false">IF(I1041&lt;J1041,"TAK","NIE")</f>
        <v>NIE</v>
      </c>
    </row>
    <row r="1042" customFormat="false" ht="15" hidden="false" customHeight="false" outlineLevel="0" collapsed="false">
      <c r="A1042" s="5" t="s">
        <v>342</v>
      </c>
      <c r="B1042" s="5" t="s">
        <v>70</v>
      </c>
      <c r="C1042" s="5" t="n">
        <v>2019</v>
      </c>
      <c r="D1042" s="5" t="s">
        <v>68</v>
      </c>
      <c r="E1042" s="5" t="s">
        <v>55</v>
      </c>
      <c r="F1042" s="5" t="s">
        <v>40</v>
      </c>
      <c r="G1042" s="6" t="n">
        <v>262</v>
      </c>
      <c r="H1042" s="6" t="n">
        <v>107</v>
      </c>
      <c r="I1042" s="7" t="n">
        <f aca="false">(G1042-H1042)/G1042</f>
        <v>0.591603053435115</v>
      </c>
      <c r="J1042" s="15" t="n">
        <v>0.3765</v>
      </c>
      <c r="K1042" s="11" t="str">
        <f aca="false">IF(I1042&lt;J1042,"TAK","NIE")</f>
        <v>NIE</v>
      </c>
    </row>
    <row r="1043" customFormat="false" ht="15" hidden="false" customHeight="false" outlineLevel="0" collapsed="false">
      <c r="A1043" s="5" t="s">
        <v>343</v>
      </c>
      <c r="B1043" s="5" t="s">
        <v>70</v>
      </c>
      <c r="C1043" s="5" t="n">
        <v>2019</v>
      </c>
      <c r="D1043" s="5" t="s">
        <v>68</v>
      </c>
      <c r="E1043" s="5" t="s">
        <v>55</v>
      </c>
      <c r="F1043" s="5" t="s">
        <v>40</v>
      </c>
      <c r="G1043" s="6" t="n">
        <v>262</v>
      </c>
      <c r="H1043" s="6" t="n">
        <v>139</v>
      </c>
      <c r="I1043" s="7" t="n">
        <f aca="false">(G1043-H1043)/G1043</f>
        <v>0.469465648854962</v>
      </c>
      <c r="J1043" s="15" t="n">
        <v>0.3765</v>
      </c>
      <c r="K1043" s="11" t="str">
        <f aca="false">IF(I1043&lt;J1043,"TAK","NIE")</f>
        <v>NIE</v>
      </c>
    </row>
    <row r="1044" customFormat="false" ht="15" hidden="false" customHeight="false" outlineLevel="0" collapsed="false">
      <c r="A1044" s="5" t="s">
        <v>344</v>
      </c>
      <c r="B1044" s="5" t="s">
        <v>70</v>
      </c>
      <c r="C1044" s="5" t="n">
        <v>2019</v>
      </c>
      <c r="D1044" s="5" t="s">
        <v>68</v>
      </c>
      <c r="E1044" s="5" t="s">
        <v>55</v>
      </c>
      <c r="F1044" s="5" t="s">
        <v>40</v>
      </c>
      <c r="G1044" s="6" t="n">
        <v>262</v>
      </c>
      <c r="H1044" s="6" t="n">
        <v>123</v>
      </c>
      <c r="I1044" s="7" t="n">
        <f aca="false">(G1044-H1044)/G1044</f>
        <v>0.530534351145038</v>
      </c>
      <c r="J1044" s="15" t="n">
        <v>0.3765</v>
      </c>
      <c r="K1044" s="11" t="str">
        <f aca="false">IF(I1044&lt;J1044,"TAK","NIE")</f>
        <v>NIE</v>
      </c>
    </row>
    <row r="1045" customFormat="false" ht="15" hidden="false" customHeight="false" outlineLevel="0" collapsed="false">
      <c r="A1045" s="5" t="s">
        <v>345</v>
      </c>
      <c r="B1045" s="5" t="s">
        <v>70</v>
      </c>
      <c r="C1045" s="5" t="n">
        <v>2019</v>
      </c>
      <c r="D1045" s="5" t="s">
        <v>68</v>
      </c>
      <c r="E1045" s="5" t="s">
        <v>55</v>
      </c>
      <c r="F1045" s="5" t="s">
        <v>40</v>
      </c>
      <c r="G1045" s="6" t="n">
        <v>262</v>
      </c>
      <c r="H1045" s="6" t="n">
        <v>96</v>
      </c>
      <c r="I1045" s="7" t="n">
        <f aca="false">(G1045-H1045)/G1045</f>
        <v>0.633587786259542</v>
      </c>
      <c r="J1045" s="15" t="n">
        <v>0.3765</v>
      </c>
      <c r="K1045" s="11" t="str">
        <f aca="false">IF(I1045&lt;J1045,"TAK","NIE")</f>
        <v>NIE</v>
      </c>
    </row>
    <row r="1046" customFormat="false" ht="15" hidden="false" customHeight="false" outlineLevel="0" collapsed="false">
      <c r="A1046" s="5" t="s">
        <v>346</v>
      </c>
      <c r="B1046" s="5" t="s">
        <v>70</v>
      </c>
      <c r="C1046" s="5" t="n">
        <v>2019</v>
      </c>
      <c r="D1046" s="5" t="s">
        <v>68</v>
      </c>
      <c r="E1046" s="5" t="s">
        <v>55</v>
      </c>
      <c r="F1046" s="5" t="s">
        <v>40</v>
      </c>
      <c r="G1046" s="6" t="n">
        <v>262</v>
      </c>
      <c r="H1046" s="6" t="n">
        <v>155</v>
      </c>
      <c r="I1046" s="7" t="n">
        <f aca="false">(G1046-H1046)/G1046</f>
        <v>0.408396946564886</v>
      </c>
      <c r="J1046" s="15" t="n">
        <v>0.3765</v>
      </c>
      <c r="K1046" s="11" t="str">
        <f aca="false">IF(I1046&lt;J1046,"TAK","NIE")</f>
        <v>NIE</v>
      </c>
    </row>
    <row r="1047" customFormat="false" ht="15" hidden="false" customHeight="false" outlineLevel="0" collapsed="false">
      <c r="A1047" s="5" t="s">
        <v>347</v>
      </c>
      <c r="B1047" s="5" t="s">
        <v>70</v>
      </c>
      <c r="C1047" s="5" t="n">
        <v>2019</v>
      </c>
      <c r="D1047" s="5" t="s">
        <v>68</v>
      </c>
      <c r="E1047" s="5" t="s">
        <v>55</v>
      </c>
      <c r="F1047" s="5" t="s">
        <v>40</v>
      </c>
      <c r="G1047" s="6" t="n">
        <v>262</v>
      </c>
      <c r="H1047" s="6" t="n">
        <v>75</v>
      </c>
      <c r="I1047" s="7" t="n">
        <f aca="false">(G1047-H1047)/G1047</f>
        <v>0.713740458015267</v>
      </c>
      <c r="J1047" s="15" t="n">
        <v>0.3765</v>
      </c>
      <c r="K1047" s="11" t="str">
        <f aca="false">IF(I1047&lt;J1047,"TAK","NIE")</f>
        <v>NIE</v>
      </c>
    </row>
    <row r="1048" customFormat="false" ht="15" hidden="false" customHeight="false" outlineLevel="0" collapsed="false">
      <c r="A1048" s="5" t="s">
        <v>348</v>
      </c>
      <c r="B1048" s="5" t="s">
        <v>70</v>
      </c>
      <c r="C1048" s="5" t="n">
        <v>2019</v>
      </c>
      <c r="D1048" s="5" t="s">
        <v>68</v>
      </c>
      <c r="E1048" s="5" t="s">
        <v>55</v>
      </c>
      <c r="F1048" s="5" t="s">
        <v>40</v>
      </c>
      <c r="G1048" s="6" t="n">
        <v>262</v>
      </c>
      <c r="H1048" s="6" t="n">
        <v>94</v>
      </c>
      <c r="I1048" s="7" t="n">
        <f aca="false">(G1048-H1048)/G1048</f>
        <v>0.641221374045802</v>
      </c>
      <c r="J1048" s="15" t="n">
        <v>0.3765</v>
      </c>
      <c r="K1048" s="11" t="str">
        <f aca="false">IF(I1048&lt;J1048,"TAK","NIE")</f>
        <v>NIE</v>
      </c>
    </row>
    <row r="1049" customFormat="false" ht="15" hidden="false" customHeight="false" outlineLevel="0" collapsed="false">
      <c r="A1049" s="5" t="s">
        <v>349</v>
      </c>
      <c r="B1049" s="5" t="s">
        <v>70</v>
      </c>
      <c r="C1049" s="5" t="n">
        <v>2019</v>
      </c>
      <c r="D1049" s="5" t="s">
        <v>68</v>
      </c>
      <c r="E1049" s="5" t="s">
        <v>55</v>
      </c>
      <c r="F1049" s="5" t="s">
        <v>40</v>
      </c>
      <c r="G1049" s="6" t="n">
        <v>262</v>
      </c>
      <c r="H1049" s="6" t="n">
        <v>134</v>
      </c>
      <c r="I1049" s="7" t="n">
        <f aca="false">(G1049-H1049)/G1049</f>
        <v>0.488549618320611</v>
      </c>
      <c r="J1049" s="15" t="n">
        <v>0.3765</v>
      </c>
      <c r="K1049" s="11" t="str">
        <f aca="false">IF(I1049&lt;J1049,"TAK","NIE")</f>
        <v>NIE</v>
      </c>
    </row>
    <row r="1050" customFormat="false" ht="15" hidden="false" customHeight="false" outlineLevel="0" collapsed="false">
      <c r="A1050" s="5" t="s">
        <v>350</v>
      </c>
      <c r="B1050" s="5" t="s">
        <v>70</v>
      </c>
      <c r="C1050" s="5" t="n">
        <v>2019</v>
      </c>
      <c r="D1050" s="5" t="s">
        <v>68</v>
      </c>
      <c r="E1050" s="5" t="s">
        <v>55</v>
      </c>
      <c r="F1050" s="5" t="s">
        <v>40</v>
      </c>
      <c r="G1050" s="6" t="n">
        <v>262</v>
      </c>
      <c r="H1050" s="6" t="n">
        <v>105</v>
      </c>
      <c r="I1050" s="7" t="n">
        <f aca="false">(G1050-H1050)/G1050</f>
        <v>0.599236641221374</v>
      </c>
      <c r="J1050" s="15" t="n">
        <v>0.3765</v>
      </c>
      <c r="K1050" s="11" t="str">
        <f aca="false">IF(I1050&lt;J1050,"TAK","NIE")</f>
        <v>NIE</v>
      </c>
    </row>
    <row r="1051" customFormat="false" ht="15" hidden="false" customHeight="false" outlineLevel="0" collapsed="false">
      <c r="A1051" s="5" t="s">
        <v>351</v>
      </c>
      <c r="B1051" s="5" t="s">
        <v>70</v>
      </c>
      <c r="C1051" s="5" t="n">
        <v>2019</v>
      </c>
      <c r="D1051" s="5" t="s">
        <v>68</v>
      </c>
      <c r="E1051" s="5" t="s">
        <v>55</v>
      </c>
      <c r="F1051" s="5" t="s">
        <v>40</v>
      </c>
      <c r="G1051" s="6" t="n">
        <v>262</v>
      </c>
      <c r="H1051" s="6" t="n">
        <v>107</v>
      </c>
      <c r="I1051" s="7" t="n">
        <f aca="false">(G1051-H1051)/G1051</f>
        <v>0.591603053435115</v>
      </c>
      <c r="J1051" s="15" t="n">
        <v>0.3765</v>
      </c>
      <c r="K1051" s="11" t="str">
        <f aca="false">IF(I1051&lt;J1051,"TAK","NIE")</f>
        <v>NIE</v>
      </c>
    </row>
    <row r="1052" customFormat="false" ht="15" hidden="false" customHeight="false" outlineLevel="0" collapsed="false">
      <c r="A1052" s="5" t="s">
        <v>352</v>
      </c>
      <c r="B1052" s="5" t="s">
        <v>70</v>
      </c>
      <c r="C1052" s="5" t="n">
        <v>2019</v>
      </c>
      <c r="D1052" s="5" t="s">
        <v>68</v>
      </c>
      <c r="E1052" s="5" t="s">
        <v>55</v>
      </c>
      <c r="F1052" s="5" t="s">
        <v>40</v>
      </c>
      <c r="G1052" s="6" t="n">
        <v>262</v>
      </c>
      <c r="H1052" s="6" t="n">
        <v>106</v>
      </c>
      <c r="I1052" s="7" t="n">
        <f aca="false">(G1052-H1052)/G1052</f>
        <v>0.595419847328244</v>
      </c>
      <c r="J1052" s="15" t="n">
        <v>0.3765</v>
      </c>
      <c r="K1052" s="11" t="str">
        <f aca="false">IF(I1052&lt;J1052,"TAK","NIE")</f>
        <v>NIE</v>
      </c>
    </row>
    <row r="1053" customFormat="false" ht="15" hidden="false" customHeight="false" outlineLevel="0" collapsed="false">
      <c r="A1053" s="5" t="s">
        <v>354</v>
      </c>
      <c r="B1053" s="5" t="s">
        <v>70</v>
      </c>
      <c r="C1053" s="5" t="n">
        <v>2019</v>
      </c>
      <c r="D1053" s="5" t="s">
        <v>68</v>
      </c>
      <c r="E1053" s="5" t="s">
        <v>55</v>
      </c>
      <c r="F1053" s="5" t="s">
        <v>40</v>
      </c>
      <c r="G1053" s="6" t="n">
        <v>262</v>
      </c>
      <c r="H1053" s="6" t="n">
        <v>65</v>
      </c>
      <c r="I1053" s="7" t="n">
        <f aca="false">(G1053-H1053)/G1053</f>
        <v>0.751908396946565</v>
      </c>
      <c r="J1053" s="15" t="n">
        <v>0.3765</v>
      </c>
      <c r="K1053" s="11" t="str">
        <f aca="false">IF(I1053&lt;J1053,"TAK","NIE")</f>
        <v>NIE</v>
      </c>
    </row>
    <row r="1054" customFormat="false" ht="15" hidden="false" customHeight="false" outlineLevel="0" collapsed="false">
      <c r="A1054" s="5" t="s">
        <v>355</v>
      </c>
      <c r="B1054" s="5" t="s">
        <v>71</v>
      </c>
      <c r="C1054" s="5" t="n">
        <v>2019</v>
      </c>
      <c r="D1054" s="5" t="s">
        <v>42</v>
      </c>
      <c r="E1054" s="5" t="s">
        <v>38</v>
      </c>
      <c r="F1054" s="5" t="s">
        <v>39</v>
      </c>
      <c r="G1054" s="6" t="n">
        <v>563</v>
      </c>
      <c r="H1054" s="6" t="n">
        <v>29</v>
      </c>
      <c r="I1054" s="7" t="n">
        <f aca="false">(G1054-H1054)/G1054</f>
        <v>0.948490230905862</v>
      </c>
      <c r="J1054" s="15" t="n">
        <v>0.7083</v>
      </c>
      <c r="K1054" s="11" t="str">
        <f aca="false">IF(I1054&lt;J1054,"TAK","NIE")</f>
        <v>NIE</v>
      </c>
    </row>
    <row r="1055" customFormat="false" ht="15" hidden="false" customHeight="false" outlineLevel="0" collapsed="false">
      <c r="A1055" s="5" t="s">
        <v>356</v>
      </c>
      <c r="B1055" s="5" t="s">
        <v>71</v>
      </c>
      <c r="C1055" s="5" t="n">
        <v>2019</v>
      </c>
      <c r="D1055" s="5" t="s">
        <v>42</v>
      </c>
      <c r="E1055" s="5" t="s">
        <v>38</v>
      </c>
      <c r="F1055" s="5" t="s">
        <v>39</v>
      </c>
      <c r="G1055" s="6" t="n">
        <v>563</v>
      </c>
      <c r="H1055" s="6" t="n">
        <v>72</v>
      </c>
      <c r="I1055" s="7" t="n">
        <f aca="false">(G1055-H1055)/G1055</f>
        <v>0.872113676731794</v>
      </c>
      <c r="J1055" s="15" t="n">
        <v>0.7083</v>
      </c>
      <c r="K1055" s="11" t="str">
        <f aca="false">IF(I1055&lt;J1055,"TAK","NIE")</f>
        <v>NIE</v>
      </c>
    </row>
    <row r="1056" customFormat="false" ht="15" hidden="false" customHeight="false" outlineLevel="0" collapsed="false">
      <c r="A1056" s="5" t="s">
        <v>357</v>
      </c>
      <c r="B1056" s="5" t="s">
        <v>71</v>
      </c>
      <c r="C1056" s="5" t="n">
        <v>2019</v>
      </c>
      <c r="D1056" s="5" t="s">
        <v>42</v>
      </c>
      <c r="E1056" s="5" t="s">
        <v>38</v>
      </c>
      <c r="F1056" s="5" t="s">
        <v>39</v>
      </c>
      <c r="G1056" s="6" t="n">
        <v>563</v>
      </c>
      <c r="H1056" s="6" t="n">
        <v>61</v>
      </c>
      <c r="I1056" s="7" t="n">
        <f aca="false">(G1056-H1056)/G1056</f>
        <v>0.891651865008881</v>
      </c>
      <c r="J1056" s="15" t="n">
        <v>0.7083</v>
      </c>
      <c r="K1056" s="11" t="str">
        <f aca="false">IF(I1056&lt;J1056,"TAK","NIE")</f>
        <v>NIE</v>
      </c>
    </row>
    <row r="1057" customFormat="false" ht="15" hidden="false" customHeight="false" outlineLevel="0" collapsed="false">
      <c r="A1057" s="5" t="s">
        <v>358</v>
      </c>
      <c r="B1057" s="5" t="s">
        <v>71</v>
      </c>
      <c r="C1057" s="5" t="n">
        <v>2019</v>
      </c>
      <c r="D1057" s="5" t="s">
        <v>42</v>
      </c>
      <c r="E1057" s="5" t="s">
        <v>38</v>
      </c>
      <c r="F1057" s="5" t="s">
        <v>39</v>
      </c>
      <c r="G1057" s="6" t="n">
        <v>563</v>
      </c>
      <c r="H1057" s="6" t="n">
        <v>96</v>
      </c>
      <c r="I1057" s="7" t="n">
        <f aca="false">(G1057-H1057)/G1057</f>
        <v>0.829484902309059</v>
      </c>
      <c r="J1057" s="15" t="n">
        <v>0.7083</v>
      </c>
      <c r="K1057" s="11" t="str">
        <f aca="false">IF(I1057&lt;J1057,"TAK","NIE")</f>
        <v>NIE</v>
      </c>
    </row>
    <row r="1058" customFormat="false" ht="15" hidden="false" customHeight="false" outlineLevel="0" collapsed="false">
      <c r="A1058" s="5" t="s">
        <v>359</v>
      </c>
      <c r="B1058" s="5" t="s">
        <v>71</v>
      </c>
      <c r="C1058" s="5" t="n">
        <v>2019</v>
      </c>
      <c r="D1058" s="5" t="s">
        <v>42</v>
      </c>
      <c r="E1058" s="5" t="s">
        <v>38</v>
      </c>
      <c r="F1058" s="5" t="s">
        <v>39</v>
      </c>
      <c r="G1058" s="6" t="n">
        <v>546</v>
      </c>
      <c r="H1058" s="6" t="n">
        <v>16</v>
      </c>
      <c r="I1058" s="7" t="n">
        <f aca="false">(G1058-H1058)/G1058</f>
        <v>0.970695970695971</v>
      </c>
      <c r="J1058" s="15" t="n">
        <v>0.7083</v>
      </c>
      <c r="K1058" s="11" t="str">
        <f aca="false">IF(I1058&lt;J1058,"TAK","NIE")</f>
        <v>NIE</v>
      </c>
    </row>
    <row r="1059" customFormat="false" ht="15" hidden="false" customHeight="false" outlineLevel="0" collapsed="false">
      <c r="A1059" s="5" t="s">
        <v>360</v>
      </c>
      <c r="B1059" s="5" t="s">
        <v>71</v>
      </c>
      <c r="C1059" s="5" t="n">
        <v>2019</v>
      </c>
      <c r="D1059" s="5" t="s">
        <v>42</v>
      </c>
      <c r="E1059" s="5" t="s">
        <v>38</v>
      </c>
      <c r="F1059" s="5" t="s">
        <v>39</v>
      </c>
      <c r="G1059" s="6" t="n">
        <v>563</v>
      </c>
      <c r="H1059" s="6" t="n">
        <v>75</v>
      </c>
      <c r="I1059" s="7" t="n">
        <f aca="false">(G1059-H1059)/G1059</f>
        <v>0.866785079928952</v>
      </c>
      <c r="J1059" s="15" t="n">
        <v>0.7083</v>
      </c>
      <c r="K1059" s="11" t="str">
        <f aca="false">IF(I1059&lt;J1059,"TAK","NIE")</f>
        <v>NIE</v>
      </c>
    </row>
    <row r="1060" customFormat="false" ht="15" hidden="false" customHeight="false" outlineLevel="0" collapsed="false">
      <c r="A1060" s="5" t="s">
        <v>361</v>
      </c>
      <c r="B1060" s="5" t="s">
        <v>71</v>
      </c>
      <c r="C1060" s="5" t="n">
        <v>2019</v>
      </c>
      <c r="D1060" s="5" t="s">
        <v>42</v>
      </c>
      <c r="E1060" s="5" t="s">
        <v>38</v>
      </c>
      <c r="F1060" s="5" t="s">
        <v>39</v>
      </c>
      <c r="G1060" s="6" t="n">
        <v>563</v>
      </c>
      <c r="H1060" s="6" t="n">
        <v>44</v>
      </c>
      <c r="I1060" s="7" t="n">
        <f aca="false">(G1060-H1060)/G1060</f>
        <v>0.921847246891652</v>
      </c>
      <c r="J1060" s="15" t="n">
        <v>0.7083</v>
      </c>
      <c r="K1060" s="11" t="str">
        <f aca="false">IF(I1060&lt;J1060,"TAK","NIE")</f>
        <v>NIE</v>
      </c>
    </row>
    <row r="1061" customFormat="false" ht="15" hidden="false" customHeight="false" outlineLevel="0" collapsed="false">
      <c r="A1061" s="5" t="s">
        <v>362</v>
      </c>
      <c r="B1061" s="5" t="s">
        <v>71</v>
      </c>
      <c r="C1061" s="5" t="n">
        <v>2019</v>
      </c>
      <c r="D1061" s="5" t="s">
        <v>42</v>
      </c>
      <c r="E1061" s="5" t="s">
        <v>38</v>
      </c>
      <c r="F1061" s="5" t="s">
        <v>39</v>
      </c>
      <c r="G1061" s="6" t="n">
        <v>563</v>
      </c>
      <c r="H1061" s="6" t="n">
        <v>57</v>
      </c>
      <c r="I1061" s="7" t="n">
        <f aca="false">(G1061-H1061)/G1061</f>
        <v>0.898756660746004</v>
      </c>
      <c r="J1061" s="15" t="n">
        <v>0.7083</v>
      </c>
      <c r="K1061" s="11" t="str">
        <f aca="false">IF(I1061&lt;J1061,"TAK","NIE")</f>
        <v>NIE</v>
      </c>
    </row>
    <row r="1062" customFormat="false" ht="15" hidden="false" customHeight="false" outlineLevel="0" collapsed="false">
      <c r="A1062" s="5" t="s">
        <v>363</v>
      </c>
      <c r="B1062" s="5" t="s">
        <v>71</v>
      </c>
      <c r="C1062" s="5" t="n">
        <v>2019</v>
      </c>
      <c r="D1062" s="5" t="s">
        <v>42</v>
      </c>
      <c r="E1062" s="5" t="s">
        <v>38</v>
      </c>
      <c r="F1062" s="5" t="s">
        <v>39</v>
      </c>
      <c r="G1062" s="6" t="n">
        <v>563</v>
      </c>
      <c r="H1062" s="6" t="n">
        <v>53</v>
      </c>
      <c r="I1062" s="7" t="n">
        <f aca="false">(G1062-H1062)/G1062</f>
        <v>0.905861456483126</v>
      </c>
      <c r="J1062" s="15" t="n">
        <v>0.7083</v>
      </c>
      <c r="K1062" s="11" t="str">
        <f aca="false">IF(I1062&lt;J1062,"TAK","NIE")</f>
        <v>NIE</v>
      </c>
    </row>
    <row r="1063" customFormat="false" ht="15" hidden="false" customHeight="false" outlineLevel="0" collapsed="false">
      <c r="A1063" s="5" t="s">
        <v>364</v>
      </c>
      <c r="B1063" s="5" t="s">
        <v>71</v>
      </c>
      <c r="C1063" s="5" t="n">
        <v>2019</v>
      </c>
      <c r="D1063" s="5" t="s">
        <v>42</v>
      </c>
      <c r="E1063" s="5" t="s">
        <v>38</v>
      </c>
      <c r="F1063" s="5" t="s">
        <v>39</v>
      </c>
      <c r="G1063" s="6" t="n">
        <v>563</v>
      </c>
      <c r="H1063" s="6" t="n">
        <v>134</v>
      </c>
      <c r="I1063" s="7" t="n">
        <f aca="false">(G1063-H1063)/G1063</f>
        <v>0.761989342806394</v>
      </c>
      <c r="J1063" s="15" t="n">
        <v>0.7083</v>
      </c>
      <c r="K1063" s="11" t="str">
        <f aca="false">IF(I1063&lt;J1063,"TAK","NIE")</f>
        <v>NIE</v>
      </c>
    </row>
    <row r="1064" customFormat="false" ht="15" hidden="false" customHeight="false" outlineLevel="0" collapsed="false">
      <c r="A1064" s="5" t="s">
        <v>365</v>
      </c>
      <c r="B1064" s="5" t="s">
        <v>71</v>
      </c>
      <c r="C1064" s="5" t="n">
        <v>2019</v>
      </c>
      <c r="D1064" s="5" t="s">
        <v>42</v>
      </c>
      <c r="E1064" s="5" t="s">
        <v>38</v>
      </c>
      <c r="F1064" s="5" t="s">
        <v>39</v>
      </c>
      <c r="G1064" s="6" t="n">
        <v>563</v>
      </c>
      <c r="H1064" s="6" t="n">
        <v>41</v>
      </c>
      <c r="I1064" s="7" t="n">
        <f aca="false">(G1064-H1064)/G1064</f>
        <v>0.927175843694494</v>
      </c>
      <c r="J1064" s="15" t="n">
        <v>0.7083</v>
      </c>
      <c r="K1064" s="11" t="str">
        <f aca="false">IF(I1064&lt;J1064,"TAK","NIE")</f>
        <v>NIE</v>
      </c>
    </row>
    <row r="1065" customFormat="false" ht="15" hidden="false" customHeight="false" outlineLevel="0" collapsed="false">
      <c r="A1065" s="5" t="s">
        <v>366</v>
      </c>
      <c r="B1065" s="5" t="s">
        <v>71</v>
      </c>
      <c r="C1065" s="5" t="n">
        <v>2019</v>
      </c>
      <c r="D1065" s="5" t="s">
        <v>42</v>
      </c>
      <c r="E1065" s="5" t="s">
        <v>38</v>
      </c>
      <c r="F1065" s="5" t="s">
        <v>39</v>
      </c>
      <c r="G1065" s="6" t="n">
        <v>563</v>
      </c>
      <c r="H1065" s="6" t="n">
        <v>177</v>
      </c>
      <c r="I1065" s="7" t="n">
        <f aca="false">(G1065-H1065)/G1065</f>
        <v>0.685612788632327</v>
      </c>
      <c r="J1065" s="15" t="n">
        <v>0.7083</v>
      </c>
      <c r="K1065" s="11" t="str">
        <f aca="false">IF(I1065&lt;J1065,"TAK","NIE")</f>
        <v>TAK</v>
      </c>
    </row>
    <row r="1066" customFormat="false" ht="15" hidden="false" customHeight="false" outlineLevel="0" collapsed="false">
      <c r="A1066" s="5" t="s">
        <v>367</v>
      </c>
      <c r="B1066" s="5" t="s">
        <v>71</v>
      </c>
      <c r="C1066" s="5" t="n">
        <v>2019</v>
      </c>
      <c r="D1066" s="5" t="s">
        <v>42</v>
      </c>
      <c r="E1066" s="5" t="s">
        <v>38</v>
      </c>
      <c r="F1066" s="5" t="s">
        <v>39</v>
      </c>
      <c r="G1066" s="6" t="n">
        <v>563</v>
      </c>
      <c r="H1066" s="6" t="n">
        <v>72</v>
      </c>
      <c r="I1066" s="7" t="n">
        <f aca="false">(G1066-H1066)/G1066</f>
        <v>0.872113676731794</v>
      </c>
      <c r="J1066" s="15" t="n">
        <v>0.7083</v>
      </c>
      <c r="K1066" s="11" t="str">
        <f aca="false">IF(I1066&lt;J1066,"TAK","NIE")</f>
        <v>NIE</v>
      </c>
    </row>
    <row r="1067" customFormat="false" ht="15" hidden="false" customHeight="false" outlineLevel="0" collapsed="false">
      <c r="A1067" s="5" t="s">
        <v>368</v>
      </c>
      <c r="B1067" s="5" t="s">
        <v>71</v>
      </c>
      <c r="C1067" s="5" t="n">
        <v>2019</v>
      </c>
      <c r="D1067" s="5" t="s">
        <v>42</v>
      </c>
      <c r="E1067" s="5" t="s">
        <v>38</v>
      </c>
      <c r="F1067" s="5" t="s">
        <v>39</v>
      </c>
      <c r="G1067" s="6" t="n">
        <v>563</v>
      </c>
      <c r="H1067" s="6" t="n">
        <v>62</v>
      </c>
      <c r="I1067" s="7" t="n">
        <f aca="false">(G1067-H1067)/G1067</f>
        <v>0.8898756660746</v>
      </c>
      <c r="J1067" s="15" t="n">
        <v>0.7083</v>
      </c>
      <c r="K1067" s="11" t="str">
        <f aca="false">IF(I1067&lt;J1067,"TAK","NIE")</f>
        <v>NIE</v>
      </c>
    </row>
    <row r="1068" customFormat="false" ht="15" hidden="false" customHeight="false" outlineLevel="0" collapsed="false">
      <c r="A1068" s="5" t="s">
        <v>369</v>
      </c>
      <c r="B1068" s="5" t="s">
        <v>71</v>
      </c>
      <c r="C1068" s="5" t="n">
        <v>2019</v>
      </c>
      <c r="D1068" s="5" t="s">
        <v>42</v>
      </c>
      <c r="E1068" s="5" t="s">
        <v>38</v>
      </c>
      <c r="F1068" s="5" t="s">
        <v>39</v>
      </c>
      <c r="G1068" s="6" t="n">
        <v>563</v>
      </c>
      <c r="H1068" s="6" t="n">
        <v>80</v>
      </c>
      <c r="I1068" s="7" t="n">
        <f aca="false">(G1068-H1068)/G1068</f>
        <v>0.857904085257549</v>
      </c>
      <c r="J1068" s="15" t="n">
        <v>0.7083</v>
      </c>
      <c r="K1068" s="11" t="str">
        <f aca="false">IF(I1068&lt;J1068,"TAK","NIE")</f>
        <v>NIE</v>
      </c>
    </row>
    <row r="1069" customFormat="false" ht="15" hidden="false" customHeight="false" outlineLevel="0" collapsed="false">
      <c r="A1069" s="5" t="s">
        <v>370</v>
      </c>
      <c r="B1069" s="5" t="s">
        <v>71</v>
      </c>
      <c r="C1069" s="5" t="n">
        <v>2019</v>
      </c>
      <c r="D1069" s="5" t="s">
        <v>42</v>
      </c>
      <c r="E1069" s="5" t="s">
        <v>38</v>
      </c>
      <c r="F1069" s="5" t="s">
        <v>39</v>
      </c>
      <c r="G1069" s="6" t="n">
        <v>563</v>
      </c>
      <c r="H1069" s="6" t="n">
        <v>67</v>
      </c>
      <c r="I1069" s="7" t="n">
        <f aca="false">(G1069-H1069)/G1069</f>
        <v>0.880994671403197</v>
      </c>
      <c r="J1069" s="15" t="n">
        <v>0.7083</v>
      </c>
      <c r="K1069" s="11" t="str">
        <f aca="false">IF(I1069&lt;J1069,"TAK","NIE")</f>
        <v>NIE</v>
      </c>
    </row>
    <row r="1070" customFormat="false" ht="15" hidden="false" customHeight="false" outlineLevel="0" collapsed="false">
      <c r="A1070" s="5" t="s">
        <v>371</v>
      </c>
      <c r="B1070" s="5" t="s">
        <v>71</v>
      </c>
      <c r="C1070" s="5" t="n">
        <v>2019</v>
      </c>
      <c r="D1070" s="5" t="s">
        <v>42</v>
      </c>
      <c r="E1070" s="5" t="s">
        <v>38</v>
      </c>
      <c r="F1070" s="5" t="s">
        <v>39</v>
      </c>
      <c r="G1070" s="6" t="n">
        <v>563</v>
      </c>
      <c r="H1070" s="6" t="n">
        <v>13</v>
      </c>
      <c r="I1070" s="7" t="n">
        <f aca="false">(G1070-H1070)/G1070</f>
        <v>0.976909413854352</v>
      </c>
      <c r="J1070" s="15" t="n">
        <v>0.7083</v>
      </c>
      <c r="K1070" s="11" t="str">
        <f aca="false">IF(I1070&lt;J1070,"TAK","NIE")</f>
        <v>NIE</v>
      </c>
    </row>
    <row r="1071" customFormat="false" ht="15" hidden="false" customHeight="false" outlineLevel="0" collapsed="false">
      <c r="A1071" s="5" t="s">
        <v>372</v>
      </c>
      <c r="B1071" s="5" t="s">
        <v>71</v>
      </c>
      <c r="C1071" s="5" t="n">
        <v>2019</v>
      </c>
      <c r="D1071" s="5" t="s">
        <v>42</v>
      </c>
      <c r="E1071" s="5" t="s">
        <v>38</v>
      </c>
      <c r="F1071" s="5" t="s">
        <v>39</v>
      </c>
      <c r="G1071" s="6" t="n">
        <v>563</v>
      </c>
      <c r="H1071" s="6" t="n">
        <v>178</v>
      </c>
      <c r="I1071" s="7" t="n">
        <f aca="false">(G1071-H1071)/G1071</f>
        <v>0.683836589698046</v>
      </c>
      <c r="J1071" s="15" t="n">
        <v>0.7083</v>
      </c>
      <c r="K1071" s="11" t="str">
        <f aca="false">IF(I1071&lt;J1071,"TAK","NIE")</f>
        <v>TAK</v>
      </c>
    </row>
    <row r="1072" customFormat="false" ht="15" hidden="false" customHeight="false" outlineLevel="0" collapsed="false">
      <c r="A1072" s="5" t="s">
        <v>373</v>
      </c>
      <c r="B1072" s="5" t="s">
        <v>71</v>
      </c>
      <c r="C1072" s="5" t="n">
        <v>2019</v>
      </c>
      <c r="D1072" s="5" t="s">
        <v>42</v>
      </c>
      <c r="E1072" s="5" t="s">
        <v>38</v>
      </c>
      <c r="F1072" s="5" t="s">
        <v>39</v>
      </c>
      <c r="G1072" s="6" t="n">
        <v>563</v>
      </c>
      <c r="H1072" s="6" t="n">
        <v>21</v>
      </c>
      <c r="I1072" s="7" t="n">
        <f aca="false">(G1072-H1072)/G1072</f>
        <v>0.962699822380107</v>
      </c>
      <c r="J1072" s="15" t="n">
        <v>0.7083</v>
      </c>
      <c r="K1072" s="11" t="str">
        <f aca="false">IF(I1072&lt;J1072,"TAK","NIE")</f>
        <v>NIE</v>
      </c>
    </row>
    <row r="1073" customFormat="false" ht="15" hidden="false" customHeight="false" outlineLevel="0" collapsed="false">
      <c r="A1073" s="5" t="s">
        <v>374</v>
      </c>
      <c r="B1073" s="5" t="s">
        <v>71</v>
      </c>
      <c r="C1073" s="5" t="n">
        <v>2019</v>
      </c>
      <c r="D1073" s="5" t="s">
        <v>42</v>
      </c>
      <c r="E1073" s="5" t="s">
        <v>38</v>
      </c>
      <c r="F1073" s="5" t="s">
        <v>39</v>
      </c>
      <c r="G1073" s="6" t="n">
        <v>563</v>
      </c>
      <c r="H1073" s="6" t="n">
        <v>6</v>
      </c>
      <c r="I1073" s="7" t="n">
        <f aca="false">(G1073-H1073)/G1073</f>
        <v>0.989342806394316</v>
      </c>
      <c r="J1073" s="15" t="n">
        <v>0.7083</v>
      </c>
      <c r="K1073" s="11" t="str">
        <f aca="false">IF(I1073&lt;J1073,"TAK","NIE")</f>
        <v>NIE</v>
      </c>
    </row>
    <row r="1074" customFormat="false" ht="15" hidden="false" customHeight="false" outlineLevel="0" collapsed="false">
      <c r="A1074" s="5" t="s">
        <v>375</v>
      </c>
      <c r="B1074" s="5" t="s">
        <v>71</v>
      </c>
      <c r="C1074" s="5" t="n">
        <v>2019</v>
      </c>
      <c r="D1074" s="5" t="s">
        <v>42</v>
      </c>
      <c r="E1074" s="5" t="s">
        <v>38</v>
      </c>
      <c r="F1074" s="5" t="s">
        <v>39</v>
      </c>
      <c r="G1074" s="6" t="n">
        <v>563</v>
      </c>
      <c r="H1074" s="6" t="n">
        <v>458</v>
      </c>
      <c r="I1074" s="7" t="n">
        <f aca="false">(G1074-H1074)/G1074</f>
        <v>0.186500888099467</v>
      </c>
      <c r="J1074" s="15" t="n">
        <v>0.7083</v>
      </c>
      <c r="K1074" s="11" t="str">
        <f aca="false">IF(I1074&lt;J1074,"TAK","NIE")</f>
        <v>TAK</v>
      </c>
    </row>
    <row r="1075" customFormat="false" ht="15" hidden="false" customHeight="false" outlineLevel="0" collapsed="false">
      <c r="A1075" s="5" t="s">
        <v>376</v>
      </c>
      <c r="B1075" s="5" t="s">
        <v>71</v>
      </c>
      <c r="C1075" s="5" t="n">
        <v>2019</v>
      </c>
      <c r="D1075" s="5" t="s">
        <v>42</v>
      </c>
      <c r="E1075" s="5" t="s">
        <v>38</v>
      </c>
      <c r="F1075" s="5" t="s">
        <v>39</v>
      </c>
      <c r="G1075" s="6" t="n">
        <v>548</v>
      </c>
      <c r="H1075" s="6" t="n">
        <v>84</v>
      </c>
      <c r="I1075" s="7" t="n">
        <f aca="false">(G1075-H1075)/G1075</f>
        <v>0.846715328467153</v>
      </c>
      <c r="J1075" s="15" t="n">
        <v>0.7083</v>
      </c>
      <c r="K1075" s="11" t="str">
        <f aca="false">IF(I1075&lt;J1075,"TAK","NIE")</f>
        <v>NIE</v>
      </c>
    </row>
    <row r="1076" customFormat="false" ht="15" hidden="false" customHeight="false" outlineLevel="0" collapsed="false">
      <c r="A1076" s="5" t="s">
        <v>377</v>
      </c>
      <c r="B1076" s="5" t="s">
        <v>71</v>
      </c>
      <c r="C1076" s="5" t="n">
        <v>2019</v>
      </c>
      <c r="D1076" s="5" t="s">
        <v>42</v>
      </c>
      <c r="E1076" s="5" t="s">
        <v>38</v>
      </c>
      <c r="F1076" s="5" t="s">
        <v>39</v>
      </c>
      <c r="G1076" s="6" t="n">
        <v>563</v>
      </c>
      <c r="H1076" s="6" t="n">
        <v>117</v>
      </c>
      <c r="I1076" s="7" t="n">
        <f aca="false">(G1076-H1076)/G1076</f>
        <v>0.792184724689165</v>
      </c>
      <c r="J1076" s="15" t="n">
        <v>0.7083</v>
      </c>
      <c r="K1076" s="11" t="str">
        <f aca="false">IF(I1076&lt;J1076,"TAK","NIE")</f>
        <v>NIE</v>
      </c>
    </row>
    <row r="1077" customFormat="false" ht="15" hidden="false" customHeight="false" outlineLevel="0" collapsed="false">
      <c r="A1077" s="5" t="s">
        <v>355</v>
      </c>
      <c r="B1077" s="5" t="s">
        <v>71</v>
      </c>
      <c r="C1077" s="5" t="n">
        <v>2019</v>
      </c>
      <c r="D1077" s="5" t="s">
        <v>42</v>
      </c>
      <c r="E1077" s="5" t="s">
        <v>38</v>
      </c>
      <c r="F1077" s="5" t="s">
        <v>40</v>
      </c>
      <c r="G1077" s="6" t="n">
        <v>625</v>
      </c>
      <c r="H1077" s="6" t="n">
        <v>63</v>
      </c>
      <c r="I1077" s="7" t="n">
        <f aca="false">(G1077-H1077)/G1077</f>
        <v>0.8992</v>
      </c>
      <c r="J1077" s="15" t="n">
        <v>0.3138</v>
      </c>
      <c r="K1077" s="11" t="str">
        <f aca="false">IF(I1077&lt;J1077,"TAK","NIE")</f>
        <v>NIE</v>
      </c>
    </row>
    <row r="1078" customFormat="false" ht="15" hidden="false" customHeight="false" outlineLevel="0" collapsed="false">
      <c r="A1078" s="5" t="s">
        <v>356</v>
      </c>
      <c r="B1078" s="5" t="s">
        <v>71</v>
      </c>
      <c r="C1078" s="5" t="n">
        <v>2019</v>
      </c>
      <c r="D1078" s="5" t="s">
        <v>42</v>
      </c>
      <c r="E1078" s="5" t="s">
        <v>38</v>
      </c>
      <c r="F1078" s="5" t="s">
        <v>40</v>
      </c>
      <c r="G1078" s="6" t="n">
        <v>641</v>
      </c>
      <c r="H1078" s="6" t="n">
        <v>139</v>
      </c>
      <c r="I1078" s="7" t="n">
        <f aca="false">(G1078-H1078)/G1078</f>
        <v>0.783151326053042</v>
      </c>
      <c r="J1078" s="15" t="n">
        <v>0.3138</v>
      </c>
      <c r="K1078" s="11" t="str">
        <f aca="false">IF(I1078&lt;J1078,"TAK","NIE")</f>
        <v>NIE</v>
      </c>
    </row>
    <row r="1079" customFormat="false" ht="15" hidden="false" customHeight="false" outlineLevel="0" collapsed="false">
      <c r="A1079" s="5" t="s">
        <v>357</v>
      </c>
      <c r="B1079" s="5" t="s">
        <v>71</v>
      </c>
      <c r="C1079" s="5" t="n">
        <v>2019</v>
      </c>
      <c r="D1079" s="5" t="s">
        <v>42</v>
      </c>
      <c r="E1079" s="5" t="s">
        <v>38</v>
      </c>
      <c r="F1079" s="5" t="s">
        <v>40</v>
      </c>
      <c r="G1079" s="6" t="n">
        <v>625</v>
      </c>
      <c r="H1079" s="6" t="n">
        <v>97</v>
      </c>
      <c r="I1079" s="7" t="n">
        <f aca="false">(G1079-H1079)/G1079</f>
        <v>0.8448</v>
      </c>
      <c r="J1079" s="15" t="n">
        <v>0.3138</v>
      </c>
      <c r="K1079" s="11" t="str">
        <f aca="false">IF(I1079&lt;J1079,"TAK","NIE")</f>
        <v>NIE</v>
      </c>
    </row>
    <row r="1080" customFormat="false" ht="15" hidden="false" customHeight="false" outlineLevel="0" collapsed="false">
      <c r="A1080" s="5" t="s">
        <v>358</v>
      </c>
      <c r="B1080" s="5" t="s">
        <v>71</v>
      </c>
      <c r="C1080" s="5" t="n">
        <v>2019</v>
      </c>
      <c r="D1080" s="5" t="s">
        <v>42</v>
      </c>
      <c r="E1080" s="5" t="s">
        <v>38</v>
      </c>
      <c r="F1080" s="5" t="s">
        <v>40</v>
      </c>
      <c r="G1080" s="6" t="n">
        <v>625</v>
      </c>
      <c r="H1080" s="6" t="n">
        <v>234</v>
      </c>
      <c r="I1080" s="7" t="n">
        <f aca="false">(G1080-H1080)/G1080</f>
        <v>0.6256</v>
      </c>
      <c r="J1080" s="15" t="n">
        <v>0.3138</v>
      </c>
      <c r="K1080" s="11" t="str">
        <f aca="false">IF(I1080&lt;J1080,"TAK","NIE")</f>
        <v>NIE</v>
      </c>
    </row>
    <row r="1081" customFormat="false" ht="15" hidden="false" customHeight="false" outlineLevel="0" collapsed="false">
      <c r="A1081" s="5" t="s">
        <v>359</v>
      </c>
      <c r="B1081" s="5" t="s">
        <v>71</v>
      </c>
      <c r="C1081" s="5" t="n">
        <v>2019</v>
      </c>
      <c r="D1081" s="5" t="s">
        <v>42</v>
      </c>
      <c r="E1081" s="5" t="s">
        <v>38</v>
      </c>
      <c r="F1081" s="5" t="s">
        <v>40</v>
      </c>
      <c r="G1081" s="6" t="n">
        <v>641</v>
      </c>
      <c r="H1081" s="6" t="n">
        <v>56</v>
      </c>
      <c r="I1081" s="7" t="n">
        <f aca="false">(G1081-H1081)/G1081</f>
        <v>0.912636505460219</v>
      </c>
      <c r="J1081" s="15" t="n">
        <v>0.3138</v>
      </c>
      <c r="K1081" s="11" t="str">
        <f aca="false">IF(I1081&lt;J1081,"TAK","NIE")</f>
        <v>NIE</v>
      </c>
    </row>
    <row r="1082" customFormat="false" ht="15" hidden="false" customHeight="false" outlineLevel="0" collapsed="false">
      <c r="A1082" s="5" t="s">
        <v>360</v>
      </c>
      <c r="B1082" s="5" t="s">
        <v>71</v>
      </c>
      <c r="C1082" s="5" t="n">
        <v>2019</v>
      </c>
      <c r="D1082" s="5" t="s">
        <v>42</v>
      </c>
      <c r="E1082" s="5" t="s">
        <v>38</v>
      </c>
      <c r="F1082" s="5" t="s">
        <v>40</v>
      </c>
      <c r="G1082" s="6" t="n">
        <v>641</v>
      </c>
      <c r="H1082" s="6" t="n">
        <v>248</v>
      </c>
      <c r="I1082" s="7" t="n">
        <f aca="false">(G1082-H1082)/G1082</f>
        <v>0.613104524180967</v>
      </c>
      <c r="J1082" s="15" t="n">
        <v>0.3138</v>
      </c>
      <c r="K1082" s="11" t="str">
        <f aca="false">IF(I1082&lt;J1082,"TAK","NIE")</f>
        <v>NIE</v>
      </c>
    </row>
    <row r="1083" customFormat="false" ht="15" hidden="false" customHeight="false" outlineLevel="0" collapsed="false">
      <c r="A1083" s="5" t="s">
        <v>361</v>
      </c>
      <c r="B1083" s="5" t="s">
        <v>71</v>
      </c>
      <c r="C1083" s="5" t="n">
        <v>2019</v>
      </c>
      <c r="D1083" s="5" t="s">
        <v>42</v>
      </c>
      <c r="E1083" s="5" t="s">
        <v>38</v>
      </c>
      <c r="F1083" s="5" t="s">
        <v>40</v>
      </c>
      <c r="G1083" s="6" t="n">
        <v>641</v>
      </c>
      <c r="H1083" s="6" t="n">
        <v>254</v>
      </c>
      <c r="I1083" s="7" t="n">
        <f aca="false">(G1083-H1083)/G1083</f>
        <v>0.603744149765991</v>
      </c>
      <c r="J1083" s="15" t="n">
        <v>0.3138</v>
      </c>
      <c r="K1083" s="11" t="str">
        <f aca="false">IF(I1083&lt;J1083,"TAK","NIE")</f>
        <v>NIE</v>
      </c>
    </row>
    <row r="1084" customFormat="false" ht="15" hidden="false" customHeight="false" outlineLevel="0" collapsed="false">
      <c r="A1084" s="5" t="s">
        <v>362</v>
      </c>
      <c r="B1084" s="5" t="s">
        <v>71</v>
      </c>
      <c r="C1084" s="5" t="n">
        <v>2019</v>
      </c>
      <c r="D1084" s="5" t="s">
        <v>42</v>
      </c>
      <c r="E1084" s="5" t="s">
        <v>38</v>
      </c>
      <c r="F1084" s="5" t="s">
        <v>40</v>
      </c>
      <c r="G1084" s="6" t="n">
        <v>625</v>
      </c>
      <c r="H1084" s="6" t="n">
        <v>73</v>
      </c>
      <c r="I1084" s="7" t="n">
        <f aca="false">(G1084-H1084)/G1084</f>
        <v>0.8832</v>
      </c>
      <c r="J1084" s="15" t="n">
        <v>0.3138</v>
      </c>
      <c r="K1084" s="11" t="str">
        <f aca="false">IF(I1084&lt;J1084,"TAK","NIE")</f>
        <v>NIE</v>
      </c>
    </row>
    <row r="1085" customFormat="false" ht="15" hidden="false" customHeight="false" outlineLevel="0" collapsed="false">
      <c r="A1085" s="5" t="s">
        <v>363</v>
      </c>
      <c r="B1085" s="5" t="s">
        <v>71</v>
      </c>
      <c r="C1085" s="5" t="n">
        <v>2019</v>
      </c>
      <c r="D1085" s="5" t="s">
        <v>42</v>
      </c>
      <c r="E1085" s="5" t="s">
        <v>38</v>
      </c>
      <c r="F1085" s="5" t="s">
        <v>40</v>
      </c>
      <c r="G1085" s="6" t="n">
        <v>625</v>
      </c>
      <c r="H1085" s="6" t="n">
        <v>36</v>
      </c>
      <c r="I1085" s="7" t="n">
        <f aca="false">(G1085-H1085)/G1085</f>
        <v>0.9424</v>
      </c>
      <c r="J1085" s="15" t="n">
        <v>0.3138</v>
      </c>
      <c r="K1085" s="11" t="str">
        <f aca="false">IF(I1085&lt;J1085,"TAK","NIE")</f>
        <v>NIE</v>
      </c>
    </row>
    <row r="1086" customFormat="false" ht="15" hidden="false" customHeight="false" outlineLevel="0" collapsed="false">
      <c r="A1086" s="5" t="s">
        <v>364</v>
      </c>
      <c r="B1086" s="5" t="s">
        <v>71</v>
      </c>
      <c r="C1086" s="5" t="n">
        <v>2019</v>
      </c>
      <c r="D1086" s="5" t="s">
        <v>42</v>
      </c>
      <c r="E1086" s="5" t="s">
        <v>38</v>
      </c>
      <c r="F1086" s="5" t="s">
        <v>40</v>
      </c>
      <c r="G1086" s="6" t="n">
        <v>641</v>
      </c>
      <c r="H1086" s="6" t="n">
        <v>258</v>
      </c>
      <c r="I1086" s="7" t="n">
        <f aca="false">(G1086-H1086)/G1086</f>
        <v>0.597503900156006</v>
      </c>
      <c r="J1086" s="15" t="n">
        <v>0.3138</v>
      </c>
      <c r="K1086" s="11" t="str">
        <f aca="false">IF(I1086&lt;J1086,"TAK","NIE")</f>
        <v>NIE</v>
      </c>
    </row>
    <row r="1087" customFormat="false" ht="15" hidden="false" customHeight="false" outlineLevel="0" collapsed="false">
      <c r="A1087" s="5" t="s">
        <v>365</v>
      </c>
      <c r="B1087" s="5" t="s">
        <v>71</v>
      </c>
      <c r="C1087" s="5" t="n">
        <v>2019</v>
      </c>
      <c r="D1087" s="5" t="s">
        <v>42</v>
      </c>
      <c r="E1087" s="5" t="s">
        <v>38</v>
      </c>
      <c r="F1087" s="5" t="s">
        <v>40</v>
      </c>
      <c r="G1087" s="6" t="n">
        <v>641</v>
      </c>
      <c r="H1087" s="6" t="n">
        <v>74</v>
      </c>
      <c r="I1087" s="7" t="n">
        <f aca="false">(G1087-H1087)/G1087</f>
        <v>0.884555382215289</v>
      </c>
      <c r="J1087" s="15" t="n">
        <v>0.3138</v>
      </c>
      <c r="K1087" s="11" t="str">
        <f aca="false">IF(I1087&lt;J1087,"TAK","NIE")</f>
        <v>NIE</v>
      </c>
    </row>
    <row r="1088" customFormat="false" ht="15" hidden="false" customHeight="false" outlineLevel="0" collapsed="false">
      <c r="A1088" s="5" t="s">
        <v>366</v>
      </c>
      <c r="B1088" s="5" t="s">
        <v>71</v>
      </c>
      <c r="C1088" s="5" t="n">
        <v>2019</v>
      </c>
      <c r="D1088" s="5" t="s">
        <v>42</v>
      </c>
      <c r="E1088" s="5" t="s">
        <v>38</v>
      </c>
      <c r="F1088" s="5" t="s">
        <v>40</v>
      </c>
      <c r="G1088" s="6" t="n">
        <v>641</v>
      </c>
      <c r="H1088" s="6" t="n">
        <v>205</v>
      </c>
      <c r="I1088" s="7" t="n">
        <f aca="false">(G1088-H1088)/G1088</f>
        <v>0.6801872074883</v>
      </c>
      <c r="J1088" s="15" t="n">
        <v>0.3138</v>
      </c>
      <c r="K1088" s="11" t="str">
        <f aca="false">IF(I1088&lt;J1088,"TAK","NIE")</f>
        <v>NIE</v>
      </c>
    </row>
    <row r="1089" customFormat="false" ht="15" hidden="false" customHeight="false" outlineLevel="0" collapsed="false">
      <c r="A1089" s="5" t="s">
        <v>367</v>
      </c>
      <c r="B1089" s="5" t="s">
        <v>71</v>
      </c>
      <c r="C1089" s="5" t="n">
        <v>2019</v>
      </c>
      <c r="D1089" s="5" t="s">
        <v>42</v>
      </c>
      <c r="E1089" s="5" t="s">
        <v>38</v>
      </c>
      <c r="F1089" s="5" t="s">
        <v>40</v>
      </c>
      <c r="G1089" s="6" t="n">
        <v>625</v>
      </c>
      <c r="H1089" s="6" t="n">
        <v>58</v>
      </c>
      <c r="I1089" s="7" t="n">
        <f aca="false">(G1089-H1089)/G1089</f>
        <v>0.9072</v>
      </c>
      <c r="J1089" s="15" t="n">
        <v>0.3138</v>
      </c>
      <c r="K1089" s="11" t="str">
        <f aca="false">IF(I1089&lt;J1089,"TAK","NIE")</f>
        <v>NIE</v>
      </c>
    </row>
    <row r="1090" customFormat="false" ht="15" hidden="false" customHeight="false" outlineLevel="0" collapsed="false">
      <c r="A1090" s="5" t="s">
        <v>368</v>
      </c>
      <c r="B1090" s="5" t="s">
        <v>71</v>
      </c>
      <c r="C1090" s="5" t="n">
        <v>2019</v>
      </c>
      <c r="D1090" s="5" t="s">
        <v>42</v>
      </c>
      <c r="E1090" s="5" t="s">
        <v>38</v>
      </c>
      <c r="F1090" s="5" t="s">
        <v>40</v>
      </c>
      <c r="G1090" s="6" t="n">
        <v>625</v>
      </c>
      <c r="H1090" s="6" t="n">
        <v>37</v>
      </c>
      <c r="I1090" s="7" t="n">
        <f aca="false">(G1090-H1090)/G1090</f>
        <v>0.9408</v>
      </c>
      <c r="J1090" s="15" t="n">
        <v>0.3138</v>
      </c>
      <c r="K1090" s="11" t="str">
        <f aca="false">IF(I1090&lt;J1090,"TAK","NIE")</f>
        <v>NIE</v>
      </c>
    </row>
    <row r="1091" customFormat="false" ht="15" hidden="false" customHeight="false" outlineLevel="0" collapsed="false">
      <c r="A1091" s="5" t="s">
        <v>369</v>
      </c>
      <c r="B1091" s="5" t="s">
        <v>71</v>
      </c>
      <c r="C1091" s="5" t="n">
        <v>2019</v>
      </c>
      <c r="D1091" s="5" t="s">
        <v>42</v>
      </c>
      <c r="E1091" s="5" t="s">
        <v>38</v>
      </c>
      <c r="F1091" s="5" t="s">
        <v>40</v>
      </c>
      <c r="G1091" s="6" t="n">
        <v>641</v>
      </c>
      <c r="H1091" s="6" t="n">
        <v>91</v>
      </c>
      <c r="I1091" s="7" t="n">
        <f aca="false">(G1091-H1091)/G1091</f>
        <v>0.858034321372855</v>
      </c>
      <c r="J1091" s="15" t="n">
        <v>0.3138</v>
      </c>
      <c r="K1091" s="11" t="str">
        <f aca="false">IF(I1091&lt;J1091,"TAK","NIE")</f>
        <v>NIE</v>
      </c>
    </row>
    <row r="1092" customFormat="false" ht="15" hidden="false" customHeight="false" outlineLevel="0" collapsed="false">
      <c r="A1092" s="5" t="s">
        <v>370</v>
      </c>
      <c r="B1092" s="5" t="s">
        <v>71</v>
      </c>
      <c r="C1092" s="5" t="n">
        <v>2019</v>
      </c>
      <c r="D1092" s="5" t="s">
        <v>42</v>
      </c>
      <c r="E1092" s="5" t="s">
        <v>38</v>
      </c>
      <c r="F1092" s="5" t="s">
        <v>40</v>
      </c>
      <c r="G1092" s="6" t="n">
        <v>641</v>
      </c>
      <c r="H1092" s="6" t="n">
        <v>60</v>
      </c>
      <c r="I1092" s="7" t="n">
        <f aca="false">(G1092-H1092)/G1092</f>
        <v>0.906396255850234</v>
      </c>
      <c r="J1092" s="15" t="n">
        <v>0.3138</v>
      </c>
      <c r="K1092" s="11" t="str">
        <f aca="false">IF(I1092&lt;J1092,"TAK","NIE")</f>
        <v>NIE</v>
      </c>
    </row>
    <row r="1093" customFormat="false" ht="15" hidden="false" customHeight="false" outlineLevel="0" collapsed="false">
      <c r="A1093" s="5" t="s">
        <v>371</v>
      </c>
      <c r="B1093" s="5" t="s">
        <v>71</v>
      </c>
      <c r="C1093" s="5" t="n">
        <v>2019</v>
      </c>
      <c r="D1093" s="5" t="s">
        <v>42</v>
      </c>
      <c r="E1093" s="5" t="s">
        <v>38</v>
      </c>
      <c r="F1093" s="5" t="s">
        <v>40</v>
      </c>
      <c r="G1093" s="6" t="n">
        <v>625</v>
      </c>
      <c r="H1093" s="6" t="n">
        <v>44</v>
      </c>
      <c r="I1093" s="7" t="n">
        <f aca="false">(G1093-H1093)/G1093</f>
        <v>0.9296</v>
      </c>
      <c r="J1093" s="15" t="n">
        <v>0.3138</v>
      </c>
      <c r="K1093" s="11" t="str">
        <f aca="false">IF(I1093&lt;J1093,"TAK","NIE")</f>
        <v>NIE</v>
      </c>
    </row>
    <row r="1094" customFormat="false" ht="15" hidden="false" customHeight="false" outlineLevel="0" collapsed="false">
      <c r="A1094" s="5" t="s">
        <v>372</v>
      </c>
      <c r="B1094" s="5" t="s">
        <v>71</v>
      </c>
      <c r="C1094" s="5" t="n">
        <v>2019</v>
      </c>
      <c r="D1094" s="5" t="s">
        <v>42</v>
      </c>
      <c r="E1094" s="5" t="s">
        <v>38</v>
      </c>
      <c r="F1094" s="5" t="s">
        <v>40</v>
      </c>
      <c r="G1094" s="6" t="n">
        <v>641</v>
      </c>
      <c r="H1094" s="6" t="n">
        <v>218</v>
      </c>
      <c r="I1094" s="7" t="n">
        <f aca="false">(G1094-H1094)/G1094</f>
        <v>0.65990639625585</v>
      </c>
      <c r="J1094" s="15" t="n">
        <v>0.3138</v>
      </c>
      <c r="K1094" s="11" t="str">
        <f aca="false">IF(I1094&lt;J1094,"TAK","NIE")</f>
        <v>NIE</v>
      </c>
    </row>
    <row r="1095" customFormat="false" ht="15" hidden="false" customHeight="false" outlineLevel="0" collapsed="false">
      <c r="A1095" s="5" t="s">
        <v>373</v>
      </c>
      <c r="B1095" s="5" t="s">
        <v>71</v>
      </c>
      <c r="C1095" s="5" t="n">
        <v>2019</v>
      </c>
      <c r="D1095" s="5" t="s">
        <v>42</v>
      </c>
      <c r="E1095" s="5" t="s">
        <v>38</v>
      </c>
      <c r="F1095" s="5" t="s">
        <v>40</v>
      </c>
      <c r="G1095" s="6" t="n">
        <v>641</v>
      </c>
      <c r="H1095" s="6" t="n">
        <v>59</v>
      </c>
      <c r="I1095" s="7" t="n">
        <f aca="false">(G1095-H1095)/G1095</f>
        <v>0.90795631825273</v>
      </c>
      <c r="J1095" s="15" t="n">
        <v>0.3138</v>
      </c>
      <c r="K1095" s="11" t="str">
        <f aca="false">IF(I1095&lt;J1095,"TAK","NIE")</f>
        <v>NIE</v>
      </c>
    </row>
    <row r="1096" customFormat="false" ht="15" hidden="false" customHeight="false" outlineLevel="0" collapsed="false">
      <c r="A1096" s="5" t="s">
        <v>374</v>
      </c>
      <c r="B1096" s="5" t="s">
        <v>71</v>
      </c>
      <c r="C1096" s="5" t="n">
        <v>2019</v>
      </c>
      <c r="D1096" s="5" t="s">
        <v>42</v>
      </c>
      <c r="E1096" s="5" t="s">
        <v>38</v>
      </c>
      <c r="F1096" s="5" t="s">
        <v>40</v>
      </c>
      <c r="G1096" s="6" t="n">
        <v>625</v>
      </c>
      <c r="H1096" s="6" t="n">
        <v>28</v>
      </c>
      <c r="I1096" s="7" t="n">
        <f aca="false">(G1096-H1096)/G1096</f>
        <v>0.9552</v>
      </c>
      <c r="J1096" s="15" t="n">
        <v>0.3138</v>
      </c>
      <c r="K1096" s="11" t="str">
        <f aca="false">IF(I1096&lt;J1096,"TAK","NIE")</f>
        <v>NIE</v>
      </c>
    </row>
    <row r="1097" customFormat="false" ht="15" hidden="false" customHeight="false" outlineLevel="0" collapsed="false">
      <c r="A1097" s="5" t="s">
        <v>375</v>
      </c>
      <c r="B1097" s="5" t="s">
        <v>71</v>
      </c>
      <c r="C1097" s="5" t="n">
        <v>2019</v>
      </c>
      <c r="D1097" s="5" t="s">
        <v>42</v>
      </c>
      <c r="E1097" s="5" t="s">
        <v>38</v>
      </c>
      <c r="F1097" s="5" t="s">
        <v>40</v>
      </c>
      <c r="G1097" s="6" t="n">
        <v>37</v>
      </c>
      <c r="H1097" s="6" t="n">
        <v>35</v>
      </c>
      <c r="I1097" s="7" t="n">
        <f aca="false">(G1097-H1097)/G1097</f>
        <v>0.0540540540540541</v>
      </c>
      <c r="J1097" s="15" t="n">
        <v>0.3138</v>
      </c>
      <c r="K1097" s="11" t="str">
        <f aca="false">IF(I1097&lt;J1097,"TAK","NIE")</f>
        <v>TAK</v>
      </c>
    </row>
    <row r="1098" customFormat="false" ht="15" hidden="false" customHeight="false" outlineLevel="0" collapsed="false">
      <c r="A1098" s="5" t="s">
        <v>376</v>
      </c>
      <c r="B1098" s="5" t="s">
        <v>71</v>
      </c>
      <c r="C1098" s="5" t="n">
        <v>2019</v>
      </c>
      <c r="D1098" s="5" t="s">
        <v>42</v>
      </c>
      <c r="E1098" s="5" t="s">
        <v>38</v>
      </c>
      <c r="F1098" s="5" t="s">
        <v>40</v>
      </c>
      <c r="G1098" s="6" t="n">
        <v>625</v>
      </c>
      <c r="H1098" s="6" t="n">
        <v>83</v>
      </c>
      <c r="I1098" s="7" t="n">
        <f aca="false">(G1098-H1098)/G1098</f>
        <v>0.8672</v>
      </c>
      <c r="J1098" s="15" t="n">
        <v>0.3138</v>
      </c>
      <c r="K1098" s="11" t="str">
        <f aca="false">IF(I1098&lt;J1098,"TAK","NIE")</f>
        <v>NIE</v>
      </c>
    </row>
    <row r="1099" customFormat="false" ht="15" hidden="false" customHeight="false" outlineLevel="0" collapsed="false">
      <c r="A1099" s="5" t="s">
        <v>377</v>
      </c>
      <c r="B1099" s="5" t="s">
        <v>71</v>
      </c>
      <c r="C1099" s="5" t="n">
        <v>2019</v>
      </c>
      <c r="D1099" s="5" t="s">
        <v>42</v>
      </c>
      <c r="E1099" s="5" t="s">
        <v>38</v>
      </c>
      <c r="F1099" s="5" t="s">
        <v>40</v>
      </c>
      <c r="G1099" s="6" t="n">
        <v>625</v>
      </c>
      <c r="H1099" s="6" t="n">
        <v>124</v>
      </c>
      <c r="I1099" s="7" t="n">
        <f aca="false">(G1099-H1099)/G1099</f>
        <v>0.8016</v>
      </c>
      <c r="J1099" s="15" t="n">
        <v>0.3138</v>
      </c>
      <c r="K1099" s="11" t="str">
        <f aca="false">IF(I1099&lt;J1099,"TAK","NIE")</f>
        <v>NIE</v>
      </c>
    </row>
    <row r="1100" customFormat="false" ht="15" hidden="false" customHeight="false" outlineLevel="0" collapsed="false">
      <c r="A1100" s="5" t="s">
        <v>355</v>
      </c>
      <c r="B1100" s="5" t="s">
        <v>47</v>
      </c>
      <c r="C1100" s="5" t="n">
        <v>2019</v>
      </c>
      <c r="D1100" s="5" t="s">
        <v>42</v>
      </c>
      <c r="E1100" s="5" t="s">
        <v>46</v>
      </c>
      <c r="F1100" s="5" t="s">
        <v>39</v>
      </c>
      <c r="G1100" s="6" t="n">
        <v>622</v>
      </c>
      <c r="H1100" s="6" t="n">
        <v>93</v>
      </c>
      <c r="I1100" s="7" t="n">
        <f aca="false">(G1100-H1100)/G1100</f>
        <v>0.85048231511254</v>
      </c>
      <c r="J1100" s="15" t="n">
        <v>0.389</v>
      </c>
      <c r="K1100" s="11" t="str">
        <f aca="false">IF(I1100&lt;J1100,"TAK","NIE")</f>
        <v>NIE</v>
      </c>
    </row>
    <row r="1101" customFormat="false" ht="15" hidden="false" customHeight="false" outlineLevel="0" collapsed="false">
      <c r="A1101" s="5" t="s">
        <v>356</v>
      </c>
      <c r="B1101" s="5" t="s">
        <v>47</v>
      </c>
      <c r="C1101" s="5" t="n">
        <v>2019</v>
      </c>
      <c r="D1101" s="5" t="s">
        <v>42</v>
      </c>
      <c r="E1101" s="5" t="s">
        <v>46</v>
      </c>
      <c r="F1101" s="5" t="s">
        <v>39</v>
      </c>
      <c r="G1101" s="6" t="n">
        <v>622</v>
      </c>
      <c r="H1101" s="6" t="n">
        <v>173</v>
      </c>
      <c r="I1101" s="7" t="n">
        <f aca="false">(G1101-H1101)/G1101</f>
        <v>0.721864951768489</v>
      </c>
      <c r="J1101" s="15" t="n">
        <v>0.389</v>
      </c>
      <c r="K1101" s="11" t="str">
        <f aca="false">IF(I1101&lt;J1101,"TAK","NIE")</f>
        <v>NIE</v>
      </c>
    </row>
    <row r="1102" customFormat="false" ht="15" hidden="false" customHeight="false" outlineLevel="0" collapsed="false">
      <c r="A1102" s="5" t="s">
        <v>358</v>
      </c>
      <c r="B1102" s="5" t="s">
        <v>47</v>
      </c>
      <c r="C1102" s="5" t="n">
        <v>2019</v>
      </c>
      <c r="D1102" s="5" t="s">
        <v>42</v>
      </c>
      <c r="E1102" s="5" t="s">
        <v>46</v>
      </c>
      <c r="F1102" s="5" t="s">
        <v>39</v>
      </c>
      <c r="G1102" s="6" t="n">
        <v>622</v>
      </c>
      <c r="H1102" s="6" t="n">
        <v>164</v>
      </c>
      <c r="I1102" s="7" t="n">
        <f aca="false">(G1102-H1102)/G1102</f>
        <v>0.736334405144695</v>
      </c>
      <c r="J1102" s="15" t="n">
        <v>0.389</v>
      </c>
      <c r="K1102" s="11" t="str">
        <f aca="false">IF(I1102&lt;J1102,"TAK","NIE")</f>
        <v>NIE</v>
      </c>
    </row>
    <row r="1103" customFormat="false" ht="15" hidden="false" customHeight="false" outlineLevel="0" collapsed="false">
      <c r="A1103" s="5" t="s">
        <v>359</v>
      </c>
      <c r="B1103" s="5" t="s">
        <v>47</v>
      </c>
      <c r="C1103" s="5" t="n">
        <v>2019</v>
      </c>
      <c r="D1103" s="5" t="s">
        <v>42</v>
      </c>
      <c r="E1103" s="5" t="s">
        <v>46</v>
      </c>
      <c r="F1103" s="5" t="s">
        <v>39</v>
      </c>
      <c r="G1103" s="6" t="n">
        <v>622</v>
      </c>
      <c r="H1103" s="6" t="n">
        <v>70</v>
      </c>
      <c r="I1103" s="7" t="n">
        <f aca="false">(G1103-H1103)/G1103</f>
        <v>0.887459807073955</v>
      </c>
      <c r="J1103" s="15" t="n">
        <v>0.389</v>
      </c>
      <c r="K1103" s="11" t="str">
        <f aca="false">IF(I1103&lt;J1103,"TAK","NIE")</f>
        <v>NIE</v>
      </c>
    </row>
    <row r="1104" customFormat="false" ht="15" hidden="false" customHeight="false" outlineLevel="0" collapsed="false">
      <c r="A1104" s="5" t="s">
        <v>360</v>
      </c>
      <c r="B1104" s="5" t="s">
        <v>47</v>
      </c>
      <c r="C1104" s="5" t="n">
        <v>2019</v>
      </c>
      <c r="D1104" s="5" t="s">
        <v>42</v>
      </c>
      <c r="E1104" s="5" t="s">
        <v>46</v>
      </c>
      <c r="F1104" s="5" t="s">
        <v>39</v>
      </c>
      <c r="G1104" s="6" t="n">
        <v>622</v>
      </c>
      <c r="H1104" s="6" t="n">
        <v>246</v>
      </c>
      <c r="I1104" s="7" t="n">
        <f aca="false">(G1104-H1104)/G1104</f>
        <v>0.604501607717042</v>
      </c>
      <c r="J1104" s="15" t="n">
        <v>0.389</v>
      </c>
      <c r="K1104" s="11" t="str">
        <f aca="false">IF(I1104&lt;J1104,"TAK","NIE")</f>
        <v>NIE</v>
      </c>
    </row>
    <row r="1105" customFormat="false" ht="15" hidden="false" customHeight="false" outlineLevel="0" collapsed="false">
      <c r="A1105" s="5" t="s">
        <v>361</v>
      </c>
      <c r="B1105" s="5" t="s">
        <v>47</v>
      </c>
      <c r="C1105" s="5" t="n">
        <v>2019</v>
      </c>
      <c r="D1105" s="5" t="s">
        <v>42</v>
      </c>
      <c r="E1105" s="5" t="s">
        <v>46</v>
      </c>
      <c r="F1105" s="5" t="s">
        <v>39</v>
      </c>
      <c r="G1105" s="6" t="n">
        <v>622</v>
      </c>
      <c r="H1105" s="6" t="n">
        <v>111</v>
      </c>
      <c r="I1105" s="7" t="n">
        <f aca="false">(G1105-H1105)/G1105</f>
        <v>0.821543408360129</v>
      </c>
      <c r="J1105" s="15" t="n">
        <v>0.389</v>
      </c>
      <c r="K1105" s="11" t="str">
        <f aca="false">IF(I1105&lt;J1105,"TAK","NIE")</f>
        <v>NIE</v>
      </c>
    </row>
    <row r="1106" customFormat="false" ht="15" hidden="false" customHeight="false" outlineLevel="0" collapsed="false">
      <c r="A1106" s="5" t="s">
        <v>362</v>
      </c>
      <c r="B1106" s="5" t="s">
        <v>47</v>
      </c>
      <c r="C1106" s="5" t="n">
        <v>2019</v>
      </c>
      <c r="D1106" s="5" t="s">
        <v>42</v>
      </c>
      <c r="E1106" s="5" t="s">
        <v>46</v>
      </c>
      <c r="F1106" s="5" t="s">
        <v>39</v>
      </c>
      <c r="G1106" s="6" t="n">
        <v>622</v>
      </c>
      <c r="H1106" s="6" t="n">
        <v>185</v>
      </c>
      <c r="I1106" s="7" t="n">
        <f aca="false">(G1106-H1106)/G1106</f>
        <v>0.702572347266881</v>
      </c>
      <c r="J1106" s="15" t="n">
        <v>0.389</v>
      </c>
      <c r="K1106" s="11" t="str">
        <f aca="false">IF(I1106&lt;J1106,"TAK","NIE")</f>
        <v>NIE</v>
      </c>
    </row>
    <row r="1107" customFormat="false" ht="15" hidden="false" customHeight="false" outlineLevel="0" collapsed="false">
      <c r="A1107" s="5" t="s">
        <v>363</v>
      </c>
      <c r="B1107" s="5" t="s">
        <v>47</v>
      </c>
      <c r="C1107" s="5" t="n">
        <v>2019</v>
      </c>
      <c r="D1107" s="5" t="s">
        <v>42</v>
      </c>
      <c r="E1107" s="5" t="s">
        <v>46</v>
      </c>
      <c r="F1107" s="5" t="s">
        <v>39</v>
      </c>
      <c r="G1107" s="6" t="n">
        <v>622</v>
      </c>
      <c r="H1107" s="6" t="n">
        <v>110</v>
      </c>
      <c r="I1107" s="7" t="n">
        <f aca="false">(G1107-H1107)/G1107</f>
        <v>0.823151125401929</v>
      </c>
      <c r="J1107" s="15" t="n">
        <v>0.389</v>
      </c>
      <c r="K1107" s="11" t="str">
        <f aca="false">IF(I1107&lt;J1107,"TAK","NIE")</f>
        <v>NIE</v>
      </c>
    </row>
    <row r="1108" customFormat="false" ht="15" hidden="false" customHeight="false" outlineLevel="0" collapsed="false">
      <c r="A1108" s="5" t="s">
        <v>364</v>
      </c>
      <c r="B1108" s="5" t="s">
        <v>47</v>
      </c>
      <c r="C1108" s="5" t="n">
        <v>2019</v>
      </c>
      <c r="D1108" s="5" t="s">
        <v>42</v>
      </c>
      <c r="E1108" s="5" t="s">
        <v>46</v>
      </c>
      <c r="F1108" s="5" t="s">
        <v>39</v>
      </c>
      <c r="G1108" s="6" t="n">
        <v>622</v>
      </c>
      <c r="H1108" s="6" t="n">
        <v>226</v>
      </c>
      <c r="I1108" s="7" t="n">
        <f aca="false">(G1108-H1108)/G1108</f>
        <v>0.636655948553055</v>
      </c>
      <c r="J1108" s="15" t="n">
        <v>0.389</v>
      </c>
      <c r="K1108" s="11" t="str">
        <f aca="false">IF(I1108&lt;J1108,"TAK","NIE")</f>
        <v>NIE</v>
      </c>
    </row>
    <row r="1109" customFormat="false" ht="15" hidden="false" customHeight="false" outlineLevel="0" collapsed="false">
      <c r="A1109" s="5" t="s">
        <v>365</v>
      </c>
      <c r="B1109" s="5" t="s">
        <v>47</v>
      </c>
      <c r="C1109" s="5" t="n">
        <v>2019</v>
      </c>
      <c r="D1109" s="5" t="s">
        <v>42</v>
      </c>
      <c r="E1109" s="5" t="s">
        <v>46</v>
      </c>
      <c r="F1109" s="5" t="s">
        <v>39</v>
      </c>
      <c r="G1109" s="6" t="n">
        <v>622</v>
      </c>
      <c r="H1109" s="6" t="n">
        <v>135</v>
      </c>
      <c r="I1109" s="7" t="n">
        <f aca="false">(G1109-H1109)/G1109</f>
        <v>0.782958199356913</v>
      </c>
      <c r="J1109" s="15" t="n">
        <v>0.389</v>
      </c>
      <c r="K1109" s="11" t="str">
        <f aca="false">IF(I1109&lt;J1109,"TAK","NIE")</f>
        <v>NIE</v>
      </c>
    </row>
    <row r="1110" customFormat="false" ht="15" hidden="false" customHeight="false" outlineLevel="0" collapsed="false">
      <c r="A1110" s="5" t="s">
        <v>366</v>
      </c>
      <c r="B1110" s="5" t="s">
        <v>47</v>
      </c>
      <c r="C1110" s="5" t="n">
        <v>2019</v>
      </c>
      <c r="D1110" s="5" t="s">
        <v>42</v>
      </c>
      <c r="E1110" s="5" t="s">
        <v>46</v>
      </c>
      <c r="F1110" s="5" t="s">
        <v>39</v>
      </c>
      <c r="G1110" s="6" t="n">
        <v>622</v>
      </c>
      <c r="H1110" s="6" t="n">
        <v>397</v>
      </c>
      <c r="I1110" s="7" t="n">
        <f aca="false">(G1110-H1110)/G1110</f>
        <v>0.361736334405145</v>
      </c>
      <c r="J1110" s="15" t="n">
        <v>0.389</v>
      </c>
      <c r="K1110" s="11" t="str">
        <f aca="false">IF(I1110&lt;J1110,"TAK","NIE")</f>
        <v>TAK</v>
      </c>
    </row>
    <row r="1111" customFormat="false" ht="15" hidden="false" customHeight="false" outlineLevel="0" collapsed="false">
      <c r="A1111" s="5" t="s">
        <v>367</v>
      </c>
      <c r="B1111" s="5" t="s">
        <v>47</v>
      </c>
      <c r="C1111" s="5" t="n">
        <v>2019</v>
      </c>
      <c r="D1111" s="5" t="s">
        <v>42</v>
      </c>
      <c r="E1111" s="5" t="s">
        <v>46</v>
      </c>
      <c r="F1111" s="5" t="s">
        <v>39</v>
      </c>
      <c r="G1111" s="6" t="n">
        <v>622</v>
      </c>
      <c r="H1111" s="6" t="n">
        <v>99</v>
      </c>
      <c r="I1111" s="7" t="n">
        <f aca="false">(G1111-H1111)/G1111</f>
        <v>0.840836012861736</v>
      </c>
      <c r="J1111" s="15" t="n">
        <v>0.389</v>
      </c>
      <c r="K1111" s="11" t="str">
        <f aca="false">IF(I1111&lt;J1111,"TAK","NIE")</f>
        <v>NIE</v>
      </c>
    </row>
    <row r="1112" customFormat="false" ht="15" hidden="false" customHeight="false" outlineLevel="0" collapsed="false">
      <c r="A1112" s="5" t="s">
        <v>368</v>
      </c>
      <c r="B1112" s="5" t="s">
        <v>47</v>
      </c>
      <c r="C1112" s="5" t="n">
        <v>2019</v>
      </c>
      <c r="D1112" s="5" t="s">
        <v>42</v>
      </c>
      <c r="E1112" s="5" t="s">
        <v>46</v>
      </c>
      <c r="F1112" s="5" t="s">
        <v>39</v>
      </c>
      <c r="G1112" s="6" t="n">
        <v>622</v>
      </c>
      <c r="H1112" s="6" t="n">
        <v>59</v>
      </c>
      <c r="I1112" s="7" t="n">
        <f aca="false">(G1112-H1112)/G1112</f>
        <v>0.905144694533762</v>
      </c>
      <c r="J1112" s="15" t="n">
        <v>0.389</v>
      </c>
      <c r="K1112" s="11" t="str">
        <f aca="false">IF(I1112&lt;J1112,"TAK","NIE")</f>
        <v>NIE</v>
      </c>
    </row>
    <row r="1113" customFormat="false" ht="15" hidden="false" customHeight="false" outlineLevel="0" collapsed="false">
      <c r="A1113" s="5" t="s">
        <v>369</v>
      </c>
      <c r="B1113" s="5" t="s">
        <v>47</v>
      </c>
      <c r="C1113" s="5" t="n">
        <v>2019</v>
      </c>
      <c r="D1113" s="5" t="s">
        <v>42</v>
      </c>
      <c r="E1113" s="5" t="s">
        <v>46</v>
      </c>
      <c r="F1113" s="5" t="s">
        <v>39</v>
      </c>
      <c r="G1113" s="6" t="n">
        <v>622</v>
      </c>
      <c r="H1113" s="6" t="n">
        <v>223</v>
      </c>
      <c r="I1113" s="7" t="n">
        <f aca="false">(G1113-H1113)/G1113</f>
        <v>0.641479099678457</v>
      </c>
      <c r="J1113" s="15" t="n">
        <v>0.389</v>
      </c>
      <c r="K1113" s="11" t="str">
        <f aca="false">IF(I1113&lt;J1113,"TAK","NIE")</f>
        <v>NIE</v>
      </c>
    </row>
    <row r="1114" customFormat="false" ht="15" hidden="false" customHeight="false" outlineLevel="0" collapsed="false">
      <c r="A1114" s="5" t="s">
        <v>370</v>
      </c>
      <c r="B1114" s="5" t="s">
        <v>47</v>
      </c>
      <c r="C1114" s="5" t="n">
        <v>2019</v>
      </c>
      <c r="D1114" s="5" t="s">
        <v>42</v>
      </c>
      <c r="E1114" s="5" t="s">
        <v>46</v>
      </c>
      <c r="F1114" s="5" t="s">
        <v>39</v>
      </c>
      <c r="G1114" s="6" t="n">
        <v>622</v>
      </c>
      <c r="H1114" s="6" t="n">
        <v>103</v>
      </c>
      <c r="I1114" s="7" t="n">
        <f aca="false">(G1114-H1114)/G1114</f>
        <v>0.834405144694534</v>
      </c>
      <c r="J1114" s="15" t="n">
        <v>0.389</v>
      </c>
      <c r="K1114" s="11" t="str">
        <f aca="false">IF(I1114&lt;J1114,"TAK","NIE")</f>
        <v>NIE</v>
      </c>
    </row>
    <row r="1115" customFormat="false" ht="15" hidden="false" customHeight="false" outlineLevel="0" collapsed="false">
      <c r="A1115" s="5" t="s">
        <v>371</v>
      </c>
      <c r="B1115" s="5" t="s">
        <v>47</v>
      </c>
      <c r="C1115" s="5" t="n">
        <v>2019</v>
      </c>
      <c r="D1115" s="5" t="s">
        <v>42</v>
      </c>
      <c r="E1115" s="5" t="s">
        <v>46</v>
      </c>
      <c r="F1115" s="5" t="s">
        <v>39</v>
      </c>
      <c r="G1115" s="6" t="n">
        <v>622</v>
      </c>
      <c r="H1115" s="6" t="n">
        <v>175</v>
      </c>
      <c r="I1115" s="7" t="n">
        <f aca="false">(G1115-H1115)/G1115</f>
        <v>0.718649517684888</v>
      </c>
      <c r="J1115" s="15" t="n">
        <v>0.389</v>
      </c>
      <c r="K1115" s="11" t="str">
        <f aca="false">IF(I1115&lt;J1115,"TAK","NIE")</f>
        <v>NIE</v>
      </c>
    </row>
    <row r="1116" customFormat="false" ht="15" hidden="false" customHeight="false" outlineLevel="0" collapsed="false">
      <c r="A1116" s="5" t="s">
        <v>372</v>
      </c>
      <c r="B1116" s="5" t="s">
        <v>47</v>
      </c>
      <c r="C1116" s="5" t="n">
        <v>2019</v>
      </c>
      <c r="D1116" s="5" t="s">
        <v>42</v>
      </c>
      <c r="E1116" s="5" t="s">
        <v>46</v>
      </c>
      <c r="F1116" s="5" t="s">
        <v>39</v>
      </c>
      <c r="G1116" s="6" t="n">
        <v>622</v>
      </c>
      <c r="H1116" s="6" t="n">
        <v>214</v>
      </c>
      <c r="I1116" s="7" t="n">
        <f aca="false">(G1116-H1116)/G1116</f>
        <v>0.655948553054662</v>
      </c>
      <c r="J1116" s="15" t="n">
        <v>0.389</v>
      </c>
      <c r="K1116" s="11" t="str">
        <f aca="false">IF(I1116&lt;J1116,"TAK","NIE")</f>
        <v>NIE</v>
      </c>
    </row>
    <row r="1117" customFormat="false" ht="15" hidden="false" customHeight="false" outlineLevel="0" collapsed="false">
      <c r="A1117" s="5" t="s">
        <v>373</v>
      </c>
      <c r="B1117" s="5" t="s">
        <v>47</v>
      </c>
      <c r="C1117" s="5" t="n">
        <v>2019</v>
      </c>
      <c r="D1117" s="5" t="s">
        <v>42</v>
      </c>
      <c r="E1117" s="5" t="s">
        <v>46</v>
      </c>
      <c r="F1117" s="5" t="s">
        <v>39</v>
      </c>
      <c r="G1117" s="6" t="n">
        <v>622</v>
      </c>
      <c r="H1117" s="6" t="n">
        <v>176</v>
      </c>
      <c r="I1117" s="7" t="n">
        <f aca="false">(G1117-H1117)/G1117</f>
        <v>0.717041800643087</v>
      </c>
      <c r="J1117" s="15" t="n">
        <v>0.389</v>
      </c>
      <c r="K1117" s="11" t="str">
        <f aca="false">IF(I1117&lt;J1117,"TAK","NIE")</f>
        <v>NIE</v>
      </c>
    </row>
    <row r="1118" customFormat="false" ht="15" hidden="false" customHeight="false" outlineLevel="0" collapsed="false">
      <c r="A1118" s="5" t="s">
        <v>374</v>
      </c>
      <c r="B1118" s="5" t="s">
        <v>47</v>
      </c>
      <c r="C1118" s="5" t="n">
        <v>2019</v>
      </c>
      <c r="D1118" s="5" t="s">
        <v>42</v>
      </c>
      <c r="E1118" s="5" t="s">
        <v>46</v>
      </c>
      <c r="F1118" s="5" t="s">
        <v>39</v>
      </c>
      <c r="G1118" s="6" t="n">
        <v>622</v>
      </c>
      <c r="H1118" s="6" t="n">
        <v>17</v>
      </c>
      <c r="I1118" s="7" t="n">
        <f aca="false">(G1118-H1118)/G1118</f>
        <v>0.972668810289389</v>
      </c>
      <c r="J1118" s="15" t="n">
        <v>0.389</v>
      </c>
      <c r="K1118" s="11" t="str">
        <f aca="false">IF(I1118&lt;J1118,"TAK","NIE")</f>
        <v>NIE</v>
      </c>
    </row>
    <row r="1119" customFormat="false" ht="15" hidden="false" customHeight="false" outlineLevel="0" collapsed="false">
      <c r="A1119" s="5" t="s">
        <v>376</v>
      </c>
      <c r="B1119" s="5" t="s">
        <v>47</v>
      </c>
      <c r="C1119" s="5" t="n">
        <v>2019</v>
      </c>
      <c r="D1119" s="5" t="s">
        <v>42</v>
      </c>
      <c r="E1119" s="5" t="s">
        <v>46</v>
      </c>
      <c r="F1119" s="5" t="s">
        <v>39</v>
      </c>
      <c r="G1119" s="6" t="n">
        <v>622</v>
      </c>
      <c r="H1119" s="6" t="n">
        <v>195</v>
      </c>
      <c r="I1119" s="7" t="n">
        <f aca="false">(G1119-H1119)/G1119</f>
        <v>0.686495176848875</v>
      </c>
      <c r="J1119" s="15" t="n">
        <v>0.389</v>
      </c>
      <c r="K1119" s="11" t="str">
        <f aca="false">IF(I1119&lt;J1119,"TAK","NIE")</f>
        <v>NIE</v>
      </c>
    </row>
    <row r="1120" customFormat="false" ht="15" hidden="false" customHeight="false" outlineLevel="0" collapsed="false">
      <c r="A1120" s="5" t="s">
        <v>377</v>
      </c>
      <c r="B1120" s="5" t="s">
        <v>47</v>
      </c>
      <c r="C1120" s="5" t="n">
        <v>2019</v>
      </c>
      <c r="D1120" s="5" t="s">
        <v>42</v>
      </c>
      <c r="E1120" s="5" t="s">
        <v>46</v>
      </c>
      <c r="F1120" s="5" t="s">
        <v>39</v>
      </c>
      <c r="G1120" s="6" t="n">
        <v>622</v>
      </c>
      <c r="H1120" s="6" t="n">
        <v>319</v>
      </c>
      <c r="I1120" s="7" t="n">
        <f aca="false">(G1120-H1120)/G1120</f>
        <v>0.487138263665595</v>
      </c>
      <c r="J1120" s="15" t="n">
        <v>0.389</v>
      </c>
      <c r="K1120" s="11" t="str">
        <f aca="false">IF(I1120&lt;J1120,"TAK","NIE")</f>
        <v>NIE</v>
      </c>
    </row>
    <row r="1121" customFormat="false" ht="15" hidden="false" customHeight="false" outlineLevel="0" collapsed="false">
      <c r="A1121" s="5" t="s">
        <v>355</v>
      </c>
      <c r="B1121" s="5" t="s">
        <v>47</v>
      </c>
      <c r="C1121" s="5" t="n">
        <v>2019</v>
      </c>
      <c r="D1121" s="5" t="s">
        <v>42</v>
      </c>
      <c r="E1121" s="5" t="s">
        <v>46</v>
      </c>
      <c r="F1121" s="5" t="s">
        <v>40</v>
      </c>
      <c r="G1121" s="6" t="n">
        <v>490</v>
      </c>
      <c r="H1121" s="6" t="n">
        <v>79</v>
      </c>
      <c r="I1121" s="7" t="n">
        <f aca="false">(G1121-H1121)/G1121</f>
        <v>0.838775510204082</v>
      </c>
      <c r="J1121" s="15" t="n">
        <v>0.271</v>
      </c>
      <c r="K1121" s="11" t="str">
        <f aca="false">IF(I1121&lt;J1121,"TAK","NIE")</f>
        <v>NIE</v>
      </c>
    </row>
    <row r="1122" customFormat="false" ht="15" hidden="false" customHeight="false" outlineLevel="0" collapsed="false">
      <c r="A1122" s="5" t="s">
        <v>356</v>
      </c>
      <c r="B1122" s="5" t="s">
        <v>47</v>
      </c>
      <c r="C1122" s="5" t="n">
        <v>2019</v>
      </c>
      <c r="D1122" s="5" t="s">
        <v>42</v>
      </c>
      <c r="E1122" s="5" t="s">
        <v>46</v>
      </c>
      <c r="F1122" s="5" t="s">
        <v>40</v>
      </c>
      <c r="G1122" s="6" t="n">
        <v>490</v>
      </c>
      <c r="H1122" s="6" t="n">
        <v>148</v>
      </c>
      <c r="I1122" s="7" t="n">
        <f aca="false">(G1122-H1122)/G1122</f>
        <v>0.697959183673469</v>
      </c>
      <c r="J1122" s="15" t="n">
        <v>0.271</v>
      </c>
      <c r="K1122" s="11" t="str">
        <f aca="false">IF(I1122&lt;J1122,"TAK","NIE")</f>
        <v>NIE</v>
      </c>
    </row>
    <row r="1123" customFormat="false" ht="15" hidden="false" customHeight="false" outlineLevel="0" collapsed="false">
      <c r="A1123" s="5" t="s">
        <v>358</v>
      </c>
      <c r="B1123" s="5" t="s">
        <v>47</v>
      </c>
      <c r="C1123" s="5" t="n">
        <v>2019</v>
      </c>
      <c r="D1123" s="5" t="s">
        <v>42</v>
      </c>
      <c r="E1123" s="5" t="s">
        <v>46</v>
      </c>
      <c r="F1123" s="5" t="s">
        <v>40</v>
      </c>
      <c r="G1123" s="6" t="n">
        <v>490</v>
      </c>
      <c r="H1123" s="6" t="n">
        <v>198</v>
      </c>
      <c r="I1123" s="7" t="n">
        <f aca="false">(G1123-H1123)/G1123</f>
        <v>0.595918367346939</v>
      </c>
      <c r="J1123" s="15" t="n">
        <v>0.271</v>
      </c>
      <c r="K1123" s="11" t="str">
        <f aca="false">IF(I1123&lt;J1123,"TAK","NIE")</f>
        <v>NIE</v>
      </c>
    </row>
    <row r="1124" customFormat="false" ht="15" hidden="false" customHeight="false" outlineLevel="0" collapsed="false">
      <c r="A1124" s="5" t="s">
        <v>359</v>
      </c>
      <c r="B1124" s="5" t="s">
        <v>47</v>
      </c>
      <c r="C1124" s="5" t="n">
        <v>2019</v>
      </c>
      <c r="D1124" s="5" t="s">
        <v>42</v>
      </c>
      <c r="E1124" s="5" t="s">
        <v>46</v>
      </c>
      <c r="F1124" s="5" t="s">
        <v>40</v>
      </c>
      <c r="G1124" s="6" t="n">
        <v>490</v>
      </c>
      <c r="H1124" s="6" t="n">
        <v>133</v>
      </c>
      <c r="I1124" s="7" t="n">
        <f aca="false">(G1124-H1124)/G1124</f>
        <v>0.728571428571429</v>
      </c>
      <c r="J1124" s="15" t="n">
        <v>0.271</v>
      </c>
      <c r="K1124" s="11" t="str">
        <f aca="false">IF(I1124&lt;J1124,"TAK","NIE")</f>
        <v>NIE</v>
      </c>
    </row>
    <row r="1125" customFormat="false" ht="15" hidden="false" customHeight="false" outlineLevel="0" collapsed="false">
      <c r="A1125" s="5" t="s">
        <v>360</v>
      </c>
      <c r="B1125" s="5" t="s">
        <v>47</v>
      </c>
      <c r="C1125" s="5" t="n">
        <v>2019</v>
      </c>
      <c r="D1125" s="5" t="s">
        <v>42</v>
      </c>
      <c r="E1125" s="5" t="s">
        <v>46</v>
      </c>
      <c r="F1125" s="5" t="s">
        <v>40</v>
      </c>
      <c r="G1125" s="6" t="n">
        <v>490</v>
      </c>
      <c r="H1125" s="6" t="n">
        <v>240</v>
      </c>
      <c r="I1125" s="7" t="n">
        <f aca="false">(G1125-H1125)/G1125</f>
        <v>0.510204081632653</v>
      </c>
      <c r="J1125" s="15" t="n">
        <v>0.271</v>
      </c>
      <c r="K1125" s="11" t="str">
        <f aca="false">IF(I1125&lt;J1125,"TAK","NIE")</f>
        <v>NIE</v>
      </c>
    </row>
    <row r="1126" customFormat="false" ht="15" hidden="false" customHeight="false" outlineLevel="0" collapsed="false">
      <c r="A1126" s="5" t="s">
        <v>361</v>
      </c>
      <c r="B1126" s="5" t="s">
        <v>47</v>
      </c>
      <c r="C1126" s="5" t="n">
        <v>2019</v>
      </c>
      <c r="D1126" s="5" t="s">
        <v>42</v>
      </c>
      <c r="E1126" s="5" t="s">
        <v>46</v>
      </c>
      <c r="F1126" s="5" t="s">
        <v>40</v>
      </c>
      <c r="G1126" s="6" t="n">
        <v>490</v>
      </c>
      <c r="H1126" s="6" t="n">
        <v>90</v>
      </c>
      <c r="I1126" s="7" t="n">
        <f aca="false">(G1126-H1126)/G1126</f>
        <v>0.816326530612245</v>
      </c>
      <c r="J1126" s="15" t="n">
        <v>0.271</v>
      </c>
      <c r="K1126" s="11" t="str">
        <f aca="false">IF(I1126&lt;J1126,"TAK","NIE")</f>
        <v>NIE</v>
      </c>
    </row>
    <row r="1127" customFormat="false" ht="15" hidden="false" customHeight="false" outlineLevel="0" collapsed="false">
      <c r="A1127" s="5" t="s">
        <v>362</v>
      </c>
      <c r="B1127" s="5" t="s">
        <v>47</v>
      </c>
      <c r="C1127" s="5" t="n">
        <v>2019</v>
      </c>
      <c r="D1127" s="5" t="s">
        <v>42</v>
      </c>
      <c r="E1127" s="5" t="s">
        <v>46</v>
      </c>
      <c r="F1127" s="5" t="s">
        <v>40</v>
      </c>
      <c r="G1127" s="6" t="n">
        <v>490</v>
      </c>
      <c r="H1127" s="6" t="n">
        <v>219</v>
      </c>
      <c r="I1127" s="7" t="n">
        <f aca="false">(G1127-H1127)/G1127</f>
        <v>0.553061224489796</v>
      </c>
      <c r="J1127" s="15" t="n">
        <v>0.271</v>
      </c>
      <c r="K1127" s="11" t="str">
        <f aca="false">IF(I1127&lt;J1127,"TAK","NIE")</f>
        <v>NIE</v>
      </c>
    </row>
    <row r="1128" customFormat="false" ht="15" hidden="false" customHeight="false" outlineLevel="0" collapsed="false">
      <c r="A1128" s="5" t="s">
        <v>363</v>
      </c>
      <c r="B1128" s="5" t="s">
        <v>47</v>
      </c>
      <c r="C1128" s="5" t="n">
        <v>2019</v>
      </c>
      <c r="D1128" s="5" t="s">
        <v>42</v>
      </c>
      <c r="E1128" s="5" t="s">
        <v>46</v>
      </c>
      <c r="F1128" s="5" t="s">
        <v>40</v>
      </c>
      <c r="G1128" s="6" t="n">
        <v>490</v>
      </c>
      <c r="H1128" s="6" t="n">
        <v>220</v>
      </c>
      <c r="I1128" s="7" t="n">
        <f aca="false">(G1128-H1128)/G1128</f>
        <v>0.551020408163265</v>
      </c>
      <c r="J1128" s="15" t="n">
        <v>0.271</v>
      </c>
      <c r="K1128" s="11" t="str">
        <f aca="false">IF(I1128&lt;J1128,"TAK","NIE")</f>
        <v>NIE</v>
      </c>
    </row>
    <row r="1129" customFormat="false" ht="15" hidden="false" customHeight="false" outlineLevel="0" collapsed="false">
      <c r="A1129" s="5" t="s">
        <v>364</v>
      </c>
      <c r="B1129" s="5" t="s">
        <v>47</v>
      </c>
      <c r="C1129" s="5" t="n">
        <v>2019</v>
      </c>
      <c r="D1129" s="5" t="s">
        <v>42</v>
      </c>
      <c r="E1129" s="5" t="s">
        <v>46</v>
      </c>
      <c r="F1129" s="5" t="s">
        <v>40</v>
      </c>
      <c r="G1129" s="6" t="n">
        <v>490</v>
      </c>
      <c r="H1129" s="6" t="n">
        <v>220</v>
      </c>
      <c r="I1129" s="7" t="n">
        <f aca="false">(G1129-H1129)/G1129</f>
        <v>0.551020408163265</v>
      </c>
      <c r="J1129" s="15" t="n">
        <v>0.271</v>
      </c>
      <c r="K1129" s="11" t="str">
        <f aca="false">IF(I1129&lt;J1129,"TAK","NIE")</f>
        <v>NIE</v>
      </c>
    </row>
    <row r="1130" customFormat="false" ht="15" hidden="false" customHeight="false" outlineLevel="0" collapsed="false">
      <c r="A1130" s="5" t="s">
        <v>365</v>
      </c>
      <c r="B1130" s="5" t="s">
        <v>47</v>
      </c>
      <c r="C1130" s="5" t="n">
        <v>2019</v>
      </c>
      <c r="D1130" s="5" t="s">
        <v>42</v>
      </c>
      <c r="E1130" s="5" t="s">
        <v>46</v>
      </c>
      <c r="F1130" s="5" t="s">
        <v>40</v>
      </c>
      <c r="G1130" s="6" t="n">
        <v>490</v>
      </c>
      <c r="H1130" s="6" t="n">
        <v>138</v>
      </c>
      <c r="I1130" s="7" t="n">
        <f aca="false">(G1130-H1130)/G1130</f>
        <v>0.718367346938776</v>
      </c>
      <c r="J1130" s="15" t="n">
        <v>0.271</v>
      </c>
      <c r="K1130" s="11" t="str">
        <f aca="false">IF(I1130&lt;J1130,"TAK","NIE")</f>
        <v>NIE</v>
      </c>
    </row>
    <row r="1131" customFormat="false" ht="15" hidden="false" customHeight="false" outlineLevel="0" collapsed="false">
      <c r="A1131" s="5" t="s">
        <v>366</v>
      </c>
      <c r="B1131" s="5" t="s">
        <v>47</v>
      </c>
      <c r="C1131" s="5" t="n">
        <v>2019</v>
      </c>
      <c r="D1131" s="5" t="s">
        <v>42</v>
      </c>
      <c r="E1131" s="5" t="s">
        <v>46</v>
      </c>
      <c r="F1131" s="5" t="s">
        <v>40</v>
      </c>
      <c r="G1131" s="6" t="n">
        <v>287</v>
      </c>
      <c r="H1131" s="6" t="n">
        <v>259</v>
      </c>
      <c r="I1131" s="7" t="n">
        <f aca="false">(G1131-H1131)/G1131</f>
        <v>0.0975609756097561</v>
      </c>
      <c r="J1131" s="15" t="n">
        <v>0.271</v>
      </c>
      <c r="K1131" s="11" t="str">
        <f aca="false">IF(I1131&lt;J1131,"TAK","NIE")</f>
        <v>TAK</v>
      </c>
    </row>
    <row r="1132" customFormat="false" ht="15" hidden="false" customHeight="false" outlineLevel="0" collapsed="false">
      <c r="A1132" s="5" t="s">
        <v>367</v>
      </c>
      <c r="B1132" s="5" t="s">
        <v>47</v>
      </c>
      <c r="C1132" s="5" t="n">
        <v>2019</v>
      </c>
      <c r="D1132" s="5" t="s">
        <v>42</v>
      </c>
      <c r="E1132" s="5" t="s">
        <v>46</v>
      </c>
      <c r="F1132" s="5" t="s">
        <v>40</v>
      </c>
      <c r="G1132" s="6" t="n">
        <v>490</v>
      </c>
      <c r="H1132" s="6" t="n">
        <v>112</v>
      </c>
      <c r="I1132" s="7" t="n">
        <f aca="false">(G1132-H1132)/G1132</f>
        <v>0.771428571428572</v>
      </c>
      <c r="J1132" s="15" t="n">
        <v>0.271</v>
      </c>
      <c r="K1132" s="11" t="str">
        <f aca="false">IF(I1132&lt;J1132,"TAK","NIE")</f>
        <v>NIE</v>
      </c>
    </row>
    <row r="1133" customFormat="false" ht="15" hidden="false" customHeight="false" outlineLevel="0" collapsed="false">
      <c r="A1133" s="5" t="s">
        <v>368</v>
      </c>
      <c r="B1133" s="5" t="s">
        <v>47</v>
      </c>
      <c r="C1133" s="5" t="n">
        <v>2019</v>
      </c>
      <c r="D1133" s="5" t="s">
        <v>42</v>
      </c>
      <c r="E1133" s="5" t="s">
        <v>46</v>
      </c>
      <c r="F1133" s="5" t="s">
        <v>40</v>
      </c>
      <c r="G1133" s="6" t="n">
        <v>490</v>
      </c>
      <c r="H1133" s="6" t="n">
        <v>70</v>
      </c>
      <c r="I1133" s="7" t="n">
        <f aca="false">(G1133-H1133)/G1133</f>
        <v>0.857142857142857</v>
      </c>
      <c r="J1133" s="15" t="n">
        <v>0.271</v>
      </c>
      <c r="K1133" s="11" t="str">
        <f aca="false">IF(I1133&lt;J1133,"TAK","NIE")</f>
        <v>NIE</v>
      </c>
    </row>
    <row r="1134" customFormat="false" ht="15" hidden="false" customHeight="false" outlineLevel="0" collapsed="false">
      <c r="A1134" s="5" t="s">
        <v>369</v>
      </c>
      <c r="B1134" s="5" t="s">
        <v>47</v>
      </c>
      <c r="C1134" s="5" t="n">
        <v>2019</v>
      </c>
      <c r="D1134" s="5" t="s">
        <v>42</v>
      </c>
      <c r="E1134" s="5" t="s">
        <v>46</v>
      </c>
      <c r="F1134" s="5" t="s">
        <v>40</v>
      </c>
      <c r="G1134" s="6" t="n">
        <v>490</v>
      </c>
      <c r="H1134" s="6" t="n">
        <v>141</v>
      </c>
      <c r="I1134" s="7" t="n">
        <f aca="false">(G1134-H1134)/G1134</f>
        <v>0.712244897959184</v>
      </c>
      <c r="J1134" s="15" t="n">
        <v>0.271</v>
      </c>
      <c r="K1134" s="11" t="str">
        <f aca="false">IF(I1134&lt;J1134,"TAK","NIE")</f>
        <v>NIE</v>
      </c>
    </row>
    <row r="1135" customFormat="false" ht="15" hidden="false" customHeight="false" outlineLevel="0" collapsed="false">
      <c r="A1135" s="5" t="s">
        <v>370</v>
      </c>
      <c r="B1135" s="5" t="s">
        <v>47</v>
      </c>
      <c r="C1135" s="5" t="n">
        <v>2019</v>
      </c>
      <c r="D1135" s="5" t="s">
        <v>42</v>
      </c>
      <c r="E1135" s="5" t="s">
        <v>46</v>
      </c>
      <c r="F1135" s="5" t="s">
        <v>40</v>
      </c>
      <c r="G1135" s="6" t="n">
        <v>490</v>
      </c>
      <c r="H1135" s="6" t="n">
        <v>168</v>
      </c>
      <c r="I1135" s="7" t="n">
        <f aca="false">(G1135-H1135)/G1135</f>
        <v>0.657142857142857</v>
      </c>
      <c r="J1135" s="15" t="n">
        <v>0.271</v>
      </c>
      <c r="K1135" s="11" t="str">
        <f aca="false">IF(I1135&lt;J1135,"TAK","NIE")</f>
        <v>NIE</v>
      </c>
    </row>
    <row r="1136" customFormat="false" ht="15" hidden="false" customHeight="false" outlineLevel="0" collapsed="false">
      <c r="A1136" s="5" t="s">
        <v>371</v>
      </c>
      <c r="B1136" s="5" t="s">
        <v>47</v>
      </c>
      <c r="C1136" s="5" t="n">
        <v>2019</v>
      </c>
      <c r="D1136" s="5" t="s">
        <v>42</v>
      </c>
      <c r="E1136" s="5" t="s">
        <v>46</v>
      </c>
      <c r="F1136" s="5" t="s">
        <v>40</v>
      </c>
      <c r="G1136" s="6" t="n">
        <v>490</v>
      </c>
      <c r="H1136" s="6" t="n">
        <v>127</v>
      </c>
      <c r="I1136" s="7" t="n">
        <f aca="false">(G1136-H1136)/G1136</f>
        <v>0.740816326530612</v>
      </c>
      <c r="J1136" s="15" t="n">
        <v>0.271</v>
      </c>
      <c r="K1136" s="11" t="str">
        <f aca="false">IF(I1136&lt;J1136,"TAK","NIE")</f>
        <v>NIE</v>
      </c>
    </row>
    <row r="1137" customFormat="false" ht="15" hidden="false" customHeight="false" outlineLevel="0" collapsed="false">
      <c r="A1137" s="5" t="s">
        <v>372</v>
      </c>
      <c r="B1137" s="5" t="s">
        <v>47</v>
      </c>
      <c r="C1137" s="5" t="n">
        <v>2019</v>
      </c>
      <c r="D1137" s="5" t="s">
        <v>42</v>
      </c>
      <c r="E1137" s="5" t="s">
        <v>46</v>
      </c>
      <c r="F1137" s="5" t="s">
        <v>40</v>
      </c>
      <c r="G1137" s="6" t="n">
        <v>490</v>
      </c>
      <c r="H1137" s="6" t="n">
        <v>183</v>
      </c>
      <c r="I1137" s="7" t="n">
        <f aca="false">(G1137-H1137)/G1137</f>
        <v>0.626530612244898</v>
      </c>
      <c r="J1137" s="15" t="n">
        <v>0.271</v>
      </c>
      <c r="K1137" s="11" t="str">
        <f aca="false">IF(I1137&lt;J1137,"TAK","NIE")</f>
        <v>NIE</v>
      </c>
    </row>
    <row r="1138" customFormat="false" ht="15" hidden="false" customHeight="false" outlineLevel="0" collapsed="false">
      <c r="A1138" s="5" t="s">
        <v>373</v>
      </c>
      <c r="B1138" s="5" t="s">
        <v>47</v>
      </c>
      <c r="C1138" s="5" t="n">
        <v>2019</v>
      </c>
      <c r="D1138" s="5" t="s">
        <v>42</v>
      </c>
      <c r="E1138" s="5" t="s">
        <v>46</v>
      </c>
      <c r="F1138" s="5" t="s">
        <v>40</v>
      </c>
      <c r="G1138" s="6" t="n">
        <v>490</v>
      </c>
      <c r="H1138" s="6" t="n">
        <v>169</v>
      </c>
      <c r="I1138" s="7" t="n">
        <f aca="false">(G1138-H1138)/G1138</f>
        <v>0.655102040816327</v>
      </c>
      <c r="J1138" s="15" t="n">
        <v>0.271</v>
      </c>
      <c r="K1138" s="11" t="str">
        <f aca="false">IF(I1138&lt;J1138,"TAK","NIE")</f>
        <v>NIE</v>
      </c>
    </row>
    <row r="1139" customFormat="false" ht="15" hidden="false" customHeight="false" outlineLevel="0" collapsed="false">
      <c r="A1139" s="5" t="s">
        <v>374</v>
      </c>
      <c r="B1139" s="5" t="s">
        <v>47</v>
      </c>
      <c r="C1139" s="5" t="n">
        <v>2019</v>
      </c>
      <c r="D1139" s="5" t="s">
        <v>42</v>
      </c>
      <c r="E1139" s="5" t="s">
        <v>46</v>
      </c>
      <c r="F1139" s="5" t="s">
        <v>40</v>
      </c>
      <c r="G1139" s="6" t="n">
        <v>490</v>
      </c>
      <c r="H1139" s="6" t="n">
        <v>98</v>
      </c>
      <c r="I1139" s="7" t="n">
        <f aca="false">(G1139-H1139)/G1139</f>
        <v>0.8</v>
      </c>
      <c r="J1139" s="15" t="n">
        <v>0.271</v>
      </c>
      <c r="K1139" s="11" t="str">
        <f aca="false">IF(I1139&lt;J1139,"TAK","NIE")</f>
        <v>NIE</v>
      </c>
    </row>
    <row r="1140" customFormat="false" ht="15" hidden="false" customHeight="false" outlineLevel="0" collapsed="false">
      <c r="A1140" s="5" t="s">
        <v>376</v>
      </c>
      <c r="B1140" s="5" t="s">
        <v>47</v>
      </c>
      <c r="C1140" s="5" t="n">
        <v>2019</v>
      </c>
      <c r="D1140" s="5" t="s">
        <v>42</v>
      </c>
      <c r="E1140" s="5" t="s">
        <v>46</v>
      </c>
      <c r="F1140" s="5" t="s">
        <v>40</v>
      </c>
      <c r="G1140" s="6" t="n">
        <v>490</v>
      </c>
      <c r="H1140" s="6" t="n">
        <v>177</v>
      </c>
      <c r="I1140" s="7" t="n">
        <f aca="false">(G1140-H1140)/G1140</f>
        <v>0.638775510204082</v>
      </c>
      <c r="J1140" s="15" t="n">
        <v>0.271</v>
      </c>
      <c r="K1140" s="11" t="str">
        <f aca="false">IF(I1140&lt;J1140,"TAK","NIE")</f>
        <v>NIE</v>
      </c>
    </row>
    <row r="1141" customFormat="false" ht="15" hidden="false" customHeight="false" outlineLevel="0" collapsed="false">
      <c r="A1141" s="5" t="s">
        <v>377</v>
      </c>
      <c r="B1141" s="5" t="s">
        <v>47</v>
      </c>
      <c r="C1141" s="5" t="n">
        <v>2019</v>
      </c>
      <c r="D1141" s="5" t="s">
        <v>42</v>
      </c>
      <c r="E1141" s="5" t="s">
        <v>46</v>
      </c>
      <c r="F1141" s="5" t="s">
        <v>40</v>
      </c>
      <c r="G1141" s="6" t="n">
        <v>490</v>
      </c>
      <c r="H1141" s="6" t="n">
        <v>233</v>
      </c>
      <c r="I1141" s="7" t="n">
        <f aca="false">(G1141-H1141)/G1141</f>
        <v>0.524489795918367</v>
      </c>
      <c r="J1141" s="15" t="n">
        <v>0.271</v>
      </c>
      <c r="K1141" s="11" t="str">
        <f aca="false">IF(I1141&lt;J1141,"TAK","NIE")</f>
        <v>NIE</v>
      </c>
    </row>
    <row r="1142" customFormat="false" ht="15" hidden="false" customHeight="false" outlineLevel="0" collapsed="false">
      <c r="A1142" s="5" t="s">
        <v>355</v>
      </c>
      <c r="B1142" s="5" t="s">
        <v>41</v>
      </c>
      <c r="C1142" s="5" t="n">
        <v>2019</v>
      </c>
      <c r="D1142" s="5" t="s">
        <v>42</v>
      </c>
      <c r="E1142" s="5" t="s">
        <v>55</v>
      </c>
      <c r="F1142" s="5" t="s">
        <v>39</v>
      </c>
      <c r="G1142" s="6" t="n">
        <v>700</v>
      </c>
      <c r="H1142" s="6" t="n">
        <v>91</v>
      </c>
      <c r="I1142" s="7" t="n">
        <f aca="false">(G1142-H1142)/G1142</f>
        <v>0.87</v>
      </c>
      <c r="J1142" s="15" t="n">
        <v>0.357</v>
      </c>
      <c r="K1142" s="11" t="str">
        <f aca="false">IF(I1142&lt;J1142,"TAK","NIE")</f>
        <v>NIE</v>
      </c>
    </row>
    <row r="1143" customFormat="false" ht="15" hidden="false" customHeight="false" outlineLevel="0" collapsed="false">
      <c r="A1143" s="5" t="s">
        <v>356</v>
      </c>
      <c r="B1143" s="5" t="s">
        <v>41</v>
      </c>
      <c r="C1143" s="5" t="n">
        <v>2019</v>
      </c>
      <c r="D1143" s="5" t="s">
        <v>42</v>
      </c>
      <c r="E1143" s="5" t="s">
        <v>55</v>
      </c>
      <c r="F1143" s="5" t="s">
        <v>39</v>
      </c>
      <c r="G1143" s="6" t="n">
        <v>700</v>
      </c>
      <c r="H1143" s="6" t="n">
        <v>88</v>
      </c>
      <c r="I1143" s="7" t="n">
        <f aca="false">(G1143-H1143)/G1143</f>
        <v>0.874285714285714</v>
      </c>
      <c r="J1143" s="15" t="n">
        <v>0.357</v>
      </c>
      <c r="K1143" s="11" t="str">
        <f aca="false">IF(I1143&lt;J1143,"TAK","NIE")</f>
        <v>NIE</v>
      </c>
    </row>
    <row r="1144" customFormat="false" ht="15" hidden="false" customHeight="false" outlineLevel="0" collapsed="false">
      <c r="A1144" s="5" t="s">
        <v>358</v>
      </c>
      <c r="B1144" s="5" t="s">
        <v>41</v>
      </c>
      <c r="C1144" s="5" t="n">
        <v>2019</v>
      </c>
      <c r="D1144" s="5" t="s">
        <v>42</v>
      </c>
      <c r="E1144" s="5" t="s">
        <v>55</v>
      </c>
      <c r="F1144" s="5" t="s">
        <v>39</v>
      </c>
      <c r="G1144" s="6" t="n">
        <v>700</v>
      </c>
      <c r="H1144" s="6" t="n">
        <v>228</v>
      </c>
      <c r="I1144" s="7" t="n">
        <f aca="false">(G1144-H1144)/G1144</f>
        <v>0.674285714285714</v>
      </c>
      <c r="J1144" s="15" t="n">
        <v>0.357</v>
      </c>
      <c r="K1144" s="11" t="str">
        <f aca="false">IF(I1144&lt;J1144,"TAK","NIE")</f>
        <v>NIE</v>
      </c>
    </row>
    <row r="1145" customFormat="false" ht="15" hidden="false" customHeight="false" outlineLevel="0" collapsed="false">
      <c r="A1145" s="5" t="s">
        <v>359</v>
      </c>
      <c r="B1145" s="5" t="s">
        <v>41</v>
      </c>
      <c r="C1145" s="5" t="n">
        <v>2019</v>
      </c>
      <c r="D1145" s="5" t="s">
        <v>42</v>
      </c>
      <c r="E1145" s="5" t="s">
        <v>55</v>
      </c>
      <c r="F1145" s="5" t="s">
        <v>39</v>
      </c>
      <c r="G1145" s="6" t="n">
        <v>700</v>
      </c>
      <c r="H1145" s="6" t="n">
        <v>166</v>
      </c>
      <c r="I1145" s="7" t="n">
        <f aca="false">(G1145-H1145)/G1145</f>
        <v>0.762857142857143</v>
      </c>
      <c r="J1145" s="15" t="n">
        <v>0.357</v>
      </c>
      <c r="K1145" s="11" t="str">
        <f aca="false">IF(I1145&lt;J1145,"TAK","NIE")</f>
        <v>NIE</v>
      </c>
    </row>
    <row r="1146" customFormat="false" ht="15" hidden="false" customHeight="false" outlineLevel="0" collapsed="false">
      <c r="A1146" s="5" t="s">
        <v>360</v>
      </c>
      <c r="B1146" s="5" t="s">
        <v>41</v>
      </c>
      <c r="C1146" s="5" t="n">
        <v>2019</v>
      </c>
      <c r="D1146" s="5" t="s">
        <v>42</v>
      </c>
      <c r="E1146" s="5" t="s">
        <v>55</v>
      </c>
      <c r="F1146" s="5" t="s">
        <v>39</v>
      </c>
      <c r="G1146" s="6" t="n">
        <v>700</v>
      </c>
      <c r="H1146" s="6" t="n">
        <v>424</v>
      </c>
      <c r="I1146" s="7" t="n">
        <f aca="false">(G1146-H1146)/G1146</f>
        <v>0.394285714285714</v>
      </c>
      <c r="J1146" s="15" t="n">
        <v>0.357</v>
      </c>
      <c r="K1146" s="11" t="str">
        <f aca="false">IF(I1146&lt;J1146,"TAK","NIE")</f>
        <v>NIE</v>
      </c>
    </row>
    <row r="1147" customFormat="false" ht="15" hidden="false" customHeight="false" outlineLevel="0" collapsed="false">
      <c r="A1147" s="5" t="s">
        <v>361</v>
      </c>
      <c r="B1147" s="5" t="s">
        <v>41</v>
      </c>
      <c r="C1147" s="5" t="n">
        <v>2019</v>
      </c>
      <c r="D1147" s="5" t="s">
        <v>42</v>
      </c>
      <c r="E1147" s="5" t="s">
        <v>55</v>
      </c>
      <c r="F1147" s="5" t="s">
        <v>39</v>
      </c>
      <c r="G1147" s="6" t="n">
        <v>700</v>
      </c>
      <c r="H1147" s="6" t="n">
        <v>103</v>
      </c>
      <c r="I1147" s="7" t="n">
        <f aca="false">(G1147-H1147)/G1147</f>
        <v>0.852857142857143</v>
      </c>
      <c r="J1147" s="15" t="n">
        <v>0.357</v>
      </c>
      <c r="K1147" s="11" t="str">
        <f aca="false">IF(I1147&lt;J1147,"TAK","NIE")</f>
        <v>NIE</v>
      </c>
    </row>
    <row r="1148" customFormat="false" ht="15" hidden="false" customHeight="false" outlineLevel="0" collapsed="false">
      <c r="A1148" s="5" t="s">
        <v>362</v>
      </c>
      <c r="B1148" s="5" t="s">
        <v>41</v>
      </c>
      <c r="C1148" s="5" t="n">
        <v>2019</v>
      </c>
      <c r="D1148" s="5" t="s">
        <v>42</v>
      </c>
      <c r="E1148" s="5" t="s">
        <v>55</v>
      </c>
      <c r="F1148" s="5" t="s">
        <v>39</v>
      </c>
      <c r="G1148" s="6" t="n">
        <v>700</v>
      </c>
      <c r="H1148" s="6" t="n">
        <v>286</v>
      </c>
      <c r="I1148" s="7" t="n">
        <f aca="false">(G1148-H1148)/G1148</f>
        <v>0.591428571428571</v>
      </c>
      <c r="J1148" s="15" t="n">
        <v>0.357</v>
      </c>
      <c r="K1148" s="11" t="str">
        <f aca="false">IF(I1148&lt;J1148,"TAK","NIE")</f>
        <v>NIE</v>
      </c>
    </row>
    <row r="1149" customFormat="false" ht="15" hidden="false" customHeight="false" outlineLevel="0" collapsed="false">
      <c r="A1149" s="5" t="s">
        <v>363</v>
      </c>
      <c r="B1149" s="5" t="s">
        <v>41</v>
      </c>
      <c r="C1149" s="5" t="n">
        <v>2019</v>
      </c>
      <c r="D1149" s="5" t="s">
        <v>42</v>
      </c>
      <c r="E1149" s="5" t="s">
        <v>55</v>
      </c>
      <c r="F1149" s="5" t="s">
        <v>39</v>
      </c>
      <c r="G1149" s="6" t="n">
        <v>700</v>
      </c>
      <c r="H1149" s="6" t="n">
        <v>218</v>
      </c>
      <c r="I1149" s="7" t="n">
        <f aca="false">(G1149-H1149)/G1149</f>
        <v>0.688571428571429</v>
      </c>
      <c r="J1149" s="15" t="n">
        <v>0.357</v>
      </c>
      <c r="K1149" s="11" t="str">
        <f aca="false">IF(I1149&lt;J1149,"TAK","NIE")</f>
        <v>NIE</v>
      </c>
    </row>
    <row r="1150" customFormat="false" ht="15" hidden="false" customHeight="false" outlineLevel="0" collapsed="false">
      <c r="A1150" s="5" t="s">
        <v>364</v>
      </c>
      <c r="B1150" s="5" t="s">
        <v>41</v>
      </c>
      <c r="C1150" s="5" t="n">
        <v>2019</v>
      </c>
      <c r="D1150" s="5" t="s">
        <v>42</v>
      </c>
      <c r="E1150" s="5" t="s">
        <v>55</v>
      </c>
      <c r="F1150" s="5" t="s">
        <v>39</v>
      </c>
      <c r="G1150" s="6" t="n">
        <v>700</v>
      </c>
      <c r="H1150" s="6" t="n">
        <v>257</v>
      </c>
      <c r="I1150" s="7" t="n">
        <f aca="false">(G1150-H1150)/G1150</f>
        <v>0.632857142857143</v>
      </c>
      <c r="J1150" s="15" t="n">
        <v>0.357</v>
      </c>
      <c r="K1150" s="11" t="str">
        <f aca="false">IF(I1150&lt;J1150,"TAK","NIE")</f>
        <v>NIE</v>
      </c>
    </row>
    <row r="1151" customFormat="false" ht="15" hidden="false" customHeight="false" outlineLevel="0" collapsed="false">
      <c r="A1151" s="5" t="s">
        <v>365</v>
      </c>
      <c r="B1151" s="5" t="s">
        <v>41</v>
      </c>
      <c r="C1151" s="5" t="n">
        <v>2019</v>
      </c>
      <c r="D1151" s="5" t="s">
        <v>42</v>
      </c>
      <c r="E1151" s="5" t="s">
        <v>55</v>
      </c>
      <c r="F1151" s="5" t="s">
        <v>39</v>
      </c>
      <c r="G1151" s="6" t="n">
        <v>700</v>
      </c>
      <c r="H1151" s="6" t="n">
        <v>142</v>
      </c>
      <c r="I1151" s="7" t="n">
        <f aca="false">(G1151-H1151)/G1151</f>
        <v>0.797142857142857</v>
      </c>
      <c r="J1151" s="15" t="n">
        <v>0.357</v>
      </c>
      <c r="K1151" s="11" t="str">
        <f aca="false">IF(I1151&lt;J1151,"TAK","NIE")</f>
        <v>NIE</v>
      </c>
    </row>
    <row r="1152" customFormat="false" ht="15" hidden="false" customHeight="false" outlineLevel="0" collapsed="false">
      <c r="A1152" s="5" t="s">
        <v>367</v>
      </c>
      <c r="B1152" s="5" t="s">
        <v>41</v>
      </c>
      <c r="C1152" s="5" t="n">
        <v>2019</v>
      </c>
      <c r="D1152" s="5" t="s">
        <v>42</v>
      </c>
      <c r="E1152" s="5" t="s">
        <v>55</v>
      </c>
      <c r="F1152" s="5" t="s">
        <v>39</v>
      </c>
      <c r="G1152" s="6" t="n">
        <v>700</v>
      </c>
      <c r="H1152" s="6" t="n">
        <v>82</v>
      </c>
      <c r="I1152" s="7" t="n">
        <f aca="false">(G1152-H1152)/G1152</f>
        <v>0.882857142857143</v>
      </c>
      <c r="J1152" s="15" t="n">
        <v>0.357</v>
      </c>
      <c r="K1152" s="11" t="str">
        <f aca="false">IF(I1152&lt;J1152,"TAK","NIE")</f>
        <v>NIE</v>
      </c>
    </row>
    <row r="1153" customFormat="false" ht="15" hidden="false" customHeight="false" outlineLevel="0" collapsed="false">
      <c r="A1153" s="5" t="s">
        <v>368</v>
      </c>
      <c r="B1153" s="5" t="s">
        <v>41</v>
      </c>
      <c r="C1153" s="5" t="n">
        <v>2019</v>
      </c>
      <c r="D1153" s="5" t="s">
        <v>42</v>
      </c>
      <c r="E1153" s="5" t="s">
        <v>55</v>
      </c>
      <c r="F1153" s="5" t="s">
        <v>39</v>
      </c>
      <c r="G1153" s="6" t="n">
        <v>700</v>
      </c>
      <c r="H1153" s="6" t="n">
        <v>112</v>
      </c>
      <c r="I1153" s="7" t="n">
        <f aca="false">(G1153-H1153)/G1153</f>
        <v>0.84</v>
      </c>
      <c r="J1153" s="15" t="n">
        <v>0.357</v>
      </c>
      <c r="K1153" s="11" t="str">
        <f aca="false">IF(I1153&lt;J1153,"TAK","NIE")</f>
        <v>NIE</v>
      </c>
    </row>
    <row r="1154" customFormat="false" ht="15" hidden="false" customHeight="false" outlineLevel="0" collapsed="false">
      <c r="A1154" s="5" t="s">
        <v>369</v>
      </c>
      <c r="B1154" s="5" t="s">
        <v>41</v>
      </c>
      <c r="C1154" s="5" t="n">
        <v>2019</v>
      </c>
      <c r="D1154" s="5" t="s">
        <v>42</v>
      </c>
      <c r="E1154" s="5" t="s">
        <v>55</v>
      </c>
      <c r="F1154" s="5" t="s">
        <v>39</v>
      </c>
      <c r="G1154" s="6" t="n">
        <v>700</v>
      </c>
      <c r="H1154" s="6" t="n">
        <v>161</v>
      </c>
      <c r="I1154" s="7" t="n">
        <f aca="false">(G1154-H1154)/G1154</f>
        <v>0.77</v>
      </c>
      <c r="J1154" s="15" t="n">
        <v>0.357</v>
      </c>
      <c r="K1154" s="11" t="str">
        <f aca="false">IF(I1154&lt;J1154,"TAK","NIE")</f>
        <v>NIE</v>
      </c>
    </row>
    <row r="1155" customFormat="false" ht="15" hidden="false" customHeight="false" outlineLevel="0" collapsed="false">
      <c r="A1155" s="5" t="s">
        <v>370</v>
      </c>
      <c r="B1155" s="5" t="s">
        <v>41</v>
      </c>
      <c r="C1155" s="5" t="n">
        <v>2019</v>
      </c>
      <c r="D1155" s="5" t="s">
        <v>42</v>
      </c>
      <c r="E1155" s="5" t="s">
        <v>55</v>
      </c>
      <c r="F1155" s="5" t="s">
        <v>39</v>
      </c>
      <c r="G1155" s="6" t="n">
        <v>700</v>
      </c>
      <c r="H1155" s="6" t="n">
        <v>175</v>
      </c>
      <c r="I1155" s="7" t="n">
        <f aca="false">(G1155-H1155)/G1155</f>
        <v>0.75</v>
      </c>
      <c r="J1155" s="15" t="n">
        <v>0.357</v>
      </c>
      <c r="K1155" s="11" t="str">
        <f aca="false">IF(I1155&lt;J1155,"TAK","NIE")</f>
        <v>NIE</v>
      </c>
    </row>
    <row r="1156" customFormat="false" ht="15" hidden="false" customHeight="false" outlineLevel="0" collapsed="false">
      <c r="A1156" s="5" t="s">
        <v>371</v>
      </c>
      <c r="B1156" s="5" t="s">
        <v>41</v>
      </c>
      <c r="C1156" s="5" t="n">
        <v>2019</v>
      </c>
      <c r="D1156" s="5" t="s">
        <v>42</v>
      </c>
      <c r="E1156" s="5" t="s">
        <v>55</v>
      </c>
      <c r="F1156" s="5" t="s">
        <v>39</v>
      </c>
      <c r="G1156" s="6" t="n">
        <v>700</v>
      </c>
      <c r="H1156" s="6" t="n">
        <v>267</v>
      </c>
      <c r="I1156" s="7" t="n">
        <f aca="false">(G1156-H1156)/G1156</f>
        <v>0.618571428571429</v>
      </c>
      <c r="J1156" s="15" t="n">
        <v>0.357</v>
      </c>
      <c r="K1156" s="11" t="str">
        <f aca="false">IF(I1156&lt;J1156,"TAK","NIE")</f>
        <v>NIE</v>
      </c>
    </row>
    <row r="1157" customFormat="false" ht="15" hidden="false" customHeight="false" outlineLevel="0" collapsed="false">
      <c r="A1157" s="5" t="s">
        <v>372</v>
      </c>
      <c r="B1157" s="5" t="s">
        <v>41</v>
      </c>
      <c r="C1157" s="5" t="n">
        <v>2019</v>
      </c>
      <c r="D1157" s="5" t="s">
        <v>42</v>
      </c>
      <c r="E1157" s="5" t="s">
        <v>55</v>
      </c>
      <c r="F1157" s="5" t="s">
        <v>39</v>
      </c>
      <c r="G1157" s="6" t="n">
        <v>700</v>
      </c>
      <c r="H1157" s="6" t="n">
        <v>242</v>
      </c>
      <c r="I1157" s="7" t="n">
        <f aca="false">(G1157-H1157)/G1157</f>
        <v>0.654285714285714</v>
      </c>
      <c r="J1157" s="15" t="n">
        <v>0.357</v>
      </c>
      <c r="K1157" s="11" t="str">
        <f aca="false">IF(I1157&lt;J1157,"TAK","NIE")</f>
        <v>NIE</v>
      </c>
    </row>
    <row r="1158" customFormat="false" ht="15" hidden="false" customHeight="false" outlineLevel="0" collapsed="false">
      <c r="A1158" s="5" t="s">
        <v>373</v>
      </c>
      <c r="B1158" s="5" t="s">
        <v>41</v>
      </c>
      <c r="C1158" s="5" t="n">
        <v>2019</v>
      </c>
      <c r="D1158" s="5" t="s">
        <v>42</v>
      </c>
      <c r="E1158" s="5" t="s">
        <v>55</v>
      </c>
      <c r="F1158" s="5" t="s">
        <v>39</v>
      </c>
      <c r="G1158" s="6" t="n">
        <v>700</v>
      </c>
      <c r="H1158" s="6" t="n">
        <v>135</v>
      </c>
      <c r="I1158" s="7" t="n">
        <f aca="false">(G1158-H1158)/G1158</f>
        <v>0.807142857142857</v>
      </c>
      <c r="J1158" s="15" t="n">
        <v>0.357</v>
      </c>
      <c r="K1158" s="11" t="str">
        <f aca="false">IF(I1158&lt;J1158,"TAK","NIE")</f>
        <v>NIE</v>
      </c>
    </row>
    <row r="1159" customFormat="false" ht="15" hidden="false" customHeight="false" outlineLevel="0" collapsed="false">
      <c r="A1159" s="5" t="s">
        <v>374</v>
      </c>
      <c r="B1159" s="5" t="s">
        <v>41</v>
      </c>
      <c r="C1159" s="5" t="n">
        <v>2019</v>
      </c>
      <c r="D1159" s="5" t="s">
        <v>42</v>
      </c>
      <c r="E1159" s="5" t="s">
        <v>55</v>
      </c>
      <c r="F1159" s="5" t="s">
        <v>39</v>
      </c>
      <c r="G1159" s="6" t="n">
        <v>700</v>
      </c>
      <c r="H1159" s="6" t="n">
        <v>33</v>
      </c>
      <c r="I1159" s="7" t="n">
        <f aca="false">(G1159-H1159)/G1159</f>
        <v>0.952857142857143</v>
      </c>
      <c r="J1159" s="15" t="n">
        <v>0.357</v>
      </c>
      <c r="K1159" s="11" t="str">
        <f aca="false">IF(I1159&lt;J1159,"TAK","NIE")</f>
        <v>NIE</v>
      </c>
    </row>
    <row r="1160" customFormat="false" ht="15" hidden="false" customHeight="false" outlineLevel="0" collapsed="false">
      <c r="A1160" s="5" t="s">
        <v>376</v>
      </c>
      <c r="B1160" s="5" t="s">
        <v>41</v>
      </c>
      <c r="C1160" s="5" t="n">
        <v>2019</v>
      </c>
      <c r="D1160" s="5" t="s">
        <v>42</v>
      </c>
      <c r="E1160" s="5" t="s">
        <v>55</v>
      </c>
      <c r="F1160" s="5" t="s">
        <v>39</v>
      </c>
      <c r="G1160" s="6" t="n">
        <v>700</v>
      </c>
      <c r="H1160" s="6" t="n">
        <v>177</v>
      </c>
      <c r="I1160" s="7" t="n">
        <f aca="false">(G1160-H1160)/G1160</f>
        <v>0.747142857142857</v>
      </c>
      <c r="J1160" s="15" t="n">
        <v>0.357</v>
      </c>
      <c r="K1160" s="11" t="str">
        <f aca="false">IF(I1160&lt;J1160,"TAK","NIE")</f>
        <v>NIE</v>
      </c>
    </row>
    <row r="1161" customFormat="false" ht="15" hidden="false" customHeight="false" outlineLevel="0" collapsed="false">
      <c r="A1161" s="5" t="s">
        <v>377</v>
      </c>
      <c r="B1161" s="5" t="s">
        <v>41</v>
      </c>
      <c r="C1161" s="5" t="n">
        <v>2019</v>
      </c>
      <c r="D1161" s="5" t="s">
        <v>42</v>
      </c>
      <c r="E1161" s="5" t="s">
        <v>55</v>
      </c>
      <c r="F1161" s="5" t="s">
        <v>39</v>
      </c>
      <c r="G1161" s="6" t="n">
        <v>700</v>
      </c>
      <c r="H1161" s="6" t="n">
        <v>290</v>
      </c>
      <c r="I1161" s="7" t="n">
        <f aca="false">(G1161-H1161)/G1161</f>
        <v>0.585714285714286</v>
      </c>
      <c r="J1161" s="15" t="n">
        <v>0.357</v>
      </c>
      <c r="K1161" s="11" t="str">
        <f aca="false">IF(I1161&lt;J1161,"TAK","NIE")</f>
        <v>NIE</v>
      </c>
    </row>
    <row r="1162" customFormat="false" ht="15" hidden="false" customHeight="false" outlineLevel="0" collapsed="false">
      <c r="A1162" s="5" t="s">
        <v>355</v>
      </c>
      <c r="B1162" s="5" t="s">
        <v>41</v>
      </c>
      <c r="C1162" s="5" t="n">
        <v>2019</v>
      </c>
      <c r="D1162" s="5" t="s">
        <v>42</v>
      </c>
      <c r="E1162" s="5" t="s">
        <v>55</v>
      </c>
      <c r="F1162" s="5" t="s">
        <v>40</v>
      </c>
      <c r="G1162" s="6" t="n">
        <v>286</v>
      </c>
      <c r="H1162" s="6" t="n">
        <v>113</v>
      </c>
      <c r="I1162" s="7" t="n">
        <f aca="false">(G1162-H1162)/G1162</f>
        <v>0.604895104895105</v>
      </c>
      <c r="J1162" s="15" t="n">
        <v>0.2035</v>
      </c>
      <c r="K1162" s="11" t="str">
        <f aca="false">IF(I1162&lt;J1162,"TAK","NIE")</f>
        <v>NIE</v>
      </c>
    </row>
    <row r="1163" customFormat="false" ht="15" hidden="false" customHeight="false" outlineLevel="0" collapsed="false">
      <c r="A1163" s="5" t="s">
        <v>356</v>
      </c>
      <c r="B1163" s="5" t="s">
        <v>41</v>
      </c>
      <c r="C1163" s="5" t="n">
        <v>2019</v>
      </c>
      <c r="D1163" s="5" t="s">
        <v>42</v>
      </c>
      <c r="E1163" s="5" t="s">
        <v>55</v>
      </c>
      <c r="F1163" s="5" t="s">
        <v>40</v>
      </c>
      <c r="G1163" s="6" t="n">
        <v>286</v>
      </c>
      <c r="H1163" s="6" t="n">
        <v>69</v>
      </c>
      <c r="I1163" s="7" t="n">
        <f aca="false">(G1163-H1163)/G1163</f>
        <v>0.758741258741259</v>
      </c>
      <c r="J1163" s="15" t="n">
        <v>0.2035</v>
      </c>
      <c r="K1163" s="11" t="str">
        <f aca="false">IF(I1163&lt;J1163,"TAK","NIE")</f>
        <v>NIE</v>
      </c>
    </row>
    <row r="1164" customFormat="false" ht="15" hidden="false" customHeight="false" outlineLevel="0" collapsed="false">
      <c r="A1164" s="5" t="s">
        <v>358</v>
      </c>
      <c r="B1164" s="5" t="s">
        <v>41</v>
      </c>
      <c r="C1164" s="5" t="n">
        <v>2019</v>
      </c>
      <c r="D1164" s="5" t="s">
        <v>42</v>
      </c>
      <c r="E1164" s="5" t="s">
        <v>55</v>
      </c>
      <c r="F1164" s="5" t="s">
        <v>40</v>
      </c>
      <c r="G1164" s="6" t="n">
        <v>286</v>
      </c>
      <c r="H1164" s="6" t="n">
        <v>145</v>
      </c>
      <c r="I1164" s="7" t="n">
        <f aca="false">(G1164-H1164)/G1164</f>
        <v>0.493006993006993</v>
      </c>
      <c r="J1164" s="15" t="n">
        <v>0.2035</v>
      </c>
      <c r="K1164" s="11" t="str">
        <f aca="false">IF(I1164&lt;J1164,"TAK","NIE")</f>
        <v>NIE</v>
      </c>
    </row>
    <row r="1165" customFormat="false" ht="15" hidden="false" customHeight="false" outlineLevel="0" collapsed="false">
      <c r="A1165" s="5" t="s">
        <v>359</v>
      </c>
      <c r="B1165" s="5" t="s">
        <v>41</v>
      </c>
      <c r="C1165" s="5" t="n">
        <v>2019</v>
      </c>
      <c r="D1165" s="5" t="s">
        <v>42</v>
      </c>
      <c r="E1165" s="5" t="s">
        <v>55</v>
      </c>
      <c r="F1165" s="5" t="s">
        <v>40</v>
      </c>
      <c r="G1165" s="6" t="n">
        <v>286</v>
      </c>
      <c r="H1165" s="6" t="n">
        <v>106</v>
      </c>
      <c r="I1165" s="7" t="n">
        <f aca="false">(G1165-H1165)/G1165</f>
        <v>0.629370629370629</v>
      </c>
      <c r="J1165" s="15" t="n">
        <v>0.2035</v>
      </c>
      <c r="K1165" s="11" t="str">
        <f aca="false">IF(I1165&lt;J1165,"TAK","NIE")</f>
        <v>NIE</v>
      </c>
    </row>
    <row r="1166" customFormat="false" ht="15" hidden="false" customHeight="false" outlineLevel="0" collapsed="false">
      <c r="A1166" s="5" t="s">
        <v>360</v>
      </c>
      <c r="B1166" s="5" t="s">
        <v>41</v>
      </c>
      <c r="C1166" s="5" t="n">
        <v>2019</v>
      </c>
      <c r="D1166" s="5" t="s">
        <v>42</v>
      </c>
      <c r="E1166" s="5" t="s">
        <v>55</v>
      </c>
      <c r="F1166" s="5" t="s">
        <v>40</v>
      </c>
      <c r="G1166" s="6" t="n">
        <v>286</v>
      </c>
      <c r="H1166" s="6" t="n">
        <v>151</v>
      </c>
      <c r="I1166" s="7" t="n">
        <f aca="false">(G1166-H1166)/G1166</f>
        <v>0.472027972027972</v>
      </c>
      <c r="J1166" s="15" t="n">
        <v>0.2035</v>
      </c>
      <c r="K1166" s="11" t="str">
        <f aca="false">IF(I1166&lt;J1166,"TAK","NIE")</f>
        <v>NIE</v>
      </c>
    </row>
    <row r="1167" customFormat="false" ht="15" hidden="false" customHeight="false" outlineLevel="0" collapsed="false">
      <c r="A1167" s="5" t="s">
        <v>361</v>
      </c>
      <c r="B1167" s="5" t="s">
        <v>41</v>
      </c>
      <c r="C1167" s="5" t="n">
        <v>2019</v>
      </c>
      <c r="D1167" s="5" t="s">
        <v>42</v>
      </c>
      <c r="E1167" s="5" t="s">
        <v>55</v>
      </c>
      <c r="F1167" s="5" t="s">
        <v>40</v>
      </c>
      <c r="G1167" s="6" t="n">
        <v>286</v>
      </c>
      <c r="H1167" s="6" t="n">
        <v>81</v>
      </c>
      <c r="I1167" s="7" t="n">
        <f aca="false">(G1167-H1167)/G1167</f>
        <v>0.716783216783217</v>
      </c>
      <c r="J1167" s="15" t="n">
        <v>0.2035</v>
      </c>
      <c r="K1167" s="11" t="str">
        <f aca="false">IF(I1167&lt;J1167,"TAK","NIE")</f>
        <v>NIE</v>
      </c>
    </row>
    <row r="1168" customFormat="false" ht="15" hidden="false" customHeight="false" outlineLevel="0" collapsed="false">
      <c r="A1168" s="5" t="s">
        <v>362</v>
      </c>
      <c r="B1168" s="5" t="s">
        <v>41</v>
      </c>
      <c r="C1168" s="5" t="n">
        <v>2019</v>
      </c>
      <c r="D1168" s="5" t="s">
        <v>42</v>
      </c>
      <c r="E1168" s="5" t="s">
        <v>55</v>
      </c>
      <c r="F1168" s="5" t="s">
        <v>40</v>
      </c>
      <c r="G1168" s="6" t="n">
        <v>286</v>
      </c>
      <c r="H1168" s="6" t="n">
        <v>151</v>
      </c>
      <c r="I1168" s="7" t="n">
        <f aca="false">(G1168-H1168)/G1168</f>
        <v>0.472027972027972</v>
      </c>
      <c r="J1168" s="15" t="n">
        <v>0.2035</v>
      </c>
      <c r="K1168" s="11" t="str">
        <f aca="false">IF(I1168&lt;J1168,"TAK","NIE")</f>
        <v>NIE</v>
      </c>
    </row>
    <row r="1169" customFormat="false" ht="15" hidden="false" customHeight="false" outlineLevel="0" collapsed="false">
      <c r="A1169" s="5" t="s">
        <v>363</v>
      </c>
      <c r="B1169" s="5" t="s">
        <v>41</v>
      </c>
      <c r="C1169" s="5" t="n">
        <v>2019</v>
      </c>
      <c r="D1169" s="5" t="s">
        <v>42</v>
      </c>
      <c r="E1169" s="5" t="s">
        <v>55</v>
      </c>
      <c r="F1169" s="5" t="s">
        <v>40</v>
      </c>
      <c r="G1169" s="6" t="n">
        <v>286</v>
      </c>
      <c r="H1169" s="6" t="n">
        <v>135</v>
      </c>
      <c r="I1169" s="7" t="n">
        <f aca="false">(G1169-H1169)/G1169</f>
        <v>0.527972027972028</v>
      </c>
      <c r="J1169" s="15" t="n">
        <v>0.2035</v>
      </c>
      <c r="K1169" s="11" t="str">
        <f aca="false">IF(I1169&lt;J1169,"TAK","NIE")</f>
        <v>NIE</v>
      </c>
    </row>
    <row r="1170" customFormat="false" ht="15" hidden="false" customHeight="false" outlineLevel="0" collapsed="false">
      <c r="A1170" s="5" t="s">
        <v>364</v>
      </c>
      <c r="B1170" s="5" t="s">
        <v>41</v>
      </c>
      <c r="C1170" s="5" t="n">
        <v>2019</v>
      </c>
      <c r="D1170" s="5" t="s">
        <v>42</v>
      </c>
      <c r="E1170" s="5" t="s">
        <v>55</v>
      </c>
      <c r="F1170" s="5" t="s">
        <v>40</v>
      </c>
      <c r="G1170" s="6" t="n">
        <v>286</v>
      </c>
      <c r="H1170" s="6" t="n">
        <v>173</v>
      </c>
      <c r="I1170" s="7" t="n">
        <f aca="false">(G1170-H1170)/G1170</f>
        <v>0.395104895104895</v>
      </c>
      <c r="J1170" s="15" t="n">
        <v>0.2035</v>
      </c>
      <c r="K1170" s="11" t="str">
        <f aca="false">IF(I1170&lt;J1170,"TAK","NIE")</f>
        <v>NIE</v>
      </c>
    </row>
    <row r="1171" customFormat="false" ht="15" hidden="false" customHeight="false" outlineLevel="0" collapsed="false">
      <c r="A1171" s="5" t="s">
        <v>365</v>
      </c>
      <c r="B1171" s="5" t="s">
        <v>41</v>
      </c>
      <c r="C1171" s="5" t="n">
        <v>2019</v>
      </c>
      <c r="D1171" s="5" t="s">
        <v>42</v>
      </c>
      <c r="E1171" s="5" t="s">
        <v>55</v>
      </c>
      <c r="F1171" s="5" t="s">
        <v>40</v>
      </c>
      <c r="G1171" s="6" t="n">
        <v>286</v>
      </c>
      <c r="H1171" s="6" t="n">
        <v>79</v>
      </c>
      <c r="I1171" s="7" t="n">
        <f aca="false">(G1171-H1171)/G1171</f>
        <v>0.723776223776224</v>
      </c>
      <c r="J1171" s="15" t="n">
        <v>0.2035</v>
      </c>
      <c r="K1171" s="11" t="str">
        <f aca="false">IF(I1171&lt;J1171,"TAK","NIE")</f>
        <v>NIE</v>
      </c>
    </row>
    <row r="1172" customFormat="false" ht="15" hidden="false" customHeight="false" outlineLevel="0" collapsed="false">
      <c r="A1172" s="5" t="s">
        <v>367</v>
      </c>
      <c r="B1172" s="5" t="s">
        <v>41</v>
      </c>
      <c r="C1172" s="5" t="n">
        <v>2019</v>
      </c>
      <c r="D1172" s="5" t="s">
        <v>42</v>
      </c>
      <c r="E1172" s="5" t="s">
        <v>55</v>
      </c>
      <c r="F1172" s="5" t="s">
        <v>40</v>
      </c>
      <c r="G1172" s="6" t="n">
        <v>286</v>
      </c>
      <c r="H1172" s="6" t="n">
        <v>151</v>
      </c>
      <c r="I1172" s="7" t="n">
        <f aca="false">(G1172-H1172)/G1172</f>
        <v>0.472027972027972</v>
      </c>
      <c r="J1172" s="15" t="n">
        <v>0.2035</v>
      </c>
      <c r="K1172" s="11" t="str">
        <f aca="false">IF(I1172&lt;J1172,"TAK","NIE")</f>
        <v>NIE</v>
      </c>
    </row>
    <row r="1173" customFormat="false" ht="15" hidden="false" customHeight="false" outlineLevel="0" collapsed="false">
      <c r="A1173" s="5" t="s">
        <v>368</v>
      </c>
      <c r="B1173" s="5" t="s">
        <v>41</v>
      </c>
      <c r="C1173" s="5" t="n">
        <v>2019</v>
      </c>
      <c r="D1173" s="5" t="s">
        <v>42</v>
      </c>
      <c r="E1173" s="5" t="s">
        <v>55</v>
      </c>
      <c r="F1173" s="5" t="s">
        <v>40</v>
      </c>
      <c r="G1173" s="6" t="n">
        <v>286</v>
      </c>
      <c r="H1173" s="6" t="n">
        <v>77</v>
      </c>
      <c r="I1173" s="7" t="n">
        <f aca="false">(G1173-H1173)/G1173</f>
        <v>0.730769230769231</v>
      </c>
      <c r="J1173" s="15" t="n">
        <v>0.2035</v>
      </c>
      <c r="K1173" s="11" t="str">
        <f aca="false">IF(I1173&lt;J1173,"TAK","NIE")</f>
        <v>NIE</v>
      </c>
    </row>
    <row r="1174" customFormat="false" ht="15" hidden="false" customHeight="false" outlineLevel="0" collapsed="false">
      <c r="A1174" s="5" t="s">
        <v>369</v>
      </c>
      <c r="B1174" s="5" t="s">
        <v>41</v>
      </c>
      <c r="C1174" s="5" t="n">
        <v>2019</v>
      </c>
      <c r="D1174" s="5" t="s">
        <v>42</v>
      </c>
      <c r="E1174" s="5" t="s">
        <v>55</v>
      </c>
      <c r="F1174" s="5" t="s">
        <v>40</v>
      </c>
      <c r="G1174" s="6" t="n">
        <v>286</v>
      </c>
      <c r="H1174" s="6" t="n">
        <v>162</v>
      </c>
      <c r="I1174" s="7" t="n">
        <f aca="false">(G1174-H1174)/G1174</f>
        <v>0.433566433566434</v>
      </c>
      <c r="J1174" s="15" t="n">
        <v>0.2035</v>
      </c>
      <c r="K1174" s="11" t="str">
        <f aca="false">IF(I1174&lt;J1174,"TAK","NIE")</f>
        <v>NIE</v>
      </c>
    </row>
    <row r="1175" customFormat="false" ht="15" hidden="false" customHeight="false" outlineLevel="0" collapsed="false">
      <c r="A1175" s="5" t="s">
        <v>370</v>
      </c>
      <c r="B1175" s="5" t="s">
        <v>41</v>
      </c>
      <c r="C1175" s="5" t="n">
        <v>2019</v>
      </c>
      <c r="D1175" s="5" t="s">
        <v>42</v>
      </c>
      <c r="E1175" s="5" t="s">
        <v>55</v>
      </c>
      <c r="F1175" s="5" t="s">
        <v>40</v>
      </c>
      <c r="G1175" s="6" t="n">
        <v>286</v>
      </c>
      <c r="H1175" s="6" t="n">
        <v>115</v>
      </c>
      <c r="I1175" s="7" t="n">
        <f aca="false">(G1175-H1175)/G1175</f>
        <v>0.597902097902098</v>
      </c>
      <c r="J1175" s="15" t="n">
        <v>0.2035</v>
      </c>
      <c r="K1175" s="11" t="str">
        <f aca="false">IF(I1175&lt;J1175,"TAK","NIE")</f>
        <v>NIE</v>
      </c>
    </row>
    <row r="1176" customFormat="false" ht="15" hidden="false" customHeight="false" outlineLevel="0" collapsed="false">
      <c r="A1176" s="5" t="s">
        <v>371</v>
      </c>
      <c r="B1176" s="5" t="s">
        <v>41</v>
      </c>
      <c r="C1176" s="5" t="n">
        <v>2019</v>
      </c>
      <c r="D1176" s="5" t="s">
        <v>42</v>
      </c>
      <c r="E1176" s="5" t="s">
        <v>55</v>
      </c>
      <c r="F1176" s="5" t="s">
        <v>40</v>
      </c>
      <c r="G1176" s="6" t="n">
        <v>286</v>
      </c>
      <c r="H1176" s="6" t="n">
        <v>124</v>
      </c>
      <c r="I1176" s="7" t="n">
        <f aca="false">(G1176-H1176)/G1176</f>
        <v>0.566433566433567</v>
      </c>
      <c r="J1176" s="15" t="n">
        <v>0.2035</v>
      </c>
      <c r="K1176" s="11" t="str">
        <f aca="false">IF(I1176&lt;J1176,"TAK","NIE")</f>
        <v>NIE</v>
      </c>
    </row>
    <row r="1177" customFormat="false" ht="15" hidden="false" customHeight="false" outlineLevel="0" collapsed="false">
      <c r="A1177" s="5" t="s">
        <v>372</v>
      </c>
      <c r="B1177" s="5" t="s">
        <v>41</v>
      </c>
      <c r="C1177" s="5" t="n">
        <v>2019</v>
      </c>
      <c r="D1177" s="5" t="s">
        <v>42</v>
      </c>
      <c r="E1177" s="5" t="s">
        <v>55</v>
      </c>
      <c r="F1177" s="5" t="s">
        <v>40</v>
      </c>
      <c r="G1177" s="6" t="n">
        <v>286</v>
      </c>
      <c r="H1177" s="6" t="n">
        <v>110</v>
      </c>
      <c r="I1177" s="7" t="n">
        <f aca="false">(G1177-H1177)/G1177</f>
        <v>0.615384615384615</v>
      </c>
      <c r="J1177" s="15" t="n">
        <v>0.2035</v>
      </c>
      <c r="K1177" s="11" t="str">
        <f aca="false">IF(I1177&lt;J1177,"TAK","NIE")</f>
        <v>NIE</v>
      </c>
    </row>
    <row r="1178" customFormat="false" ht="15" hidden="false" customHeight="false" outlineLevel="0" collapsed="false">
      <c r="A1178" s="5" t="s">
        <v>373</v>
      </c>
      <c r="B1178" s="5" t="s">
        <v>41</v>
      </c>
      <c r="C1178" s="5" t="n">
        <v>2019</v>
      </c>
      <c r="D1178" s="5" t="s">
        <v>42</v>
      </c>
      <c r="E1178" s="5" t="s">
        <v>55</v>
      </c>
      <c r="F1178" s="5" t="s">
        <v>40</v>
      </c>
      <c r="G1178" s="6" t="n">
        <v>286</v>
      </c>
      <c r="H1178" s="6" t="n">
        <v>109</v>
      </c>
      <c r="I1178" s="7" t="n">
        <f aca="false">(G1178-H1178)/G1178</f>
        <v>0.618881118881119</v>
      </c>
      <c r="J1178" s="15" t="n">
        <v>0.2035</v>
      </c>
      <c r="K1178" s="11" t="str">
        <f aca="false">IF(I1178&lt;J1178,"TAK","NIE")</f>
        <v>NIE</v>
      </c>
    </row>
    <row r="1179" customFormat="false" ht="15" hidden="false" customHeight="false" outlineLevel="0" collapsed="false">
      <c r="A1179" s="5" t="s">
        <v>374</v>
      </c>
      <c r="B1179" s="5" t="s">
        <v>41</v>
      </c>
      <c r="C1179" s="5" t="n">
        <v>2019</v>
      </c>
      <c r="D1179" s="5" t="s">
        <v>42</v>
      </c>
      <c r="E1179" s="5" t="s">
        <v>55</v>
      </c>
      <c r="F1179" s="5" t="s">
        <v>40</v>
      </c>
      <c r="G1179" s="6" t="n">
        <v>286</v>
      </c>
      <c r="H1179" s="6" t="n">
        <v>30</v>
      </c>
      <c r="I1179" s="7" t="n">
        <f aca="false">(G1179-H1179)/G1179</f>
        <v>0.895104895104895</v>
      </c>
      <c r="J1179" s="15" t="n">
        <v>0.2035</v>
      </c>
      <c r="K1179" s="11" t="str">
        <f aca="false">IF(I1179&lt;J1179,"TAK","NIE")</f>
        <v>NIE</v>
      </c>
    </row>
    <row r="1180" customFormat="false" ht="15" hidden="false" customHeight="false" outlineLevel="0" collapsed="false">
      <c r="A1180" s="5" t="s">
        <v>376</v>
      </c>
      <c r="B1180" s="5" t="s">
        <v>41</v>
      </c>
      <c r="C1180" s="5" t="n">
        <v>2019</v>
      </c>
      <c r="D1180" s="5" t="s">
        <v>42</v>
      </c>
      <c r="E1180" s="5" t="s">
        <v>55</v>
      </c>
      <c r="F1180" s="5" t="s">
        <v>40</v>
      </c>
      <c r="G1180" s="6" t="n">
        <v>286</v>
      </c>
      <c r="H1180" s="6" t="n">
        <v>138</v>
      </c>
      <c r="I1180" s="7" t="n">
        <f aca="false">(G1180-H1180)/G1180</f>
        <v>0.517482517482518</v>
      </c>
      <c r="J1180" s="15" t="n">
        <v>0.2035</v>
      </c>
      <c r="K1180" s="11" t="str">
        <f aca="false">IF(I1180&lt;J1180,"TAK","NIE")</f>
        <v>NIE</v>
      </c>
    </row>
    <row r="1181" customFormat="false" ht="15" hidden="false" customHeight="false" outlineLevel="0" collapsed="false">
      <c r="A1181" s="5" t="s">
        <v>377</v>
      </c>
      <c r="B1181" s="5" t="s">
        <v>41</v>
      </c>
      <c r="C1181" s="5" t="n">
        <v>2019</v>
      </c>
      <c r="D1181" s="5" t="s">
        <v>42</v>
      </c>
      <c r="E1181" s="5" t="s">
        <v>55</v>
      </c>
      <c r="F1181" s="5" t="s">
        <v>40</v>
      </c>
      <c r="G1181" s="6" t="n">
        <v>286</v>
      </c>
      <c r="H1181" s="6" t="n">
        <v>169</v>
      </c>
      <c r="I1181" s="7" t="n">
        <f aca="false">(G1181-H1181)/G1181</f>
        <v>0.409090909090909</v>
      </c>
      <c r="J1181" s="15" t="n">
        <v>0.2035</v>
      </c>
      <c r="K1181" s="11" t="str">
        <f aca="false">IF(I1181&lt;J1181,"TAK","NIE")</f>
        <v>NIE</v>
      </c>
    </row>
    <row r="1182" customFormat="false" ht="15" hidden="false" customHeight="false" outlineLevel="0" collapsed="false">
      <c r="A1182" s="5" t="s">
        <v>378</v>
      </c>
      <c r="B1182" s="5" t="s">
        <v>72</v>
      </c>
      <c r="C1182" s="5" t="n">
        <v>2020</v>
      </c>
      <c r="D1182" s="5" t="s">
        <v>44</v>
      </c>
      <c r="E1182" s="5" t="s">
        <v>38</v>
      </c>
      <c r="F1182" s="5" t="s">
        <v>39</v>
      </c>
      <c r="G1182" s="6" t="n">
        <v>505</v>
      </c>
      <c r="H1182" s="6" t="n">
        <v>32</v>
      </c>
      <c r="I1182" s="7" t="n">
        <f aca="false">(G1182-H1182)/G1182</f>
        <v>0.936633663366337</v>
      </c>
      <c r="J1182" s="15" t="n">
        <v>0.2227</v>
      </c>
      <c r="K1182" s="11" t="str">
        <f aca="false">IF(I1182&lt;J1182,"TAK","NIE")</f>
        <v>NIE</v>
      </c>
    </row>
    <row r="1183" customFormat="false" ht="15" hidden="false" customHeight="false" outlineLevel="0" collapsed="false">
      <c r="A1183" s="5" t="s">
        <v>379</v>
      </c>
      <c r="B1183" s="5" t="s">
        <v>72</v>
      </c>
      <c r="C1183" s="5" t="n">
        <v>2020</v>
      </c>
      <c r="D1183" s="5" t="s">
        <v>44</v>
      </c>
      <c r="E1183" s="5" t="s">
        <v>38</v>
      </c>
      <c r="F1183" s="5" t="s">
        <v>39</v>
      </c>
      <c r="G1183" s="6" t="n">
        <v>505</v>
      </c>
      <c r="H1183" s="6" t="n">
        <v>225</v>
      </c>
      <c r="I1183" s="7" t="n">
        <f aca="false">(G1183-H1183)/G1183</f>
        <v>0.554455445544555</v>
      </c>
      <c r="J1183" s="15" t="n">
        <v>0.2227</v>
      </c>
      <c r="K1183" s="11" t="str">
        <f aca="false">IF(I1183&lt;J1183,"TAK","NIE")</f>
        <v>NIE</v>
      </c>
    </row>
    <row r="1184" customFormat="false" ht="15" hidden="false" customHeight="false" outlineLevel="0" collapsed="false">
      <c r="A1184" s="5" t="s">
        <v>380</v>
      </c>
      <c r="B1184" s="5" t="s">
        <v>72</v>
      </c>
      <c r="C1184" s="5" t="n">
        <v>2020</v>
      </c>
      <c r="D1184" s="5" t="s">
        <v>44</v>
      </c>
      <c r="E1184" s="5" t="s">
        <v>38</v>
      </c>
      <c r="F1184" s="5" t="s">
        <v>39</v>
      </c>
      <c r="G1184" s="6" t="n">
        <v>505</v>
      </c>
      <c r="H1184" s="6" t="n">
        <v>188</v>
      </c>
      <c r="I1184" s="7" t="n">
        <f aca="false">(G1184-H1184)/G1184</f>
        <v>0.627722772277228</v>
      </c>
      <c r="J1184" s="15" t="n">
        <v>0.2227</v>
      </c>
      <c r="K1184" s="11" t="str">
        <f aca="false">IF(I1184&lt;J1184,"TAK","NIE")</f>
        <v>NIE</v>
      </c>
    </row>
    <row r="1185" customFormat="false" ht="15" hidden="false" customHeight="false" outlineLevel="0" collapsed="false">
      <c r="A1185" s="5" t="s">
        <v>381</v>
      </c>
      <c r="B1185" s="5" t="s">
        <v>72</v>
      </c>
      <c r="C1185" s="5" t="n">
        <v>2020</v>
      </c>
      <c r="D1185" s="5" t="s">
        <v>44</v>
      </c>
      <c r="E1185" s="5" t="s">
        <v>38</v>
      </c>
      <c r="F1185" s="5" t="s">
        <v>39</v>
      </c>
      <c r="G1185" s="6" t="n">
        <v>505</v>
      </c>
      <c r="H1185" s="6" t="n">
        <v>95</v>
      </c>
      <c r="I1185" s="7" t="n">
        <f aca="false">(G1185-H1185)/G1185</f>
        <v>0.811881188118812</v>
      </c>
      <c r="J1185" s="15" t="n">
        <v>0.2227</v>
      </c>
      <c r="K1185" s="11" t="str">
        <f aca="false">IF(I1185&lt;J1185,"TAK","NIE")</f>
        <v>NIE</v>
      </c>
    </row>
    <row r="1186" customFormat="false" ht="15" hidden="false" customHeight="false" outlineLevel="0" collapsed="false">
      <c r="A1186" s="5" t="s">
        <v>382</v>
      </c>
      <c r="B1186" s="5" t="s">
        <v>72</v>
      </c>
      <c r="C1186" s="5" t="n">
        <v>2020</v>
      </c>
      <c r="D1186" s="5" t="s">
        <v>44</v>
      </c>
      <c r="E1186" s="5" t="s">
        <v>38</v>
      </c>
      <c r="F1186" s="5" t="s">
        <v>39</v>
      </c>
      <c r="G1186" s="6" t="n">
        <v>505</v>
      </c>
      <c r="H1186" s="6" t="n">
        <v>72</v>
      </c>
      <c r="I1186" s="7" t="n">
        <f aca="false">(G1186-H1186)/G1186</f>
        <v>0.857425742574257</v>
      </c>
      <c r="J1186" s="15" t="n">
        <v>0.2227</v>
      </c>
      <c r="K1186" s="11" t="str">
        <f aca="false">IF(I1186&lt;J1186,"TAK","NIE")</f>
        <v>NIE</v>
      </c>
    </row>
    <row r="1187" customFormat="false" ht="15" hidden="false" customHeight="false" outlineLevel="0" collapsed="false">
      <c r="A1187" s="5" t="s">
        <v>383</v>
      </c>
      <c r="B1187" s="5" t="s">
        <v>72</v>
      </c>
      <c r="C1187" s="5" t="n">
        <v>2020</v>
      </c>
      <c r="D1187" s="5" t="s">
        <v>44</v>
      </c>
      <c r="E1187" s="5" t="s">
        <v>38</v>
      </c>
      <c r="F1187" s="5" t="s">
        <v>39</v>
      </c>
      <c r="G1187" s="6" t="n">
        <v>505</v>
      </c>
      <c r="H1187" s="6" t="n">
        <v>115</v>
      </c>
      <c r="I1187" s="7" t="n">
        <f aca="false">(G1187-H1187)/G1187</f>
        <v>0.772277227722772</v>
      </c>
      <c r="J1187" s="15" t="n">
        <v>0.2227</v>
      </c>
      <c r="K1187" s="11" t="str">
        <f aca="false">IF(I1187&lt;J1187,"TAK","NIE")</f>
        <v>NIE</v>
      </c>
    </row>
    <row r="1188" customFormat="false" ht="15" hidden="false" customHeight="false" outlineLevel="0" collapsed="false">
      <c r="A1188" s="5" t="s">
        <v>384</v>
      </c>
      <c r="B1188" s="5" t="s">
        <v>72</v>
      </c>
      <c r="C1188" s="5" t="n">
        <v>2020</v>
      </c>
      <c r="D1188" s="5" t="s">
        <v>44</v>
      </c>
      <c r="E1188" s="5" t="s">
        <v>38</v>
      </c>
      <c r="F1188" s="5" t="s">
        <v>39</v>
      </c>
      <c r="G1188" s="6" t="n">
        <v>505</v>
      </c>
      <c r="H1188" s="6" t="n">
        <v>99</v>
      </c>
      <c r="I1188" s="7" t="n">
        <f aca="false">(G1188-H1188)/G1188</f>
        <v>0.803960396039604</v>
      </c>
      <c r="J1188" s="15" t="n">
        <v>0.2227</v>
      </c>
      <c r="K1188" s="11" t="str">
        <f aca="false">IF(I1188&lt;J1188,"TAK","NIE")</f>
        <v>NIE</v>
      </c>
    </row>
    <row r="1189" customFormat="false" ht="15" hidden="false" customHeight="false" outlineLevel="0" collapsed="false">
      <c r="A1189" s="5" t="s">
        <v>385</v>
      </c>
      <c r="B1189" s="5" t="s">
        <v>72</v>
      </c>
      <c r="C1189" s="5" t="n">
        <v>2020</v>
      </c>
      <c r="D1189" s="5" t="s">
        <v>44</v>
      </c>
      <c r="E1189" s="5" t="s">
        <v>38</v>
      </c>
      <c r="F1189" s="5" t="s">
        <v>39</v>
      </c>
      <c r="G1189" s="6" t="n">
        <v>505</v>
      </c>
      <c r="H1189" s="6" t="n">
        <v>3</v>
      </c>
      <c r="I1189" s="7" t="n">
        <f aca="false">(G1189-H1189)/G1189</f>
        <v>0.994059405940594</v>
      </c>
      <c r="J1189" s="15" t="n">
        <v>0.2227</v>
      </c>
      <c r="K1189" s="11" t="str">
        <f aca="false">IF(I1189&lt;J1189,"TAK","NIE")</f>
        <v>NIE</v>
      </c>
    </row>
    <row r="1190" customFormat="false" ht="15" hidden="false" customHeight="false" outlineLevel="0" collapsed="false">
      <c r="A1190" s="5" t="s">
        <v>386</v>
      </c>
      <c r="B1190" s="5" t="s">
        <v>72</v>
      </c>
      <c r="C1190" s="5" t="n">
        <v>2020</v>
      </c>
      <c r="D1190" s="5" t="s">
        <v>44</v>
      </c>
      <c r="E1190" s="5" t="s">
        <v>38</v>
      </c>
      <c r="F1190" s="5" t="s">
        <v>39</v>
      </c>
      <c r="G1190" s="6" t="n">
        <v>505</v>
      </c>
      <c r="H1190" s="6" t="n">
        <v>40</v>
      </c>
      <c r="I1190" s="7" t="n">
        <f aca="false">(G1190-H1190)/G1190</f>
        <v>0.920792079207921</v>
      </c>
      <c r="J1190" s="15" t="n">
        <v>0.2227</v>
      </c>
      <c r="K1190" s="11" t="str">
        <f aca="false">IF(I1190&lt;J1190,"TAK","NIE")</f>
        <v>NIE</v>
      </c>
    </row>
    <row r="1191" customFormat="false" ht="15" hidden="false" customHeight="false" outlineLevel="0" collapsed="false">
      <c r="A1191" s="5" t="s">
        <v>387</v>
      </c>
      <c r="B1191" s="5" t="s">
        <v>72</v>
      </c>
      <c r="C1191" s="5" t="n">
        <v>2020</v>
      </c>
      <c r="D1191" s="5" t="s">
        <v>44</v>
      </c>
      <c r="E1191" s="5" t="s">
        <v>38</v>
      </c>
      <c r="F1191" s="5" t="s">
        <v>39</v>
      </c>
      <c r="G1191" s="6" t="n">
        <v>505</v>
      </c>
      <c r="H1191" s="6" t="n">
        <v>38</v>
      </c>
      <c r="I1191" s="7" t="n">
        <f aca="false">(G1191-H1191)/G1191</f>
        <v>0.924752475247525</v>
      </c>
      <c r="J1191" s="15" t="n">
        <v>0.2227</v>
      </c>
      <c r="K1191" s="11" t="str">
        <f aca="false">IF(I1191&lt;J1191,"TAK","NIE")</f>
        <v>NIE</v>
      </c>
    </row>
    <row r="1192" customFormat="false" ht="15" hidden="false" customHeight="false" outlineLevel="0" collapsed="false">
      <c r="A1192" s="5" t="s">
        <v>388</v>
      </c>
      <c r="B1192" s="5" t="s">
        <v>72</v>
      </c>
      <c r="C1192" s="5" t="n">
        <v>2020</v>
      </c>
      <c r="D1192" s="5" t="s">
        <v>44</v>
      </c>
      <c r="E1192" s="5" t="s">
        <v>38</v>
      </c>
      <c r="F1192" s="5" t="s">
        <v>39</v>
      </c>
      <c r="G1192" s="6" t="n">
        <v>505</v>
      </c>
      <c r="H1192" s="6" t="n">
        <v>204</v>
      </c>
      <c r="I1192" s="7" t="n">
        <f aca="false">(G1192-H1192)/G1192</f>
        <v>0.596039603960396</v>
      </c>
      <c r="J1192" s="15" t="n">
        <v>0.2227</v>
      </c>
      <c r="K1192" s="11" t="str">
        <f aca="false">IF(I1192&lt;J1192,"TAK","NIE")</f>
        <v>NIE</v>
      </c>
    </row>
    <row r="1193" customFormat="false" ht="15" hidden="false" customHeight="false" outlineLevel="0" collapsed="false">
      <c r="A1193" s="5" t="s">
        <v>389</v>
      </c>
      <c r="B1193" s="5" t="s">
        <v>72</v>
      </c>
      <c r="C1193" s="5" t="n">
        <v>2020</v>
      </c>
      <c r="D1193" s="5" t="s">
        <v>44</v>
      </c>
      <c r="E1193" s="5" t="s">
        <v>38</v>
      </c>
      <c r="F1193" s="5" t="s">
        <v>39</v>
      </c>
      <c r="G1193" s="6" t="n">
        <v>505</v>
      </c>
      <c r="H1193" s="6" t="n">
        <v>175</v>
      </c>
      <c r="I1193" s="7" t="n">
        <f aca="false">(G1193-H1193)/G1193</f>
        <v>0.653465346534654</v>
      </c>
      <c r="J1193" s="15" t="n">
        <v>0.2227</v>
      </c>
      <c r="K1193" s="11" t="str">
        <f aca="false">IF(I1193&lt;J1193,"TAK","NIE")</f>
        <v>NIE</v>
      </c>
    </row>
    <row r="1194" customFormat="false" ht="15" hidden="false" customHeight="false" outlineLevel="0" collapsed="false">
      <c r="A1194" s="5" t="s">
        <v>390</v>
      </c>
      <c r="B1194" s="5" t="s">
        <v>72</v>
      </c>
      <c r="C1194" s="5" t="n">
        <v>2020</v>
      </c>
      <c r="D1194" s="5" t="s">
        <v>44</v>
      </c>
      <c r="E1194" s="5" t="s">
        <v>38</v>
      </c>
      <c r="F1194" s="5" t="s">
        <v>39</v>
      </c>
      <c r="G1194" s="6" t="n">
        <v>505</v>
      </c>
      <c r="H1194" s="6" t="n">
        <v>336</v>
      </c>
      <c r="I1194" s="7" t="n">
        <f aca="false">(G1194-H1194)/G1194</f>
        <v>0.334653465346535</v>
      </c>
      <c r="J1194" s="15" t="n">
        <v>0.2227</v>
      </c>
      <c r="K1194" s="11" t="str">
        <f aca="false">IF(I1194&lt;J1194,"TAK","NIE")</f>
        <v>NIE</v>
      </c>
    </row>
    <row r="1195" customFormat="false" ht="15" hidden="false" customHeight="false" outlineLevel="0" collapsed="false">
      <c r="A1195" s="5" t="s">
        <v>391</v>
      </c>
      <c r="B1195" s="5" t="s">
        <v>72</v>
      </c>
      <c r="C1195" s="5" t="n">
        <v>2020</v>
      </c>
      <c r="D1195" s="5" t="s">
        <v>44</v>
      </c>
      <c r="E1195" s="5" t="s">
        <v>38</v>
      </c>
      <c r="F1195" s="5" t="s">
        <v>39</v>
      </c>
      <c r="G1195" s="6" t="n">
        <v>505</v>
      </c>
      <c r="H1195" s="6" t="n">
        <v>42</v>
      </c>
      <c r="I1195" s="7" t="n">
        <f aca="false">(G1195-H1195)/G1195</f>
        <v>0.916831683168317</v>
      </c>
      <c r="J1195" s="15" t="n">
        <v>0.2227</v>
      </c>
      <c r="K1195" s="11" t="str">
        <f aca="false">IF(I1195&lt;J1195,"TAK","NIE")</f>
        <v>NIE</v>
      </c>
    </row>
    <row r="1196" customFormat="false" ht="15" hidden="false" customHeight="false" outlineLevel="0" collapsed="false">
      <c r="A1196" s="5" t="s">
        <v>392</v>
      </c>
      <c r="B1196" s="5" t="s">
        <v>72</v>
      </c>
      <c r="C1196" s="5" t="n">
        <v>2020</v>
      </c>
      <c r="D1196" s="5" t="s">
        <v>44</v>
      </c>
      <c r="E1196" s="5" t="s">
        <v>38</v>
      </c>
      <c r="F1196" s="5" t="s">
        <v>39</v>
      </c>
      <c r="G1196" s="6" t="n">
        <v>505</v>
      </c>
      <c r="H1196" s="6" t="n">
        <v>125</v>
      </c>
      <c r="I1196" s="7" t="n">
        <f aca="false">(G1196-H1196)/G1196</f>
        <v>0.752475247524753</v>
      </c>
      <c r="J1196" s="15" t="n">
        <v>0.2227</v>
      </c>
      <c r="K1196" s="11" t="str">
        <f aca="false">IF(I1196&lt;J1196,"TAK","NIE")</f>
        <v>NIE</v>
      </c>
    </row>
    <row r="1197" customFormat="false" ht="15" hidden="false" customHeight="false" outlineLevel="0" collapsed="false">
      <c r="A1197" s="5" t="s">
        <v>378</v>
      </c>
      <c r="B1197" s="5" t="s">
        <v>72</v>
      </c>
      <c r="C1197" s="5" t="n">
        <v>2020</v>
      </c>
      <c r="D1197" s="5" t="s">
        <v>44</v>
      </c>
      <c r="E1197" s="5" t="s">
        <v>38</v>
      </c>
      <c r="F1197" s="5" t="s">
        <v>40</v>
      </c>
      <c r="G1197" s="6" t="n">
        <v>647</v>
      </c>
      <c r="H1197" s="6" t="n">
        <v>87</v>
      </c>
      <c r="I1197" s="7" t="n">
        <f aca="false">(G1197-H1197)/G1197</f>
        <v>0.865533230293663</v>
      </c>
      <c r="J1197" s="15" t="n">
        <v>0.2972</v>
      </c>
      <c r="K1197" s="11" t="str">
        <f aca="false">IF(I1197&lt;J1197,"TAK","NIE")</f>
        <v>NIE</v>
      </c>
    </row>
    <row r="1198" customFormat="false" ht="15" hidden="false" customHeight="false" outlineLevel="0" collapsed="false">
      <c r="A1198" s="5" t="s">
        <v>379</v>
      </c>
      <c r="B1198" s="5" t="s">
        <v>72</v>
      </c>
      <c r="C1198" s="5" t="n">
        <v>2020</v>
      </c>
      <c r="D1198" s="5" t="s">
        <v>44</v>
      </c>
      <c r="E1198" s="5" t="s">
        <v>38</v>
      </c>
      <c r="F1198" s="5" t="s">
        <v>40</v>
      </c>
      <c r="G1198" s="6" t="n">
        <v>647</v>
      </c>
      <c r="H1198" s="6" t="n">
        <v>306</v>
      </c>
      <c r="I1198" s="7" t="n">
        <f aca="false">(G1198-H1198)/G1198</f>
        <v>0.527047913446677</v>
      </c>
      <c r="J1198" s="15" t="n">
        <v>0.2972</v>
      </c>
      <c r="K1198" s="11" t="str">
        <f aca="false">IF(I1198&lt;J1198,"TAK","NIE")</f>
        <v>NIE</v>
      </c>
    </row>
    <row r="1199" customFormat="false" ht="15" hidden="false" customHeight="false" outlineLevel="0" collapsed="false">
      <c r="A1199" s="5" t="s">
        <v>380</v>
      </c>
      <c r="B1199" s="5" t="s">
        <v>72</v>
      </c>
      <c r="C1199" s="5" t="n">
        <v>2020</v>
      </c>
      <c r="D1199" s="5" t="s">
        <v>44</v>
      </c>
      <c r="E1199" s="5" t="s">
        <v>38</v>
      </c>
      <c r="F1199" s="5" t="s">
        <v>40</v>
      </c>
      <c r="G1199" s="6" t="n">
        <v>647</v>
      </c>
      <c r="H1199" s="6" t="n">
        <v>369</v>
      </c>
      <c r="I1199" s="7" t="n">
        <f aca="false">(G1199-H1199)/G1199</f>
        <v>0.42967542503864</v>
      </c>
      <c r="J1199" s="15" t="n">
        <v>0.2972</v>
      </c>
      <c r="K1199" s="11" t="str">
        <f aca="false">IF(I1199&lt;J1199,"TAK","NIE")</f>
        <v>NIE</v>
      </c>
    </row>
    <row r="1200" customFormat="false" ht="15" hidden="false" customHeight="false" outlineLevel="0" collapsed="false">
      <c r="A1200" s="5" t="s">
        <v>381</v>
      </c>
      <c r="B1200" s="5" t="s">
        <v>72</v>
      </c>
      <c r="C1200" s="5" t="n">
        <v>2020</v>
      </c>
      <c r="D1200" s="5" t="s">
        <v>44</v>
      </c>
      <c r="E1200" s="5" t="s">
        <v>38</v>
      </c>
      <c r="F1200" s="5" t="s">
        <v>40</v>
      </c>
      <c r="G1200" s="6" t="n">
        <v>647</v>
      </c>
      <c r="H1200" s="6" t="n">
        <v>122</v>
      </c>
      <c r="I1200" s="7" t="n">
        <f aca="false">(G1200-H1200)/G1200</f>
        <v>0.811437403400309</v>
      </c>
      <c r="J1200" s="15" t="n">
        <v>0.2972</v>
      </c>
      <c r="K1200" s="11" t="str">
        <f aca="false">IF(I1200&lt;J1200,"TAK","NIE")</f>
        <v>NIE</v>
      </c>
    </row>
    <row r="1201" customFormat="false" ht="15" hidden="false" customHeight="false" outlineLevel="0" collapsed="false">
      <c r="A1201" s="5" t="s">
        <v>382</v>
      </c>
      <c r="B1201" s="5" t="s">
        <v>72</v>
      </c>
      <c r="C1201" s="5" t="n">
        <v>2020</v>
      </c>
      <c r="D1201" s="5" t="s">
        <v>44</v>
      </c>
      <c r="E1201" s="5" t="s">
        <v>38</v>
      </c>
      <c r="F1201" s="5" t="s">
        <v>40</v>
      </c>
      <c r="G1201" s="6" t="n">
        <v>647</v>
      </c>
      <c r="H1201" s="6" t="n">
        <v>243</v>
      </c>
      <c r="I1201" s="7" t="n">
        <f aca="false">(G1201-H1201)/G1201</f>
        <v>0.624420401854714</v>
      </c>
      <c r="J1201" s="15" t="n">
        <v>0.2972</v>
      </c>
      <c r="K1201" s="11" t="str">
        <f aca="false">IF(I1201&lt;J1201,"TAK","NIE")</f>
        <v>NIE</v>
      </c>
    </row>
    <row r="1202" customFormat="false" ht="15" hidden="false" customHeight="false" outlineLevel="0" collapsed="false">
      <c r="A1202" s="5" t="s">
        <v>383</v>
      </c>
      <c r="B1202" s="5" t="s">
        <v>72</v>
      </c>
      <c r="C1202" s="5" t="n">
        <v>2020</v>
      </c>
      <c r="D1202" s="5" t="s">
        <v>44</v>
      </c>
      <c r="E1202" s="5" t="s">
        <v>38</v>
      </c>
      <c r="F1202" s="5" t="s">
        <v>40</v>
      </c>
      <c r="G1202" s="6" t="n">
        <v>647</v>
      </c>
      <c r="H1202" s="6" t="n">
        <v>58</v>
      </c>
      <c r="I1202" s="7" t="n">
        <f aca="false">(G1202-H1202)/G1202</f>
        <v>0.910355486862442</v>
      </c>
      <c r="J1202" s="15" t="n">
        <v>0.2972</v>
      </c>
      <c r="K1202" s="11" t="str">
        <f aca="false">IF(I1202&lt;J1202,"TAK","NIE")</f>
        <v>NIE</v>
      </c>
    </row>
    <row r="1203" customFormat="false" ht="15" hidden="false" customHeight="false" outlineLevel="0" collapsed="false">
      <c r="A1203" s="5" t="s">
        <v>384</v>
      </c>
      <c r="B1203" s="5" t="s">
        <v>72</v>
      </c>
      <c r="C1203" s="5" t="n">
        <v>2020</v>
      </c>
      <c r="D1203" s="5" t="s">
        <v>44</v>
      </c>
      <c r="E1203" s="5" t="s">
        <v>38</v>
      </c>
      <c r="F1203" s="5" t="s">
        <v>40</v>
      </c>
      <c r="G1203" s="6" t="n">
        <v>647</v>
      </c>
      <c r="H1203" s="6" t="n">
        <v>171</v>
      </c>
      <c r="I1203" s="7" t="n">
        <f aca="false">(G1203-H1203)/G1203</f>
        <v>0.735703245749614</v>
      </c>
      <c r="J1203" s="15" t="n">
        <v>0.2972</v>
      </c>
      <c r="K1203" s="11" t="str">
        <f aca="false">IF(I1203&lt;J1203,"TAK","NIE")</f>
        <v>NIE</v>
      </c>
    </row>
    <row r="1204" customFormat="false" ht="15" hidden="false" customHeight="false" outlineLevel="0" collapsed="false">
      <c r="A1204" s="5" t="s">
        <v>385</v>
      </c>
      <c r="B1204" s="5" t="s">
        <v>72</v>
      </c>
      <c r="C1204" s="5" t="n">
        <v>2020</v>
      </c>
      <c r="D1204" s="5" t="s">
        <v>44</v>
      </c>
      <c r="E1204" s="5" t="s">
        <v>38</v>
      </c>
      <c r="F1204" s="5" t="s">
        <v>40</v>
      </c>
      <c r="G1204" s="6" t="n">
        <v>647</v>
      </c>
      <c r="H1204" s="6" t="n">
        <v>65</v>
      </c>
      <c r="I1204" s="7" t="n">
        <f aca="false">(G1204-H1204)/G1204</f>
        <v>0.899536321483771</v>
      </c>
      <c r="J1204" s="15" t="n">
        <v>0.2972</v>
      </c>
      <c r="K1204" s="11" t="str">
        <f aca="false">IF(I1204&lt;J1204,"TAK","NIE")</f>
        <v>NIE</v>
      </c>
    </row>
    <row r="1205" customFormat="false" ht="15" hidden="false" customHeight="false" outlineLevel="0" collapsed="false">
      <c r="A1205" s="5" t="s">
        <v>386</v>
      </c>
      <c r="B1205" s="5" t="s">
        <v>72</v>
      </c>
      <c r="C1205" s="5" t="n">
        <v>2020</v>
      </c>
      <c r="D1205" s="5" t="s">
        <v>44</v>
      </c>
      <c r="E1205" s="5" t="s">
        <v>38</v>
      </c>
      <c r="F1205" s="5" t="s">
        <v>40</v>
      </c>
      <c r="G1205" s="6" t="n">
        <v>647</v>
      </c>
      <c r="H1205" s="6" t="n">
        <v>119</v>
      </c>
      <c r="I1205" s="7" t="n">
        <f aca="false">(G1205-H1205)/G1205</f>
        <v>0.816074188562597</v>
      </c>
      <c r="J1205" s="15" t="n">
        <v>0.2972</v>
      </c>
      <c r="K1205" s="11" t="str">
        <f aca="false">IF(I1205&lt;J1205,"TAK","NIE")</f>
        <v>NIE</v>
      </c>
    </row>
    <row r="1206" customFormat="false" ht="15" hidden="false" customHeight="false" outlineLevel="0" collapsed="false">
      <c r="A1206" s="5" t="s">
        <v>387</v>
      </c>
      <c r="B1206" s="5" t="s">
        <v>72</v>
      </c>
      <c r="C1206" s="5" t="n">
        <v>2020</v>
      </c>
      <c r="D1206" s="5" t="s">
        <v>44</v>
      </c>
      <c r="E1206" s="5" t="s">
        <v>38</v>
      </c>
      <c r="F1206" s="5" t="s">
        <v>40</v>
      </c>
      <c r="G1206" s="6" t="n">
        <v>647</v>
      </c>
      <c r="H1206" s="6" t="n">
        <v>123</v>
      </c>
      <c r="I1206" s="7" t="n">
        <f aca="false">(G1206-H1206)/G1206</f>
        <v>0.809891808346213</v>
      </c>
      <c r="J1206" s="15" t="n">
        <v>0.2972</v>
      </c>
      <c r="K1206" s="11" t="str">
        <f aca="false">IF(I1206&lt;J1206,"TAK","NIE")</f>
        <v>NIE</v>
      </c>
    </row>
    <row r="1207" customFormat="false" ht="15" hidden="false" customHeight="false" outlineLevel="0" collapsed="false">
      <c r="A1207" s="5" t="s">
        <v>388</v>
      </c>
      <c r="B1207" s="5" t="s">
        <v>72</v>
      </c>
      <c r="C1207" s="5" t="n">
        <v>2020</v>
      </c>
      <c r="D1207" s="5" t="s">
        <v>44</v>
      </c>
      <c r="E1207" s="5" t="s">
        <v>38</v>
      </c>
      <c r="F1207" s="5" t="s">
        <v>40</v>
      </c>
      <c r="G1207" s="6" t="n">
        <v>647</v>
      </c>
      <c r="H1207" s="6" t="n">
        <v>234</v>
      </c>
      <c r="I1207" s="7" t="n">
        <f aca="false">(G1207-H1207)/G1207</f>
        <v>0.638330757341577</v>
      </c>
      <c r="J1207" s="15" t="n">
        <v>0.2972</v>
      </c>
      <c r="K1207" s="11" t="str">
        <f aca="false">IF(I1207&lt;J1207,"TAK","NIE")</f>
        <v>NIE</v>
      </c>
    </row>
    <row r="1208" customFormat="false" ht="15" hidden="false" customHeight="false" outlineLevel="0" collapsed="false">
      <c r="A1208" s="5" t="s">
        <v>389</v>
      </c>
      <c r="B1208" s="5" t="s">
        <v>72</v>
      </c>
      <c r="C1208" s="5" t="n">
        <v>2020</v>
      </c>
      <c r="D1208" s="5" t="s">
        <v>44</v>
      </c>
      <c r="E1208" s="5" t="s">
        <v>38</v>
      </c>
      <c r="F1208" s="5" t="s">
        <v>40</v>
      </c>
      <c r="G1208" s="6" t="n">
        <v>647</v>
      </c>
      <c r="H1208" s="6" t="n">
        <v>181</v>
      </c>
      <c r="I1208" s="7" t="n">
        <f aca="false">(G1208-H1208)/G1208</f>
        <v>0.720247295208655</v>
      </c>
      <c r="J1208" s="15" t="n">
        <v>0.2972</v>
      </c>
      <c r="K1208" s="11" t="str">
        <f aca="false">IF(I1208&lt;J1208,"TAK","NIE")</f>
        <v>NIE</v>
      </c>
    </row>
    <row r="1209" customFormat="false" ht="15" hidden="false" customHeight="false" outlineLevel="0" collapsed="false">
      <c r="A1209" s="5" t="s">
        <v>390</v>
      </c>
      <c r="B1209" s="5" t="s">
        <v>72</v>
      </c>
      <c r="C1209" s="5" t="n">
        <v>2020</v>
      </c>
      <c r="D1209" s="5" t="s">
        <v>44</v>
      </c>
      <c r="E1209" s="5" t="s">
        <v>38</v>
      </c>
      <c r="F1209" s="5" t="s">
        <v>40</v>
      </c>
      <c r="G1209" s="6" t="n">
        <v>647</v>
      </c>
      <c r="H1209" s="6" t="n">
        <v>312</v>
      </c>
      <c r="I1209" s="7" t="n">
        <f aca="false">(G1209-H1209)/G1209</f>
        <v>0.517774343122102</v>
      </c>
      <c r="J1209" s="15" t="n">
        <v>0.2972</v>
      </c>
      <c r="K1209" s="11" t="str">
        <f aca="false">IF(I1209&lt;J1209,"TAK","NIE")</f>
        <v>NIE</v>
      </c>
    </row>
    <row r="1210" customFormat="false" ht="15" hidden="false" customHeight="false" outlineLevel="0" collapsed="false">
      <c r="A1210" s="5" t="s">
        <v>391</v>
      </c>
      <c r="B1210" s="5" t="s">
        <v>72</v>
      </c>
      <c r="C1210" s="5" t="n">
        <v>2020</v>
      </c>
      <c r="D1210" s="5" t="s">
        <v>44</v>
      </c>
      <c r="E1210" s="5" t="s">
        <v>38</v>
      </c>
      <c r="F1210" s="5" t="s">
        <v>40</v>
      </c>
      <c r="G1210" s="6" t="n">
        <v>647</v>
      </c>
      <c r="H1210" s="6" t="n">
        <v>73</v>
      </c>
      <c r="I1210" s="7" t="n">
        <f aca="false">(G1210-H1210)/G1210</f>
        <v>0.887171561051005</v>
      </c>
      <c r="J1210" s="15" t="n">
        <v>0.2972</v>
      </c>
      <c r="K1210" s="11" t="str">
        <f aca="false">IF(I1210&lt;J1210,"TAK","NIE")</f>
        <v>NIE</v>
      </c>
    </row>
    <row r="1211" customFormat="false" ht="15" hidden="false" customHeight="false" outlineLevel="0" collapsed="false">
      <c r="A1211" s="5" t="s">
        <v>392</v>
      </c>
      <c r="B1211" s="5" t="s">
        <v>72</v>
      </c>
      <c r="C1211" s="5" t="n">
        <v>2020</v>
      </c>
      <c r="D1211" s="5" t="s">
        <v>44</v>
      </c>
      <c r="E1211" s="5" t="s">
        <v>38</v>
      </c>
      <c r="F1211" s="5" t="s">
        <v>40</v>
      </c>
      <c r="G1211" s="6" t="n">
        <v>647</v>
      </c>
      <c r="H1211" s="6" t="n">
        <v>244</v>
      </c>
      <c r="I1211" s="7" t="n">
        <f aca="false">(G1211-H1211)/G1211</f>
        <v>0.622874806800618</v>
      </c>
      <c r="J1211" s="15" t="n">
        <v>0.2972</v>
      </c>
      <c r="K1211" s="11" t="str">
        <f aca="false">IF(I1211&lt;J1211,"TAK","NIE")</f>
        <v>NIE</v>
      </c>
    </row>
    <row r="1212" customFormat="false" ht="15" hidden="false" customHeight="false" outlineLevel="0" collapsed="false">
      <c r="A1212" s="5" t="s">
        <v>378</v>
      </c>
      <c r="B1212" s="5" t="s">
        <v>73</v>
      </c>
      <c r="C1212" s="5" t="n">
        <v>2020</v>
      </c>
      <c r="D1212" s="5" t="s">
        <v>44</v>
      </c>
      <c r="E1212" s="5" t="s">
        <v>46</v>
      </c>
      <c r="F1212" s="5" t="s">
        <v>39</v>
      </c>
      <c r="G1212" s="6" t="n">
        <v>619</v>
      </c>
      <c r="H1212" s="6" t="n">
        <v>63</v>
      </c>
      <c r="I1212" s="7" t="n">
        <f aca="false">(G1212-H1212)/G1212</f>
        <v>0.898222940226171</v>
      </c>
      <c r="J1212" s="15" t="n">
        <v>0.2318</v>
      </c>
      <c r="K1212" s="11" t="str">
        <f aca="false">IF(I1212&lt;J1212,"TAK","NIE")</f>
        <v>NIE</v>
      </c>
    </row>
    <row r="1213" customFormat="false" ht="15" hidden="false" customHeight="false" outlineLevel="0" collapsed="false">
      <c r="A1213" s="5" t="s">
        <v>380</v>
      </c>
      <c r="B1213" s="5" t="s">
        <v>73</v>
      </c>
      <c r="C1213" s="5" t="n">
        <v>2020</v>
      </c>
      <c r="D1213" s="5" t="s">
        <v>44</v>
      </c>
      <c r="E1213" s="5" t="s">
        <v>46</v>
      </c>
      <c r="F1213" s="5" t="s">
        <v>39</v>
      </c>
      <c r="G1213" s="6" t="n">
        <v>619</v>
      </c>
      <c r="H1213" s="6" t="n">
        <v>360</v>
      </c>
      <c r="I1213" s="7" t="n">
        <f aca="false">(G1213-H1213)/G1213</f>
        <v>0.418416801292407</v>
      </c>
      <c r="J1213" s="15" t="n">
        <v>0.2318</v>
      </c>
      <c r="K1213" s="11" t="str">
        <f aca="false">IF(I1213&lt;J1213,"TAK","NIE")</f>
        <v>NIE</v>
      </c>
    </row>
    <row r="1214" customFormat="false" ht="15" hidden="false" customHeight="false" outlineLevel="0" collapsed="false">
      <c r="A1214" s="5" t="s">
        <v>381</v>
      </c>
      <c r="B1214" s="5" t="s">
        <v>73</v>
      </c>
      <c r="C1214" s="5" t="n">
        <v>2020</v>
      </c>
      <c r="D1214" s="5" t="s">
        <v>44</v>
      </c>
      <c r="E1214" s="5" t="s">
        <v>46</v>
      </c>
      <c r="F1214" s="5" t="s">
        <v>39</v>
      </c>
      <c r="G1214" s="6" t="n">
        <v>619</v>
      </c>
      <c r="H1214" s="6" t="n">
        <v>111</v>
      </c>
      <c r="I1214" s="7" t="n">
        <f aca="false">(G1214-H1214)/G1214</f>
        <v>0.820678513731826</v>
      </c>
      <c r="J1214" s="15" t="n">
        <v>0.2318</v>
      </c>
      <c r="K1214" s="11" t="str">
        <f aca="false">IF(I1214&lt;J1214,"TAK","NIE")</f>
        <v>NIE</v>
      </c>
    </row>
    <row r="1215" customFormat="false" ht="15" hidden="false" customHeight="false" outlineLevel="0" collapsed="false">
      <c r="A1215" s="5" t="s">
        <v>382</v>
      </c>
      <c r="B1215" s="5" t="s">
        <v>73</v>
      </c>
      <c r="C1215" s="5" t="n">
        <v>2020</v>
      </c>
      <c r="D1215" s="5" t="s">
        <v>44</v>
      </c>
      <c r="E1215" s="5" t="s">
        <v>46</v>
      </c>
      <c r="F1215" s="5" t="s">
        <v>39</v>
      </c>
      <c r="G1215" s="6" t="n">
        <v>619</v>
      </c>
      <c r="H1215" s="6" t="n">
        <v>253</v>
      </c>
      <c r="I1215" s="7" t="n">
        <f aca="false">(G1215-H1215)/G1215</f>
        <v>0.591276252019386</v>
      </c>
      <c r="J1215" s="15" t="n">
        <v>0.2318</v>
      </c>
      <c r="K1215" s="11" t="str">
        <f aca="false">IF(I1215&lt;J1215,"TAK","NIE")</f>
        <v>NIE</v>
      </c>
    </row>
    <row r="1216" customFormat="false" ht="15" hidden="false" customHeight="false" outlineLevel="0" collapsed="false">
      <c r="A1216" s="5" t="s">
        <v>393</v>
      </c>
      <c r="B1216" s="5" t="s">
        <v>73</v>
      </c>
      <c r="C1216" s="5" t="n">
        <v>2020</v>
      </c>
      <c r="D1216" s="5" t="s">
        <v>44</v>
      </c>
      <c r="E1216" s="5" t="s">
        <v>46</v>
      </c>
      <c r="F1216" s="5" t="s">
        <v>39</v>
      </c>
      <c r="G1216" s="6" t="n">
        <v>161</v>
      </c>
      <c r="H1216" s="6" t="n">
        <v>61</v>
      </c>
      <c r="I1216" s="7" t="n">
        <f aca="false">(G1216-H1216)/G1216</f>
        <v>0.62111801242236</v>
      </c>
      <c r="J1216" s="15" t="n">
        <v>0.2318</v>
      </c>
      <c r="K1216" s="11" t="str">
        <f aca="false">IF(I1216&lt;J1216,"TAK","NIE")</f>
        <v>NIE</v>
      </c>
    </row>
    <row r="1217" customFormat="false" ht="15" hidden="false" customHeight="false" outlineLevel="0" collapsed="false">
      <c r="A1217" s="5" t="s">
        <v>394</v>
      </c>
      <c r="B1217" s="5" t="s">
        <v>73</v>
      </c>
      <c r="C1217" s="5" t="n">
        <v>2020</v>
      </c>
      <c r="D1217" s="5" t="s">
        <v>44</v>
      </c>
      <c r="E1217" s="5" t="s">
        <v>46</v>
      </c>
      <c r="F1217" s="5" t="s">
        <v>39</v>
      </c>
      <c r="G1217" s="6" t="n">
        <v>193</v>
      </c>
      <c r="H1217" s="6" t="n">
        <v>77</v>
      </c>
      <c r="I1217" s="7" t="n">
        <f aca="false">(G1217-H1217)/G1217</f>
        <v>0.601036269430052</v>
      </c>
      <c r="J1217" s="15" t="n">
        <v>0.2318</v>
      </c>
      <c r="K1217" s="11" t="str">
        <f aca="false">IF(I1217&lt;J1217,"TAK","NIE")</f>
        <v>NIE</v>
      </c>
    </row>
    <row r="1218" customFormat="false" ht="15" hidden="false" customHeight="false" outlineLevel="0" collapsed="false">
      <c r="A1218" s="5" t="s">
        <v>383</v>
      </c>
      <c r="B1218" s="5" t="s">
        <v>73</v>
      </c>
      <c r="C1218" s="5" t="n">
        <v>2020</v>
      </c>
      <c r="D1218" s="5" t="s">
        <v>44</v>
      </c>
      <c r="E1218" s="5" t="s">
        <v>46</v>
      </c>
      <c r="F1218" s="5" t="s">
        <v>39</v>
      </c>
      <c r="G1218" s="6" t="n">
        <v>619</v>
      </c>
      <c r="H1218" s="6" t="n">
        <v>139</v>
      </c>
      <c r="I1218" s="7" t="n">
        <f aca="false">(G1218-H1218)/G1218</f>
        <v>0.775444264943457</v>
      </c>
      <c r="J1218" s="15" t="n">
        <v>0.2318</v>
      </c>
      <c r="K1218" s="11" t="str">
        <f aca="false">IF(I1218&lt;J1218,"TAK","NIE")</f>
        <v>NIE</v>
      </c>
    </row>
    <row r="1219" customFormat="false" ht="15" hidden="false" customHeight="false" outlineLevel="0" collapsed="false">
      <c r="A1219" s="5" t="s">
        <v>384</v>
      </c>
      <c r="B1219" s="5" t="s">
        <v>73</v>
      </c>
      <c r="C1219" s="5" t="n">
        <v>2020</v>
      </c>
      <c r="D1219" s="5" t="s">
        <v>44</v>
      </c>
      <c r="E1219" s="5" t="s">
        <v>46</v>
      </c>
      <c r="F1219" s="5" t="s">
        <v>39</v>
      </c>
      <c r="G1219" s="6" t="n">
        <v>619</v>
      </c>
      <c r="H1219" s="6" t="n">
        <v>134</v>
      </c>
      <c r="I1219" s="7" t="n">
        <f aca="false">(G1219-H1219)/G1219</f>
        <v>0.783521809369952</v>
      </c>
      <c r="J1219" s="15" t="n">
        <v>0.2318</v>
      </c>
      <c r="K1219" s="11" t="str">
        <f aca="false">IF(I1219&lt;J1219,"TAK","NIE")</f>
        <v>NIE</v>
      </c>
    </row>
    <row r="1220" customFormat="false" ht="15" hidden="false" customHeight="false" outlineLevel="0" collapsed="false">
      <c r="A1220" s="5" t="s">
        <v>385</v>
      </c>
      <c r="B1220" s="5" t="s">
        <v>73</v>
      </c>
      <c r="C1220" s="5" t="n">
        <v>2020</v>
      </c>
      <c r="D1220" s="5" t="s">
        <v>44</v>
      </c>
      <c r="E1220" s="5" t="s">
        <v>46</v>
      </c>
      <c r="F1220" s="5" t="s">
        <v>39</v>
      </c>
      <c r="G1220" s="6" t="n">
        <v>619</v>
      </c>
      <c r="H1220" s="6" t="n">
        <v>100</v>
      </c>
      <c r="I1220" s="7" t="n">
        <f aca="false">(G1220-H1220)/G1220</f>
        <v>0.838449111470113</v>
      </c>
      <c r="J1220" s="15" t="n">
        <v>0.2318</v>
      </c>
      <c r="K1220" s="11" t="str">
        <f aca="false">IF(I1220&lt;J1220,"TAK","NIE")</f>
        <v>NIE</v>
      </c>
    </row>
    <row r="1221" customFormat="false" ht="15" hidden="false" customHeight="false" outlineLevel="0" collapsed="false">
      <c r="A1221" s="5" t="s">
        <v>386</v>
      </c>
      <c r="B1221" s="5" t="s">
        <v>73</v>
      </c>
      <c r="C1221" s="5" t="n">
        <v>2020</v>
      </c>
      <c r="D1221" s="5" t="s">
        <v>44</v>
      </c>
      <c r="E1221" s="5" t="s">
        <v>46</v>
      </c>
      <c r="F1221" s="5" t="s">
        <v>39</v>
      </c>
      <c r="G1221" s="6" t="n">
        <v>619</v>
      </c>
      <c r="H1221" s="6" t="n">
        <v>86</v>
      </c>
      <c r="I1221" s="7" t="n">
        <f aca="false">(G1221-H1221)/G1221</f>
        <v>0.861066235864297</v>
      </c>
      <c r="J1221" s="15" t="n">
        <v>0.2318</v>
      </c>
      <c r="K1221" s="11" t="str">
        <f aca="false">IF(I1221&lt;J1221,"TAK","NIE")</f>
        <v>NIE</v>
      </c>
    </row>
    <row r="1222" customFormat="false" ht="15" hidden="false" customHeight="false" outlineLevel="0" collapsed="false">
      <c r="A1222" s="5" t="s">
        <v>387</v>
      </c>
      <c r="B1222" s="5" t="s">
        <v>73</v>
      </c>
      <c r="C1222" s="5" t="n">
        <v>2020</v>
      </c>
      <c r="D1222" s="5" t="s">
        <v>44</v>
      </c>
      <c r="E1222" s="5" t="s">
        <v>46</v>
      </c>
      <c r="F1222" s="5" t="s">
        <v>39</v>
      </c>
      <c r="G1222" s="6" t="n">
        <v>620</v>
      </c>
      <c r="H1222" s="6" t="n">
        <v>88</v>
      </c>
      <c r="I1222" s="7" t="n">
        <f aca="false">(G1222-H1222)/G1222</f>
        <v>0.858064516129032</v>
      </c>
      <c r="J1222" s="15" t="n">
        <v>0.2318</v>
      </c>
      <c r="K1222" s="11" t="str">
        <f aca="false">IF(I1222&lt;J1222,"TAK","NIE")</f>
        <v>NIE</v>
      </c>
    </row>
    <row r="1223" customFormat="false" ht="15" hidden="false" customHeight="false" outlineLevel="0" collapsed="false">
      <c r="A1223" s="5" t="s">
        <v>388</v>
      </c>
      <c r="B1223" s="5" t="s">
        <v>73</v>
      </c>
      <c r="C1223" s="5" t="n">
        <v>2020</v>
      </c>
      <c r="D1223" s="5" t="s">
        <v>44</v>
      </c>
      <c r="E1223" s="5" t="s">
        <v>46</v>
      </c>
      <c r="F1223" s="5" t="s">
        <v>39</v>
      </c>
      <c r="G1223" s="6" t="n">
        <v>619</v>
      </c>
      <c r="H1223" s="6" t="n">
        <v>450</v>
      </c>
      <c r="I1223" s="7" t="n">
        <f aca="false">(G1223-H1223)/G1223</f>
        <v>0.273021001615509</v>
      </c>
      <c r="J1223" s="15" t="n">
        <v>0.2318</v>
      </c>
      <c r="K1223" s="11" t="str">
        <f aca="false">IF(I1223&lt;J1223,"TAK","NIE")</f>
        <v>NIE</v>
      </c>
    </row>
    <row r="1224" customFormat="false" ht="15" hidden="false" customHeight="false" outlineLevel="0" collapsed="false">
      <c r="A1224" s="5" t="s">
        <v>389</v>
      </c>
      <c r="B1224" s="5" t="s">
        <v>73</v>
      </c>
      <c r="C1224" s="5" t="n">
        <v>2020</v>
      </c>
      <c r="D1224" s="5" t="s">
        <v>44</v>
      </c>
      <c r="E1224" s="5" t="s">
        <v>46</v>
      </c>
      <c r="F1224" s="5" t="s">
        <v>39</v>
      </c>
      <c r="G1224" s="6" t="n">
        <v>619</v>
      </c>
      <c r="H1224" s="6" t="n">
        <v>164</v>
      </c>
      <c r="I1224" s="7" t="n">
        <f aca="false">(G1224-H1224)/G1224</f>
        <v>0.735056542810985</v>
      </c>
      <c r="J1224" s="15" t="n">
        <v>0.2318</v>
      </c>
      <c r="K1224" s="11" t="str">
        <f aca="false">IF(I1224&lt;J1224,"TAK","NIE")</f>
        <v>NIE</v>
      </c>
    </row>
    <row r="1225" customFormat="false" ht="15" hidden="false" customHeight="false" outlineLevel="0" collapsed="false">
      <c r="A1225" s="5" t="s">
        <v>390</v>
      </c>
      <c r="B1225" s="5" t="s">
        <v>73</v>
      </c>
      <c r="C1225" s="5" t="n">
        <v>2020</v>
      </c>
      <c r="D1225" s="5" t="s">
        <v>44</v>
      </c>
      <c r="E1225" s="5" t="s">
        <v>46</v>
      </c>
      <c r="F1225" s="5" t="s">
        <v>39</v>
      </c>
      <c r="G1225" s="6" t="n">
        <v>619</v>
      </c>
      <c r="H1225" s="6" t="n">
        <v>462</v>
      </c>
      <c r="I1225" s="7" t="n">
        <f aca="false">(G1225-H1225)/G1225</f>
        <v>0.253634894991922</v>
      </c>
      <c r="J1225" s="15" t="n">
        <v>0.2318</v>
      </c>
      <c r="K1225" s="11" t="str">
        <f aca="false">IF(I1225&lt;J1225,"TAK","NIE")</f>
        <v>NIE</v>
      </c>
    </row>
    <row r="1226" customFormat="false" ht="15" hidden="false" customHeight="false" outlineLevel="0" collapsed="false">
      <c r="A1226" s="5" t="s">
        <v>391</v>
      </c>
      <c r="B1226" s="5" t="s">
        <v>73</v>
      </c>
      <c r="C1226" s="5" t="n">
        <v>2020</v>
      </c>
      <c r="D1226" s="5" t="s">
        <v>44</v>
      </c>
      <c r="E1226" s="5" t="s">
        <v>46</v>
      </c>
      <c r="F1226" s="5" t="s">
        <v>39</v>
      </c>
      <c r="G1226" s="6" t="n">
        <v>619</v>
      </c>
      <c r="H1226" s="6" t="n">
        <v>43</v>
      </c>
      <c r="I1226" s="7" t="n">
        <f aca="false">(G1226-H1226)/G1226</f>
        <v>0.930533117932149</v>
      </c>
      <c r="J1226" s="15" t="n">
        <v>0.2318</v>
      </c>
      <c r="K1226" s="11" t="str">
        <f aca="false">IF(I1226&lt;J1226,"TAK","NIE")</f>
        <v>NIE</v>
      </c>
    </row>
    <row r="1227" customFormat="false" ht="15" hidden="false" customHeight="false" outlineLevel="0" collapsed="false">
      <c r="A1227" s="5" t="s">
        <v>392</v>
      </c>
      <c r="B1227" s="5" t="s">
        <v>73</v>
      </c>
      <c r="C1227" s="5" t="n">
        <v>2020</v>
      </c>
      <c r="D1227" s="5" t="s">
        <v>44</v>
      </c>
      <c r="E1227" s="5" t="s">
        <v>46</v>
      </c>
      <c r="F1227" s="5" t="s">
        <v>39</v>
      </c>
      <c r="G1227" s="6" t="n">
        <v>619</v>
      </c>
      <c r="H1227" s="6" t="n">
        <v>144</v>
      </c>
      <c r="I1227" s="7" t="n">
        <f aca="false">(G1227-H1227)/G1227</f>
        <v>0.767366720516963</v>
      </c>
      <c r="J1227" s="15" t="n">
        <v>0.2318</v>
      </c>
      <c r="K1227" s="11" t="str">
        <f aca="false">IF(I1227&lt;J1227,"TAK","NIE")</f>
        <v>NIE</v>
      </c>
    </row>
    <row r="1228" customFormat="false" ht="15" hidden="false" customHeight="false" outlineLevel="0" collapsed="false">
      <c r="A1228" s="5" t="s">
        <v>378</v>
      </c>
      <c r="B1228" s="5" t="s">
        <v>73</v>
      </c>
      <c r="C1228" s="5" t="n">
        <v>2020</v>
      </c>
      <c r="D1228" s="5" t="s">
        <v>44</v>
      </c>
      <c r="E1228" s="5" t="s">
        <v>46</v>
      </c>
      <c r="F1228" s="5" t="s">
        <v>40</v>
      </c>
      <c r="G1228" s="6" t="n">
        <v>564</v>
      </c>
      <c r="H1228" s="6" t="n">
        <v>168</v>
      </c>
      <c r="I1228" s="7" t="n">
        <f aca="false">(G1228-H1228)/G1228</f>
        <v>0.702127659574468</v>
      </c>
      <c r="J1228" s="15" t="n">
        <v>0.1291</v>
      </c>
      <c r="K1228" s="11" t="str">
        <f aca="false">IF(I1228&lt;J1228,"TAK","NIE")</f>
        <v>NIE</v>
      </c>
    </row>
    <row r="1229" customFormat="false" ht="15" hidden="false" customHeight="false" outlineLevel="0" collapsed="false">
      <c r="A1229" s="5" t="s">
        <v>380</v>
      </c>
      <c r="B1229" s="5" t="s">
        <v>73</v>
      </c>
      <c r="C1229" s="5" t="n">
        <v>2020</v>
      </c>
      <c r="D1229" s="5" t="s">
        <v>44</v>
      </c>
      <c r="E1229" s="5" t="s">
        <v>46</v>
      </c>
      <c r="F1229" s="5" t="s">
        <v>40</v>
      </c>
      <c r="G1229" s="6" t="n">
        <v>564</v>
      </c>
      <c r="H1229" s="6" t="n">
        <v>326</v>
      </c>
      <c r="I1229" s="7" t="n">
        <f aca="false">(G1229-H1229)/G1229</f>
        <v>0.421985815602837</v>
      </c>
      <c r="J1229" s="15" t="n">
        <v>0.1291</v>
      </c>
      <c r="K1229" s="11" t="str">
        <f aca="false">IF(I1229&lt;J1229,"TAK","NIE")</f>
        <v>NIE</v>
      </c>
    </row>
    <row r="1230" customFormat="false" ht="15" hidden="false" customHeight="false" outlineLevel="0" collapsed="false">
      <c r="A1230" s="5" t="s">
        <v>381</v>
      </c>
      <c r="B1230" s="5" t="s">
        <v>73</v>
      </c>
      <c r="C1230" s="5" t="n">
        <v>2020</v>
      </c>
      <c r="D1230" s="5" t="s">
        <v>44</v>
      </c>
      <c r="E1230" s="5" t="s">
        <v>46</v>
      </c>
      <c r="F1230" s="5" t="s">
        <v>40</v>
      </c>
      <c r="G1230" s="6" t="n">
        <v>564</v>
      </c>
      <c r="H1230" s="6" t="n">
        <v>213</v>
      </c>
      <c r="I1230" s="7" t="n">
        <f aca="false">(G1230-H1230)/G1230</f>
        <v>0.622340425531915</v>
      </c>
      <c r="J1230" s="15" t="n">
        <v>0.1291</v>
      </c>
      <c r="K1230" s="11" t="str">
        <f aca="false">IF(I1230&lt;J1230,"TAK","NIE")</f>
        <v>NIE</v>
      </c>
    </row>
    <row r="1231" customFormat="false" ht="15" hidden="false" customHeight="false" outlineLevel="0" collapsed="false">
      <c r="A1231" s="5" t="s">
        <v>382</v>
      </c>
      <c r="B1231" s="5" t="s">
        <v>73</v>
      </c>
      <c r="C1231" s="5" t="n">
        <v>2020</v>
      </c>
      <c r="D1231" s="5" t="s">
        <v>44</v>
      </c>
      <c r="E1231" s="5" t="s">
        <v>46</v>
      </c>
      <c r="F1231" s="5" t="s">
        <v>40</v>
      </c>
      <c r="G1231" s="6" t="n">
        <v>564</v>
      </c>
      <c r="H1231" s="6" t="n">
        <v>266</v>
      </c>
      <c r="I1231" s="7" t="n">
        <f aca="false">(G1231-H1231)/G1231</f>
        <v>0.528368794326241</v>
      </c>
      <c r="J1231" s="15" t="n">
        <v>0.1291</v>
      </c>
      <c r="K1231" s="11" t="str">
        <f aca="false">IF(I1231&lt;J1231,"TAK","NIE")</f>
        <v>NIE</v>
      </c>
    </row>
    <row r="1232" customFormat="false" ht="15" hidden="false" customHeight="false" outlineLevel="0" collapsed="false">
      <c r="A1232" s="5" t="s">
        <v>393</v>
      </c>
      <c r="B1232" s="5" t="s">
        <v>73</v>
      </c>
      <c r="C1232" s="5" t="n">
        <v>2020</v>
      </c>
      <c r="D1232" s="5" t="s">
        <v>44</v>
      </c>
      <c r="E1232" s="5" t="s">
        <v>46</v>
      </c>
      <c r="F1232" s="5" t="s">
        <v>40</v>
      </c>
      <c r="G1232" s="6" t="n">
        <v>564</v>
      </c>
      <c r="H1232" s="6" t="n">
        <v>289</v>
      </c>
      <c r="I1232" s="7" t="n">
        <f aca="false">(G1232-H1232)/G1232</f>
        <v>0.48758865248227</v>
      </c>
      <c r="J1232" s="15" t="n">
        <v>0.1291</v>
      </c>
      <c r="K1232" s="11" t="str">
        <f aca="false">IF(I1232&lt;J1232,"TAK","NIE")</f>
        <v>NIE</v>
      </c>
    </row>
    <row r="1233" customFormat="false" ht="15" hidden="false" customHeight="false" outlineLevel="0" collapsed="false">
      <c r="A1233" s="5" t="s">
        <v>394</v>
      </c>
      <c r="B1233" s="5" t="s">
        <v>73</v>
      </c>
      <c r="C1233" s="5" t="n">
        <v>2020</v>
      </c>
      <c r="D1233" s="5" t="s">
        <v>44</v>
      </c>
      <c r="E1233" s="5" t="s">
        <v>46</v>
      </c>
      <c r="F1233" s="5" t="s">
        <v>40</v>
      </c>
      <c r="G1233" s="6" t="n">
        <v>564</v>
      </c>
      <c r="H1233" s="6" t="n">
        <v>332</v>
      </c>
      <c r="I1233" s="7" t="n">
        <f aca="false">(G1233-H1233)/G1233</f>
        <v>0.411347517730496</v>
      </c>
      <c r="J1233" s="15" t="n">
        <v>0.1291</v>
      </c>
      <c r="K1233" s="11" t="str">
        <f aca="false">IF(I1233&lt;J1233,"TAK","NIE")</f>
        <v>NIE</v>
      </c>
    </row>
    <row r="1234" customFormat="false" ht="15" hidden="false" customHeight="false" outlineLevel="0" collapsed="false">
      <c r="A1234" s="5" t="s">
        <v>383</v>
      </c>
      <c r="B1234" s="5" t="s">
        <v>73</v>
      </c>
      <c r="C1234" s="5" t="n">
        <v>2020</v>
      </c>
      <c r="D1234" s="5" t="s">
        <v>44</v>
      </c>
      <c r="E1234" s="5" t="s">
        <v>46</v>
      </c>
      <c r="F1234" s="5" t="s">
        <v>40</v>
      </c>
      <c r="G1234" s="6" t="n">
        <v>564</v>
      </c>
      <c r="H1234" s="6" t="n">
        <v>170</v>
      </c>
      <c r="I1234" s="7" t="n">
        <f aca="false">(G1234-H1234)/G1234</f>
        <v>0.698581560283688</v>
      </c>
      <c r="J1234" s="15" t="n">
        <v>0.1291</v>
      </c>
      <c r="K1234" s="11" t="str">
        <f aca="false">IF(I1234&lt;J1234,"TAK","NIE")</f>
        <v>NIE</v>
      </c>
    </row>
    <row r="1235" customFormat="false" ht="15" hidden="false" customHeight="false" outlineLevel="0" collapsed="false">
      <c r="A1235" s="5" t="s">
        <v>384</v>
      </c>
      <c r="B1235" s="5" t="s">
        <v>73</v>
      </c>
      <c r="C1235" s="5" t="n">
        <v>2020</v>
      </c>
      <c r="D1235" s="5" t="s">
        <v>44</v>
      </c>
      <c r="E1235" s="5" t="s">
        <v>46</v>
      </c>
      <c r="F1235" s="5" t="s">
        <v>40</v>
      </c>
      <c r="G1235" s="6" t="n">
        <v>564</v>
      </c>
      <c r="H1235" s="6" t="n">
        <v>201</v>
      </c>
      <c r="I1235" s="7" t="n">
        <f aca="false">(G1235-H1235)/G1235</f>
        <v>0.643617021276596</v>
      </c>
      <c r="J1235" s="15" t="n">
        <v>0.1291</v>
      </c>
      <c r="K1235" s="11" t="str">
        <f aca="false">IF(I1235&lt;J1235,"TAK","NIE")</f>
        <v>NIE</v>
      </c>
    </row>
    <row r="1236" customFormat="false" ht="15" hidden="false" customHeight="false" outlineLevel="0" collapsed="false">
      <c r="A1236" s="5" t="s">
        <v>385</v>
      </c>
      <c r="B1236" s="5" t="s">
        <v>73</v>
      </c>
      <c r="C1236" s="5" t="n">
        <v>2020</v>
      </c>
      <c r="D1236" s="5" t="s">
        <v>44</v>
      </c>
      <c r="E1236" s="5" t="s">
        <v>46</v>
      </c>
      <c r="F1236" s="5" t="s">
        <v>40</v>
      </c>
      <c r="G1236" s="6" t="n">
        <v>564</v>
      </c>
      <c r="H1236" s="6" t="n">
        <v>118</v>
      </c>
      <c r="I1236" s="7" t="n">
        <f aca="false">(G1236-H1236)/G1236</f>
        <v>0.790780141843972</v>
      </c>
      <c r="J1236" s="15" t="n">
        <v>0.1291</v>
      </c>
      <c r="K1236" s="11" t="str">
        <f aca="false">IF(I1236&lt;J1236,"TAK","NIE")</f>
        <v>NIE</v>
      </c>
    </row>
    <row r="1237" customFormat="false" ht="15" hidden="false" customHeight="false" outlineLevel="0" collapsed="false">
      <c r="A1237" s="5" t="s">
        <v>386</v>
      </c>
      <c r="B1237" s="5" t="s">
        <v>73</v>
      </c>
      <c r="C1237" s="5" t="n">
        <v>2020</v>
      </c>
      <c r="D1237" s="5" t="s">
        <v>44</v>
      </c>
      <c r="E1237" s="5" t="s">
        <v>46</v>
      </c>
      <c r="F1237" s="5" t="s">
        <v>40</v>
      </c>
      <c r="G1237" s="6" t="n">
        <v>564</v>
      </c>
      <c r="H1237" s="6" t="n">
        <v>173</v>
      </c>
      <c r="I1237" s="7" t="n">
        <f aca="false">(G1237-H1237)/G1237</f>
        <v>0.693262411347518</v>
      </c>
      <c r="J1237" s="15" t="n">
        <v>0.1291</v>
      </c>
      <c r="K1237" s="11" t="str">
        <f aca="false">IF(I1237&lt;J1237,"TAK","NIE")</f>
        <v>NIE</v>
      </c>
    </row>
    <row r="1238" customFormat="false" ht="15" hidden="false" customHeight="false" outlineLevel="0" collapsed="false">
      <c r="A1238" s="5" t="s">
        <v>387</v>
      </c>
      <c r="B1238" s="5" t="s">
        <v>73</v>
      </c>
      <c r="C1238" s="5" t="n">
        <v>2020</v>
      </c>
      <c r="D1238" s="5" t="s">
        <v>44</v>
      </c>
      <c r="E1238" s="5" t="s">
        <v>46</v>
      </c>
      <c r="F1238" s="5" t="s">
        <v>40</v>
      </c>
      <c r="G1238" s="6" t="n">
        <v>564</v>
      </c>
      <c r="H1238" s="6" t="n">
        <v>189</v>
      </c>
      <c r="I1238" s="7" t="n">
        <f aca="false">(G1238-H1238)/G1238</f>
        <v>0.664893617021277</v>
      </c>
      <c r="J1238" s="15" t="n">
        <v>0.1291</v>
      </c>
      <c r="K1238" s="11" t="str">
        <f aca="false">IF(I1238&lt;J1238,"TAK","NIE")</f>
        <v>NIE</v>
      </c>
    </row>
    <row r="1239" customFormat="false" ht="15" hidden="false" customHeight="false" outlineLevel="0" collapsed="false">
      <c r="A1239" s="5" t="s">
        <v>388</v>
      </c>
      <c r="B1239" s="5" t="s">
        <v>73</v>
      </c>
      <c r="C1239" s="5" t="n">
        <v>2020</v>
      </c>
      <c r="D1239" s="5" t="s">
        <v>44</v>
      </c>
      <c r="E1239" s="5" t="s">
        <v>46</v>
      </c>
      <c r="F1239" s="5" t="s">
        <v>40</v>
      </c>
      <c r="G1239" s="6" t="n">
        <v>564</v>
      </c>
      <c r="H1239" s="6" t="n">
        <v>534</v>
      </c>
      <c r="I1239" s="7" t="n">
        <f aca="false">(G1239-H1239)/G1239</f>
        <v>0.0531914893617021</v>
      </c>
      <c r="J1239" s="15" t="n">
        <v>0.1291</v>
      </c>
      <c r="K1239" s="11" t="str">
        <f aca="false">IF(I1239&lt;J1239,"TAK","NIE")</f>
        <v>TAK</v>
      </c>
    </row>
    <row r="1240" customFormat="false" ht="15" hidden="false" customHeight="false" outlineLevel="0" collapsed="false">
      <c r="A1240" s="5" t="s">
        <v>389</v>
      </c>
      <c r="B1240" s="5" t="s">
        <v>73</v>
      </c>
      <c r="C1240" s="5" t="n">
        <v>2020</v>
      </c>
      <c r="D1240" s="5" t="s">
        <v>44</v>
      </c>
      <c r="E1240" s="5" t="s">
        <v>46</v>
      </c>
      <c r="F1240" s="5" t="s">
        <v>40</v>
      </c>
      <c r="G1240" s="6" t="n">
        <v>564</v>
      </c>
      <c r="H1240" s="6" t="n">
        <v>168</v>
      </c>
      <c r="I1240" s="7" t="n">
        <f aca="false">(G1240-H1240)/G1240</f>
        <v>0.702127659574468</v>
      </c>
      <c r="J1240" s="15" t="n">
        <v>0.1291</v>
      </c>
      <c r="K1240" s="11" t="str">
        <f aca="false">IF(I1240&lt;J1240,"TAK","NIE")</f>
        <v>NIE</v>
      </c>
    </row>
    <row r="1241" customFormat="false" ht="15" hidden="false" customHeight="false" outlineLevel="0" collapsed="false">
      <c r="A1241" s="5" t="s">
        <v>390</v>
      </c>
      <c r="B1241" s="5" t="s">
        <v>73</v>
      </c>
      <c r="C1241" s="5" t="n">
        <v>2020</v>
      </c>
      <c r="D1241" s="5" t="s">
        <v>44</v>
      </c>
      <c r="E1241" s="5" t="s">
        <v>46</v>
      </c>
      <c r="F1241" s="5" t="s">
        <v>40</v>
      </c>
      <c r="G1241" s="6" t="n">
        <v>564</v>
      </c>
      <c r="H1241" s="6" t="n">
        <v>536</v>
      </c>
      <c r="I1241" s="7" t="n">
        <f aca="false">(G1241-H1241)/G1241</f>
        <v>0.049645390070922</v>
      </c>
      <c r="J1241" s="15" t="n">
        <v>0.1291</v>
      </c>
      <c r="K1241" s="11" t="str">
        <f aca="false">IF(I1241&lt;J1241,"TAK","NIE")</f>
        <v>TAK</v>
      </c>
    </row>
    <row r="1242" customFormat="false" ht="15" hidden="false" customHeight="false" outlineLevel="0" collapsed="false">
      <c r="A1242" s="5" t="s">
        <v>391</v>
      </c>
      <c r="B1242" s="5" t="s">
        <v>73</v>
      </c>
      <c r="C1242" s="5" t="n">
        <v>2020</v>
      </c>
      <c r="D1242" s="5" t="s">
        <v>44</v>
      </c>
      <c r="E1242" s="5" t="s">
        <v>46</v>
      </c>
      <c r="F1242" s="5" t="s">
        <v>40</v>
      </c>
      <c r="G1242" s="6" t="n">
        <v>564</v>
      </c>
      <c r="H1242" s="6" t="n">
        <v>122</v>
      </c>
      <c r="I1242" s="7" t="n">
        <f aca="false">(G1242-H1242)/G1242</f>
        <v>0.783687943262411</v>
      </c>
      <c r="J1242" s="15" t="n">
        <v>0.1291</v>
      </c>
      <c r="K1242" s="11" t="str">
        <f aca="false">IF(I1242&lt;J1242,"TAK","NIE")</f>
        <v>NIE</v>
      </c>
    </row>
    <row r="1243" customFormat="false" ht="15" hidden="false" customHeight="false" outlineLevel="0" collapsed="false">
      <c r="A1243" s="5" t="s">
        <v>392</v>
      </c>
      <c r="B1243" s="5" t="s">
        <v>73</v>
      </c>
      <c r="C1243" s="5" t="n">
        <v>2020</v>
      </c>
      <c r="D1243" s="5" t="s">
        <v>44</v>
      </c>
      <c r="E1243" s="5" t="s">
        <v>46</v>
      </c>
      <c r="F1243" s="5" t="s">
        <v>40</v>
      </c>
      <c r="G1243" s="6" t="n">
        <v>564</v>
      </c>
      <c r="H1243" s="6" t="n">
        <v>226</v>
      </c>
      <c r="I1243" s="7" t="n">
        <f aca="false">(G1243-H1243)/G1243</f>
        <v>0.599290780141844</v>
      </c>
      <c r="J1243" s="15" t="n">
        <v>0.1291</v>
      </c>
      <c r="K1243" s="11" t="str">
        <f aca="false">IF(I1243&lt;J1243,"TAK","NIE")</f>
        <v>NIE</v>
      </c>
    </row>
    <row r="1244" customFormat="false" ht="15" hidden="false" customHeight="false" outlineLevel="0" collapsed="false">
      <c r="A1244" s="5" t="s">
        <v>378</v>
      </c>
      <c r="B1244" s="5" t="s">
        <v>43</v>
      </c>
      <c r="C1244" s="5" t="n">
        <v>2020</v>
      </c>
      <c r="D1244" s="5" t="s">
        <v>44</v>
      </c>
      <c r="E1244" s="5" t="s">
        <v>55</v>
      </c>
      <c r="F1244" s="5" t="s">
        <v>39</v>
      </c>
      <c r="G1244" s="6" t="n">
        <v>729</v>
      </c>
      <c r="H1244" s="6" t="n">
        <v>165</v>
      </c>
      <c r="I1244" s="7" t="n">
        <f aca="false">(G1244-H1244)/G1244</f>
        <v>0.773662551440329</v>
      </c>
      <c r="J1244" s="15" t="n">
        <v>0.2564</v>
      </c>
      <c r="K1244" s="11" t="str">
        <f aca="false">IF(I1244&lt;J1244,"TAK","NIE")</f>
        <v>NIE</v>
      </c>
    </row>
    <row r="1245" customFormat="false" ht="15" hidden="false" customHeight="false" outlineLevel="0" collapsed="false">
      <c r="A1245" s="5" t="s">
        <v>380</v>
      </c>
      <c r="B1245" s="5" t="s">
        <v>43</v>
      </c>
      <c r="C1245" s="5" t="n">
        <v>2020</v>
      </c>
      <c r="D1245" s="5" t="s">
        <v>44</v>
      </c>
      <c r="E1245" s="5" t="s">
        <v>55</v>
      </c>
      <c r="F1245" s="5" t="s">
        <v>39</v>
      </c>
      <c r="G1245" s="6" t="n">
        <v>729</v>
      </c>
      <c r="H1245" s="6" t="n">
        <v>452</v>
      </c>
      <c r="I1245" s="7" t="n">
        <f aca="false">(G1245-H1245)/G1245</f>
        <v>0.37997256515775</v>
      </c>
      <c r="J1245" s="15" t="n">
        <v>0.2564</v>
      </c>
      <c r="K1245" s="11" t="str">
        <f aca="false">IF(I1245&lt;J1245,"TAK","NIE")</f>
        <v>NIE</v>
      </c>
    </row>
    <row r="1246" customFormat="false" ht="15" hidden="false" customHeight="false" outlineLevel="0" collapsed="false">
      <c r="A1246" s="5" t="s">
        <v>381</v>
      </c>
      <c r="B1246" s="5" t="s">
        <v>43</v>
      </c>
      <c r="C1246" s="5" t="n">
        <v>2020</v>
      </c>
      <c r="D1246" s="5" t="s">
        <v>44</v>
      </c>
      <c r="E1246" s="5" t="s">
        <v>55</v>
      </c>
      <c r="F1246" s="5" t="s">
        <v>39</v>
      </c>
      <c r="G1246" s="6" t="n">
        <v>729</v>
      </c>
      <c r="H1246" s="6" t="n">
        <v>274</v>
      </c>
      <c r="I1246" s="7" t="n">
        <f aca="false">(G1246-H1246)/G1246</f>
        <v>0.624142661179698</v>
      </c>
      <c r="J1246" s="15" t="n">
        <v>0.2564</v>
      </c>
      <c r="K1246" s="11" t="str">
        <f aca="false">IF(I1246&lt;J1246,"TAK","NIE")</f>
        <v>NIE</v>
      </c>
    </row>
    <row r="1247" customFormat="false" ht="15" hidden="false" customHeight="false" outlineLevel="0" collapsed="false">
      <c r="A1247" s="5" t="s">
        <v>382</v>
      </c>
      <c r="B1247" s="5" t="s">
        <v>43</v>
      </c>
      <c r="C1247" s="5" t="n">
        <v>2020</v>
      </c>
      <c r="D1247" s="5" t="s">
        <v>44</v>
      </c>
      <c r="E1247" s="5" t="s">
        <v>55</v>
      </c>
      <c r="F1247" s="5" t="s">
        <v>39</v>
      </c>
      <c r="G1247" s="6" t="n">
        <v>729</v>
      </c>
      <c r="H1247" s="6" t="n">
        <v>424</v>
      </c>
      <c r="I1247" s="7" t="n">
        <f aca="false">(G1247-H1247)/G1247</f>
        <v>0.41838134430727</v>
      </c>
      <c r="J1247" s="15" t="n">
        <v>0.2564</v>
      </c>
      <c r="K1247" s="11" t="str">
        <f aca="false">IF(I1247&lt;J1247,"TAK","NIE")</f>
        <v>NIE</v>
      </c>
    </row>
    <row r="1248" customFormat="false" ht="15" hidden="false" customHeight="false" outlineLevel="0" collapsed="false">
      <c r="A1248" s="5" t="s">
        <v>393</v>
      </c>
      <c r="B1248" s="5" t="s">
        <v>43</v>
      </c>
      <c r="C1248" s="5" t="n">
        <v>2020</v>
      </c>
      <c r="D1248" s="5" t="s">
        <v>44</v>
      </c>
      <c r="E1248" s="5" t="s">
        <v>55</v>
      </c>
      <c r="F1248" s="5" t="s">
        <v>39</v>
      </c>
      <c r="G1248" s="6" t="n">
        <v>641</v>
      </c>
      <c r="H1248" s="6" t="n">
        <v>384</v>
      </c>
      <c r="I1248" s="7" t="n">
        <f aca="false">(G1248-H1248)/G1248</f>
        <v>0.400936037441498</v>
      </c>
      <c r="J1248" s="15" t="n">
        <v>0.2564</v>
      </c>
      <c r="K1248" s="11" t="str">
        <f aca="false">IF(I1248&lt;J1248,"TAK","NIE")</f>
        <v>NIE</v>
      </c>
    </row>
    <row r="1249" customFormat="false" ht="15" hidden="false" customHeight="false" outlineLevel="0" collapsed="false">
      <c r="A1249" s="5" t="s">
        <v>394</v>
      </c>
      <c r="B1249" s="5" t="s">
        <v>43</v>
      </c>
      <c r="C1249" s="5" t="n">
        <v>2020</v>
      </c>
      <c r="D1249" s="5" t="s">
        <v>44</v>
      </c>
      <c r="E1249" s="5" t="s">
        <v>55</v>
      </c>
      <c r="F1249" s="5" t="s">
        <v>39</v>
      </c>
      <c r="G1249" s="6" t="n">
        <v>729</v>
      </c>
      <c r="H1249" s="6" t="n">
        <v>338</v>
      </c>
      <c r="I1249" s="7" t="n">
        <f aca="false">(G1249-H1249)/G1249</f>
        <v>0.536351165980796</v>
      </c>
      <c r="J1249" s="15" t="n">
        <v>0.2564</v>
      </c>
      <c r="K1249" s="11" t="str">
        <f aca="false">IF(I1249&lt;J1249,"TAK","NIE")</f>
        <v>NIE</v>
      </c>
    </row>
    <row r="1250" customFormat="false" ht="15" hidden="false" customHeight="false" outlineLevel="0" collapsed="false">
      <c r="A1250" s="5" t="s">
        <v>383</v>
      </c>
      <c r="B1250" s="5" t="s">
        <v>43</v>
      </c>
      <c r="C1250" s="5" t="n">
        <v>2020</v>
      </c>
      <c r="D1250" s="5" t="s">
        <v>44</v>
      </c>
      <c r="E1250" s="5" t="s">
        <v>55</v>
      </c>
      <c r="F1250" s="5" t="s">
        <v>39</v>
      </c>
      <c r="G1250" s="6" t="n">
        <v>729</v>
      </c>
      <c r="H1250" s="6" t="n">
        <v>136</v>
      </c>
      <c r="I1250" s="7" t="n">
        <f aca="false">(G1250-H1250)/G1250</f>
        <v>0.813443072702332</v>
      </c>
      <c r="J1250" s="15" t="n">
        <v>0.2564</v>
      </c>
      <c r="K1250" s="11" t="str">
        <f aca="false">IF(I1250&lt;J1250,"TAK","NIE")</f>
        <v>NIE</v>
      </c>
    </row>
    <row r="1251" customFormat="false" ht="15" hidden="false" customHeight="false" outlineLevel="0" collapsed="false">
      <c r="A1251" s="5" t="s">
        <v>384</v>
      </c>
      <c r="B1251" s="5" t="s">
        <v>43</v>
      </c>
      <c r="C1251" s="5" t="n">
        <v>2020</v>
      </c>
      <c r="D1251" s="5" t="s">
        <v>44</v>
      </c>
      <c r="E1251" s="5" t="s">
        <v>55</v>
      </c>
      <c r="F1251" s="5" t="s">
        <v>39</v>
      </c>
      <c r="G1251" s="6" t="n">
        <v>729</v>
      </c>
      <c r="H1251" s="6" t="n">
        <v>211</v>
      </c>
      <c r="I1251" s="7" t="n">
        <f aca="false">(G1251-H1251)/G1251</f>
        <v>0.710562414266118</v>
      </c>
      <c r="J1251" s="15" t="n">
        <v>0.2564</v>
      </c>
      <c r="K1251" s="11" t="str">
        <f aca="false">IF(I1251&lt;J1251,"TAK","NIE")</f>
        <v>NIE</v>
      </c>
    </row>
    <row r="1252" customFormat="false" ht="15" hidden="false" customHeight="false" outlineLevel="0" collapsed="false">
      <c r="A1252" s="5" t="s">
        <v>385</v>
      </c>
      <c r="B1252" s="5" t="s">
        <v>43</v>
      </c>
      <c r="C1252" s="5" t="n">
        <v>2020</v>
      </c>
      <c r="D1252" s="5" t="s">
        <v>44</v>
      </c>
      <c r="E1252" s="5" t="s">
        <v>55</v>
      </c>
      <c r="F1252" s="5" t="s">
        <v>39</v>
      </c>
      <c r="G1252" s="6" t="n">
        <v>729</v>
      </c>
      <c r="H1252" s="6" t="n">
        <v>172</v>
      </c>
      <c r="I1252" s="7" t="n">
        <f aca="false">(G1252-H1252)/G1252</f>
        <v>0.764060356652949</v>
      </c>
      <c r="J1252" s="15" t="n">
        <v>0.2564</v>
      </c>
      <c r="K1252" s="11" t="str">
        <f aca="false">IF(I1252&lt;J1252,"TAK","NIE")</f>
        <v>NIE</v>
      </c>
    </row>
    <row r="1253" customFormat="false" ht="15" hidden="false" customHeight="false" outlineLevel="0" collapsed="false">
      <c r="A1253" s="5" t="s">
        <v>386</v>
      </c>
      <c r="B1253" s="5" t="s">
        <v>43</v>
      </c>
      <c r="C1253" s="5" t="n">
        <v>2020</v>
      </c>
      <c r="D1253" s="5" t="s">
        <v>44</v>
      </c>
      <c r="E1253" s="5" t="s">
        <v>55</v>
      </c>
      <c r="F1253" s="5" t="s">
        <v>39</v>
      </c>
      <c r="G1253" s="6" t="n">
        <v>729</v>
      </c>
      <c r="H1253" s="6" t="n">
        <v>135</v>
      </c>
      <c r="I1253" s="7" t="n">
        <f aca="false">(G1253-H1253)/G1253</f>
        <v>0.814814814814815</v>
      </c>
      <c r="J1253" s="15" t="n">
        <v>0.2564</v>
      </c>
      <c r="K1253" s="11" t="str">
        <f aca="false">IF(I1253&lt;J1253,"TAK","NIE")</f>
        <v>NIE</v>
      </c>
    </row>
    <row r="1254" customFormat="false" ht="15" hidden="false" customHeight="false" outlineLevel="0" collapsed="false">
      <c r="A1254" s="5" t="s">
        <v>387</v>
      </c>
      <c r="B1254" s="5" t="s">
        <v>43</v>
      </c>
      <c r="C1254" s="5" t="n">
        <v>2020</v>
      </c>
      <c r="D1254" s="5" t="s">
        <v>44</v>
      </c>
      <c r="E1254" s="5" t="s">
        <v>55</v>
      </c>
      <c r="F1254" s="5" t="s">
        <v>39</v>
      </c>
      <c r="G1254" s="6" t="n">
        <v>729</v>
      </c>
      <c r="H1254" s="6" t="n">
        <v>286</v>
      </c>
      <c r="I1254" s="7" t="n">
        <f aca="false">(G1254-H1254)/G1254</f>
        <v>0.607681755829904</v>
      </c>
      <c r="J1254" s="15" t="n">
        <v>0.2564</v>
      </c>
      <c r="K1254" s="11" t="str">
        <f aca="false">IF(I1254&lt;J1254,"TAK","NIE")</f>
        <v>NIE</v>
      </c>
    </row>
    <row r="1255" customFormat="false" ht="15" hidden="false" customHeight="false" outlineLevel="0" collapsed="false">
      <c r="A1255" s="5" t="s">
        <v>389</v>
      </c>
      <c r="B1255" s="5" t="s">
        <v>43</v>
      </c>
      <c r="C1255" s="5" t="n">
        <v>2020</v>
      </c>
      <c r="D1255" s="5" t="s">
        <v>44</v>
      </c>
      <c r="E1255" s="5" t="s">
        <v>55</v>
      </c>
      <c r="F1255" s="5" t="s">
        <v>39</v>
      </c>
      <c r="G1255" s="6" t="n">
        <v>729</v>
      </c>
      <c r="H1255" s="6" t="n">
        <v>289</v>
      </c>
      <c r="I1255" s="7" t="n">
        <f aca="false">(G1255-H1255)/G1255</f>
        <v>0.603566529492455</v>
      </c>
      <c r="J1255" s="15" t="n">
        <v>0.2564</v>
      </c>
      <c r="K1255" s="11" t="str">
        <f aca="false">IF(I1255&lt;J1255,"TAK","NIE")</f>
        <v>NIE</v>
      </c>
    </row>
    <row r="1256" customFormat="false" ht="15" hidden="false" customHeight="false" outlineLevel="0" collapsed="false">
      <c r="A1256" s="5" t="s">
        <v>391</v>
      </c>
      <c r="B1256" s="5" t="s">
        <v>43</v>
      </c>
      <c r="C1256" s="5" t="n">
        <v>2020</v>
      </c>
      <c r="D1256" s="5" t="s">
        <v>44</v>
      </c>
      <c r="E1256" s="5" t="s">
        <v>55</v>
      </c>
      <c r="F1256" s="5" t="s">
        <v>39</v>
      </c>
      <c r="G1256" s="6" t="n">
        <v>729</v>
      </c>
      <c r="H1256" s="6" t="n">
        <v>278</v>
      </c>
      <c r="I1256" s="7" t="n">
        <f aca="false">(G1256-H1256)/G1256</f>
        <v>0.618655692729767</v>
      </c>
      <c r="J1256" s="15" t="n">
        <v>0.2564</v>
      </c>
      <c r="K1256" s="11" t="str">
        <f aca="false">IF(I1256&lt;J1256,"TAK","NIE")</f>
        <v>NIE</v>
      </c>
    </row>
    <row r="1257" customFormat="false" ht="15" hidden="false" customHeight="false" outlineLevel="0" collapsed="false">
      <c r="A1257" s="5" t="s">
        <v>392</v>
      </c>
      <c r="B1257" s="5" t="s">
        <v>43</v>
      </c>
      <c r="C1257" s="5" t="n">
        <v>2020</v>
      </c>
      <c r="D1257" s="5" t="s">
        <v>44</v>
      </c>
      <c r="E1257" s="5" t="s">
        <v>55</v>
      </c>
      <c r="F1257" s="5" t="s">
        <v>39</v>
      </c>
      <c r="G1257" s="6" t="n">
        <v>729</v>
      </c>
      <c r="H1257" s="6" t="n">
        <v>215</v>
      </c>
      <c r="I1257" s="7" t="n">
        <f aca="false">(G1257-H1257)/G1257</f>
        <v>0.705075445816187</v>
      </c>
      <c r="J1257" s="15" t="n">
        <v>0.2564</v>
      </c>
      <c r="K1257" s="11" t="str">
        <f aca="false">IF(I1257&lt;J1257,"TAK","NIE")</f>
        <v>NIE</v>
      </c>
    </row>
    <row r="1258" customFormat="false" ht="15" hidden="false" customHeight="false" outlineLevel="0" collapsed="false">
      <c r="A1258" s="5" t="s">
        <v>378</v>
      </c>
      <c r="B1258" s="5" t="s">
        <v>43</v>
      </c>
      <c r="C1258" s="5" t="n">
        <v>2020</v>
      </c>
      <c r="D1258" s="5" t="s">
        <v>44</v>
      </c>
      <c r="E1258" s="5" t="s">
        <v>55</v>
      </c>
      <c r="F1258" s="5" t="s">
        <v>40</v>
      </c>
      <c r="G1258" s="6" t="n">
        <v>479</v>
      </c>
      <c r="H1258" s="6" t="n">
        <v>144</v>
      </c>
      <c r="I1258" s="7" t="n">
        <f aca="false">(G1258-H1258)/G1258</f>
        <v>0.69937369519833</v>
      </c>
      <c r="J1258" s="15" t="n">
        <v>0.2235</v>
      </c>
      <c r="K1258" s="11" t="str">
        <f aca="false">IF(I1258&lt;J1258,"TAK","NIE")</f>
        <v>NIE</v>
      </c>
    </row>
    <row r="1259" customFormat="false" ht="15" hidden="false" customHeight="false" outlineLevel="0" collapsed="false">
      <c r="A1259" s="5" t="s">
        <v>380</v>
      </c>
      <c r="B1259" s="5" t="s">
        <v>43</v>
      </c>
      <c r="C1259" s="5" t="n">
        <v>2020</v>
      </c>
      <c r="D1259" s="5" t="s">
        <v>44</v>
      </c>
      <c r="E1259" s="5" t="s">
        <v>55</v>
      </c>
      <c r="F1259" s="5" t="s">
        <v>40</v>
      </c>
      <c r="G1259" s="6" t="n">
        <v>479</v>
      </c>
      <c r="H1259" s="6" t="n">
        <v>299</v>
      </c>
      <c r="I1259" s="7" t="n">
        <f aca="false">(G1259-H1259)/G1259</f>
        <v>0.375782881002088</v>
      </c>
      <c r="J1259" s="15" t="n">
        <v>0.2235</v>
      </c>
      <c r="K1259" s="11" t="str">
        <f aca="false">IF(I1259&lt;J1259,"TAK","NIE")</f>
        <v>NIE</v>
      </c>
    </row>
    <row r="1260" customFormat="false" ht="15" hidden="false" customHeight="false" outlineLevel="0" collapsed="false">
      <c r="A1260" s="5" t="s">
        <v>381</v>
      </c>
      <c r="B1260" s="5" t="s">
        <v>43</v>
      </c>
      <c r="C1260" s="5" t="n">
        <v>2020</v>
      </c>
      <c r="D1260" s="5" t="s">
        <v>44</v>
      </c>
      <c r="E1260" s="5" t="s">
        <v>55</v>
      </c>
      <c r="F1260" s="5" t="s">
        <v>40</v>
      </c>
      <c r="G1260" s="6" t="n">
        <v>479</v>
      </c>
      <c r="H1260" s="6" t="n">
        <v>240</v>
      </c>
      <c r="I1260" s="7" t="n">
        <f aca="false">(G1260-H1260)/G1260</f>
        <v>0.498956158663883</v>
      </c>
      <c r="J1260" s="15" t="n">
        <v>0.2235</v>
      </c>
      <c r="K1260" s="11" t="str">
        <f aca="false">IF(I1260&lt;J1260,"TAK","NIE")</f>
        <v>NIE</v>
      </c>
    </row>
    <row r="1261" customFormat="false" ht="15" hidden="false" customHeight="false" outlineLevel="0" collapsed="false">
      <c r="A1261" s="5" t="s">
        <v>382</v>
      </c>
      <c r="B1261" s="5" t="s">
        <v>43</v>
      </c>
      <c r="C1261" s="5" t="n">
        <v>2020</v>
      </c>
      <c r="D1261" s="5" t="s">
        <v>44</v>
      </c>
      <c r="E1261" s="5" t="s">
        <v>55</v>
      </c>
      <c r="F1261" s="5" t="s">
        <v>40</v>
      </c>
      <c r="G1261" s="6" t="n">
        <v>479</v>
      </c>
      <c r="H1261" s="6" t="n">
        <v>208</v>
      </c>
      <c r="I1261" s="7" t="n">
        <f aca="false">(G1261-H1261)/G1261</f>
        <v>0.565762004175365</v>
      </c>
      <c r="J1261" s="15" t="n">
        <v>0.2235</v>
      </c>
      <c r="K1261" s="11" t="str">
        <f aca="false">IF(I1261&lt;J1261,"TAK","NIE")</f>
        <v>NIE</v>
      </c>
    </row>
    <row r="1262" customFormat="false" ht="15" hidden="false" customHeight="false" outlineLevel="0" collapsed="false">
      <c r="A1262" s="5" t="s">
        <v>394</v>
      </c>
      <c r="B1262" s="5" t="s">
        <v>43</v>
      </c>
      <c r="C1262" s="5" t="n">
        <v>2020</v>
      </c>
      <c r="D1262" s="5" t="s">
        <v>44</v>
      </c>
      <c r="E1262" s="5" t="s">
        <v>55</v>
      </c>
      <c r="F1262" s="5" t="s">
        <v>40</v>
      </c>
      <c r="G1262" s="6" t="n">
        <v>479</v>
      </c>
      <c r="H1262" s="6" t="n">
        <v>246</v>
      </c>
      <c r="I1262" s="7" t="n">
        <f aca="false">(G1262-H1262)/G1262</f>
        <v>0.48643006263048</v>
      </c>
      <c r="J1262" s="15" t="n">
        <v>0.2235</v>
      </c>
      <c r="K1262" s="11" t="str">
        <f aca="false">IF(I1262&lt;J1262,"TAK","NIE")</f>
        <v>NIE</v>
      </c>
    </row>
    <row r="1263" customFormat="false" ht="15" hidden="false" customHeight="false" outlineLevel="0" collapsed="false">
      <c r="A1263" s="5" t="s">
        <v>383</v>
      </c>
      <c r="B1263" s="5" t="s">
        <v>43</v>
      </c>
      <c r="C1263" s="5" t="n">
        <v>2020</v>
      </c>
      <c r="D1263" s="5" t="s">
        <v>44</v>
      </c>
      <c r="E1263" s="5" t="s">
        <v>55</v>
      </c>
      <c r="F1263" s="5" t="s">
        <v>40</v>
      </c>
      <c r="G1263" s="6" t="n">
        <v>479</v>
      </c>
      <c r="H1263" s="6" t="n">
        <v>112</v>
      </c>
      <c r="I1263" s="7" t="n">
        <f aca="false">(G1263-H1263)/G1263</f>
        <v>0.766179540709812</v>
      </c>
      <c r="J1263" s="15" t="n">
        <v>0.2235</v>
      </c>
      <c r="K1263" s="11" t="str">
        <f aca="false">IF(I1263&lt;J1263,"TAK","NIE")</f>
        <v>NIE</v>
      </c>
    </row>
    <row r="1264" customFormat="false" ht="15" hidden="false" customHeight="false" outlineLevel="0" collapsed="false">
      <c r="A1264" s="5" t="s">
        <v>384</v>
      </c>
      <c r="B1264" s="5" t="s">
        <v>43</v>
      </c>
      <c r="C1264" s="5" t="n">
        <v>2020</v>
      </c>
      <c r="D1264" s="5" t="s">
        <v>44</v>
      </c>
      <c r="E1264" s="5" t="s">
        <v>55</v>
      </c>
      <c r="F1264" s="5" t="s">
        <v>40</v>
      </c>
      <c r="G1264" s="6" t="n">
        <v>479</v>
      </c>
      <c r="H1264" s="6" t="n">
        <v>156</v>
      </c>
      <c r="I1264" s="7" t="n">
        <f aca="false">(G1264-H1264)/G1264</f>
        <v>0.674321503131524</v>
      </c>
      <c r="J1264" s="15" t="n">
        <v>0.2235</v>
      </c>
      <c r="K1264" s="11" t="str">
        <f aca="false">IF(I1264&lt;J1264,"TAK","NIE")</f>
        <v>NIE</v>
      </c>
    </row>
    <row r="1265" customFormat="false" ht="15" hidden="false" customHeight="false" outlineLevel="0" collapsed="false">
      <c r="A1265" s="5" t="s">
        <v>385</v>
      </c>
      <c r="B1265" s="5" t="s">
        <v>43</v>
      </c>
      <c r="C1265" s="5" t="n">
        <v>2020</v>
      </c>
      <c r="D1265" s="5" t="s">
        <v>44</v>
      </c>
      <c r="E1265" s="5" t="s">
        <v>55</v>
      </c>
      <c r="F1265" s="5" t="s">
        <v>40</v>
      </c>
      <c r="G1265" s="6" t="n">
        <v>479</v>
      </c>
      <c r="H1265" s="6" t="n">
        <v>126</v>
      </c>
      <c r="I1265" s="7" t="n">
        <f aca="false">(G1265-H1265)/G1265</f>
        <v>0.736951983298539</v>
      </c>
      <c r="J1265" s="15" t="n">
        <v>0.2235</v>
      </c>
      <c r="K1265" s="11" t="str">
        <f aca="false">IF(I1265&lt;J1265,"TAK","NIE")</f>
        <v>NIE</v>
      </c>
    </row>
    <row r="1266" customFormat="false" ht="15" hidden="false" customHeight="false" outlineLevel="0" collapsed="false">
      <c r="A1266" s="5" t="s">
        <v>386</v>
      </c>
      <c r="B1266" s="5" t="s">
        <v>43</v>
      </c>
      <c r="C1266" s="5" t="n">
        <v>2020</v>
      </c>
      <c r="D1266" s="5" t="s">
        <v>44</v>
      </c>
      <c r="E1266" s="5" t="s">
        <v>55</v>
      </c>
      <c r="F1266" s="5" t="s">
        <v>40</v>
      </c>
      <c r="G1266" s="6" t="n">
        <v>479</v>
      </c>
      <c r="H1266" s="6" t="n">
        <v>106</v>
      </c>
      <c r="I1266" s="7" t="n">
        <f aca="false">(G1266-H1266)/G1266</f>
        <v>0.778705636743215</v>
      </c>
      <c r="J1266" s="15" t="n">
        <v>0.2235</v>
      </c>
      <c r="K1266" s="11" t="str">
        <f aca="false">IF(I1266&lt;J1266,"TAK","NIE")</f>
        <v>NIE</v>
      </c>
    </row>
    <row r="1267" customFormat="false" ht="15" hidden="false" customHeight="false" outlineLevel="0" collapsed="false">
      <c r="A1267" s="5" t="s">
        <v>387</v>
      </c>
      <c r="B1267" s="5" t="s">
        <v>43</v>
      </c>
      <c r="C1267" s="5" t="n">
        <v>2020</v>
      </c>
      <c r="D1267" s="5" t="s">
        <v>44</v>
      </c>
      <c r="E1267" s="5" t="s">
        <v>55</v>
      </c>
      <c r="F1267" s="5" t="s">
        <v>40</v>
      </c>
      <c r="G1267" s="6" t="n">
        <v>479</v>
      </c>
      <c r="H1267" s="6" t="n">
        <v>162</v>
      </c>
      <c r="I1267" s="7" t="n">
        <f aca="false">(G1267-H1267)/G1267</f>
        <v>0.661795407098121</v>
      </c>
      <c r="J1267" s="15" t="n">
        <v>0.2235</v>
      </c>
      <c r="K1267" s="11" t="str">
        <f aca="false">IF(I1267&lt;J1267,"TAK","NIE")</f>
        <v>NIE</v>
      </c>
    </row>
    <row r="1268" customFormat="false" ht="15" hidden="false" customHeight="false" outlineLevel="0" collapsed="false">
      <c r="A1268" s="5" t="s">
        <v>389</v>
      </c>
      <c r="B1268" s="5" t="s">
        <v>43</v>
      </c>
      <c r="C1268" s="5" t="n">
        <v>2020</v>
      </c>
      <c r="D1268" s="5" t="s">
        <v>44</v>
      </c>
      <c r="E1268" s="5" t="s">
        <v>55</v>
      </c>
      <c r="F1268" s="5" t="s">
        <v>40</v>
      </c>
      <c r="G1268" s="6" t="n">
        <v>479</v>
      </c>
      <c r="H1268" s="6" t="n">
        <v>226</v>
      </c>
      <c r="I1268" s="7" t="n">
        <f aca="false">(G1268-H1268)/G1268</f>
        <v>0.528183716075157</v>
      </c>
      <c r="J1268" s="15" t="n">
        <v>0.2235</v>
      </c>
      <c r="K1268" s="11" t="str">
        <f aca="false">IF(I1268&lt;J1268,"TAK","NIE")</f>
        <v>NIE</v>
      </c>
    </row>
    <row r="1269" customFormat="false" ht="15" hidden="false" customHeight="false" outlineLevel="0" collapsed="false">
      <c r="A1269" s="5" t="s">
        <v>391</v>
      </c>
      <c r="B1269" s="5" t="s">
        <v>43</v>
      </c>
      <c r="C1269" s="5" t="n">
        <v>2020</v>
      </c>
      <c r="D1269" s="5" t="s">
        <v>44</v>
      </c>
      <c r="E1269" s="5" t="s">
        <v>55</v>
      </c>
      <c r="F1269" s="5" t="s">
        <v>40</v>
      </c>
      <c r="G1269" s="6" t="n">
        <v>479</v>
      </c>
      <c r="H1269" s="6" t="n">
        <v>129</v>
      </c>
      <c r="I1269" s="7" t="n">
        <f aca="false">(G1269-H1269)/G1269</f>
        <v>0.730688935281837</v>
      </c>
      <c r="J1269" s="15" t="n">
        <v>0.2235</v>
      </c>
      <c r="K1269" s="11" t="str">
        <f aca="false">IF(I1269&lt;J1269,"TAK","NIE")</f>
        <v>NIE</v>
      </c>
    </row>
    <row r="1270" customFormat="false" ht="15" hidden="false" customHeight="false" outlineLevel="0" collapsed="false">
      <c r="A1270" s="5" t="s">
        <v>392</v>
      </c>
      <c r="B1270" s="5" t="s">
        <v>43</v>
      </c>
      <c r="C1270" s="5" t="n">
        <v>2020</v>
      </c>
      <c r="D1270" s="5" t="s">
        <v>44</v>
      </c>
      <c r="E1270" s="5" t="s">
        <v>55</v>
      </c>
      <c r="F1270" s="5" t="s">
        <v>40</v>
      </c>
      <c r="G1270" s="6" t="n">
        <v>479</v>
      </c>
      <c r="H1270" s="6" t="n">
        <v>135</v>
      </c>
      <c r="I1270" s="7" t="n">
        <f aca="false">(G1270-H1270)/G1270</f>
        <v>0.718162839248434</v>
      </c>
      <c r="J1270" s="15" t="n">
        <v>0.2235</v>
      </c>
      <c r="K1270" s="11" t="str">
        <f aca="false">IF(I1270&lt;J1270,"TAK","NIE")</f>
        <v>NIE</v>
      </c>
    </row>
    <row r="1271" customFormat="false" ht="15" hidden="false" customHeight="false" outlineLevel="0" collapsed="false">
      <c r="A1271" s="5" t="s">
        <v>395</v>
      </c>
      <c r="B1271" s="5" t="s">
        <v>74</v>
      </c>
      <c r="C1271" s="5" t="n">
        <v>2020</v>
      </c>
      <c r="D1271" s="5" t="s">
        <v>59</v>
      </c>
      <c r="E1271" s="5" t="s">
        <v>38</v>
      </c>
      <c r="F1271" s="5" t="s">
        <v>39</v>
      </c>
      <c r="G1271" s="6" t="n">
        <v>434</v>
      </c>
      <c r="H1271" s="6" t="n">
        <v>7</v>
      </c>
      <c r="I1271" s="7" t="n">
        <f aca="false">(G1271-H1271)/G1271</f>
        <v>0.983870967741936</v>
      </c>
      <c r="J1271" s="15" t="n">
        <v>0.566</v>
      </c>
      <c r="K1271" s="11" t="str">
        <f aca="false">IF(I1271&lt;J1271,"TAK","NIE")</f>
        <v>NIE</v>
      </c>
    </row>
    <row r="1272" customFormat="false" ht="15" hidden="false" customHeight="false" outlineLevel="0" collapsed="false">
      <c r="A1272" s="5" t="s">
        <v>396</v>
      </c>
      <c r="B1272" s="5" t="s">
        <v>74</v>
      </c>
      <c r="C1272" s="5" t="n">
        <v>2020</v>
      </c>
      <c r="D1272" s="5" t="s">
        <v>59</v>
      </c>
      <c r="E1272" s="5" t="s">
        <v>38</v>
      </c>
      <c r="F1272" s="5" t="s">
        <v>39</v>
      </c>
      <c r="G1272" s="6" t="n">
        <v>415</v>
      </c>
      <c r="H1272" s="6" t="n">
        <v>133</v>
      </c>
      <c r="I1272" s="7" t="n">
        <f aca="false">(G1272-H1272)/G1272</f>
        <v>0.679518072289157</v>
      </c>
      <c r="J1272" s="15" t="n">
        <v>0.566</v>
      </c>
      <c r="K1272" s="11" t="str">
        <f aca="false">IF(I1272&lt;J1272,"TAK","NIE")</f>
        <v>NIE</v>
      </c>
    </row>
    <row r="1273" customFormat="false" ht="15" hidden="false" customHeight="false" outlineLevel="0" collapsed="false">
      <c r="A1273" s="5" t="s">
        <v>397</v>
      </c>
      <c r="B1273" s="5" t="s">
        <v>74</v>
      </c>
      <c r="C1273" s="5" t="n">
        <v>2020</v>
      </c>
      <c r="D1273" s="5" t="s">
        <v>59</v>
      </c>
      <c r="E1273" s="5" t="s">
        <v>38</v>
      </c>
      <c r="F1273" s="5" t="s">
        <v>39</v>
      </c>
      <c r="G1273" s="6" t="n">
        <v>434</v>
      </c>
      <c r="H1273" s="6" t="n">
        <v>62</v>
      </c>
      <c r="I1273" s="7" t="n">
        <f aca="false">(G1273-H1273)/G1273</f>
        <v>0.857142857142857</v>
      </c>
      <c r="J1273" s="15" t="n">
        <v>0.566</v>
      </c>
      <c r="K1273" s="11" t="str">
        <f aca="false">IF(I1273&lt;J1273,"TAK","NIE")</f>
        <v>NIE</v>
      </c>
    </row>
    <row r="1274" customFormat="false" ht="15" hidden="false" customHeight="false" outlineLevel="0" collapsed="false">
      <c r="A1274" s="5" t="s">
        <v>398</v>
      </c>
      <c r="B1274" s="5" t="s">
        <v>74</v>
      </c>
      <c r="C1274" s="5" t="n">
        <v>2020</v>
      </c>
      <c r="D1274" s="5" t="s">
        <v>59</v>
      </c>
      <c r="E1274" s="5" t="s">
        <v>38</v>
      </c>
      <c r="F1274" s="5" t="s">
        <v>39</v>
      </c>
      <c r="G1274" s="6" t="n">
        <v>434</v>
      </c>
      <c r="H1274" s="6" t="n">
        <v>87</v>
      </c>
      <c r="I1274" s="7" t="n">
        <f aca="false">(G1274-H1274)/G1274</f>
        <v>0.799539170506913</v>
      </c>
      <c r="J1274" s="15" t="n">
        <v>0.566</v>
      </c>
      <c r="K1274" s="11" t="str">
        <f aca="false">IF(I1274&lt;J1274,"TAK","NIE")</f>
        <v>NIE</v>
      </c>
    </row>
    <row r="1275" customFormat="false" ht="15" hidden="false" customHeight="false" outlineLevel="0" collapsed="false">
      <c r="A1275" s="5" t="s">
        <v>399</v>
      </c>
      <c r="B1275" s="5" t="s">
        <v>74</v>
      </c>
      <c r="C1275" s="5" t="n">
        <v>2020</v>
      </c>
      <c r="D1275" s="5" t="s">
        <v>59</v>
      </c>
      <c r="E1275" s="5" t="s">
        <v>38</v>
      </c>
      <c r="F1275" s="5" t="s">
        <v>39</v>
      </c>
      <c r="G1275" s="6" t="n">
        <v>415</v>
      </c>
      <c r="H1275" s="6" t="n">
        <v>98</v>
      </c>
      <c r="I1275" s="7" t="n">
        <f aca="false">(G1275-H1275)/G1275</f>
        <v>0.763855421686747</v>
      </c>
      <c r="J1275" s="15" t="n">
        <v>0.566</v>
      </c>
      <c r="K1275" s="11" t="str">
        <f aca="false">IF(I1275&lt;J1275,"TAK","NIE")</f>
        <v>NIE</v>
      </c>
    </row>
    <row r="1276" customFormat="false" ht="15" hidden="false" customHeight="false" outlineLevel="0" collapsed="false">
      <c r="A1276" s="5" t="s">
        <v>400</v>
      </c>
      <c r="B1276" s="5" t="s">
        <v>74</v>
      </c>
      <c r="C1276" s="5" t="n">
        <v>2020</v>
      </c>
      <c r="D1276" s="5" t="s">
        <v>59</v>
      </c>
      <c r="E1276" s="5" t="s">
        <v>38</v>
      </c>
      <c r="F1276" s="5" t="s">
        <v>39</v>
      </c>
      <c r="G1276" s="6" t="n">
        <v>414</v>
      </c>
      <c r="H1276" s="6" t="n">
        <v>8</v>
      </c>
      <c r="I1276" s="7" t="n">
        <f aca="false">(G1276-H1276)/G1276</f>
        <v>0.980676328502416</v>
      </c>
      <c r="J1276" s="15" t="n">
        <v>0.566</v>
      </c>
      <c r="K1276" s="11" t="str">
        <f aca="false">IF(I1276&lt;J1276,"TAK","NIE")</f>
        <v>NIE</v>
      </c>
    </row>
    <row r="1277" customFormat="false" ht="15" hidden="false" customHeight="false" outlineLevel="0" collapsed="false">
      <c r="A1277" s="5" t="s">
        <v>401</v>
      </c>
      <c r="B1277" s="5" t="s">
        <v>74</v>
      </c>
      <c r="C1277" s="5" t="n">
        <v>2020</v>
      </c>
      <c r="D1277" s="5" t="s">
        <v>59</v>
      </c>
      <c r="E1277" s="5" t="s">
        <v>38</v>
      </c>
      <c r="F1277" s="5" t="s">
        <v>39</v>
      </c>
      <c r="G1277" s="6" t="n">
        <v>434</v>
      </c>
      <c r="H1277" s="6" t="n">
        <v>19</v>
      </c>
      <c r="I1277" s="7" t="n">
        <f aca="false">(G1277-H1277)/G1277</f>
        <v>0.956221198156682</v>
      </c>
      <c r="J1277" s="15" t="n">
        <v>0.566</v>
      </c>
      <c r="K1277" s="11" t="str">
        <f aca="false">IF(I1277&lt;J1277,"TAK","NIE")</f>
        <v>NIE</v>
      </c>
    </row>
    <row r="1278" customFormat="false" ht="15" hidden="false" customHeight="false" outlineLevel="0" collapsed="false">
      <c r="A1278" s="5" t="s">
        <v>402</v>
      </c>
      <c r="B1278" s="5" t="s">
        <v>74</v>
      </c>
      <c r="C1278" s="5" t="n">
        <v>2020</v>
      </c>
      <c r="D1278" s="5" t="s">
        <v>59</v>
      </c>
      <c r="E1278" s="5" t="s">
        <v>38</v>
      </c>
      <c r="F1278" s="5" t="s">
        <v>39</v>
      </c>
      <c r="G1278" s="6" t="n">
        <v>434</v>
      </c>
      <c r="H1278" s="6" t="n">
        <v>83</v>
      </c>
      <c r="I1278" s="7" t="n">
        <f aca="false">(G1278-H1278)/G1278</f>
        <v>0.808755760368664</v>
      </c>
      <c r="J1278" s="15" t="n">
        <v>0.566</v>
      </c>
      <c r="K1278" s="11" t="str">
        <f aca="false">IF(I1278&lt;J1278,"TAK","NIE")</f>
        <v>NIE</v>
      </c>
    </row>
    <row r="1279" customFormat="false" ht="15" hidden="false" customHeight="false" outlineLevel="0" collapsed="false">
      <c r="A1279" s="5" t="s">
        <v>403</v>
      </c>
      <c r="B1279" s="5" t="s">
        <v>74</v>
      </c>
      <c r="C1279" s="5" t="n">
        <v>2020</v>
      </c>
      <c r="D1279" s="5" t="s">
        <v>59</v>
      </c>
      <c r="E1279" s="5" t="s">
        <v>38</v>
      </c>
      <c r="F1279" s="5" t="s">
        <v>39</v>
      </c>
      <c r="G1279" s="6" t="n">
        <v>434</v>
      </c>
      <c r="H1279" s="6" t="n">
        <v>117</v>
      </c>
      <c r="I1279" s="7" t="n">
        <f aca="false">(G1279-H1279)/G1279</f>
        <v>0.730414746543779</v>
      </c>
      <c r="J1279" s="15" t="n">
        <v>0.566</v>
      </c>
      <c r="K1279" s="11" t="str">
        <f aca="false">IF(I1279&lt;J1279,"TAK","NIE")</f>
        <v>NIE</v>
      </c>
    </row>
    <row r="1280" customFormat="false" ht="15" hidden="false" customHeight="false" outlineLevel="0" collapsed="false">
      <c r="A1280" s="5" t="s">
        <v>404</v>
      </c>
      <c r="B1280" s="5" t="s">
        <v>74</v>
      </c>
      <c r="C1280" s="5" t="n">
        <v>2020</v>
      </c>
      <c r="D1280" s="5" t="s">
        <v>59</v>
      </c>
      <c r="E1280" s="5" t="s">
        <v>38</v>
      </c>
      <c r="F1280" s="5" t="s">
        <v>39</v>
      </c>
      <c r="G1280" s="6" t="n">
        <v>434</v>
      </c>
      <c r="H1280" s="6" t="n">
        <v>42</v>
      </c>
      <c r="I1280" s="7" t="n">
        <f aca="false">(G1280-H1280)/G1280</f>
        <v>0.903225806451613</v>
      </c>
      <c r="J1280" s="15" t="n">
        <v>0.566</v>
      </c>
      <c r="K1280" s="11" t="str">
        <f aca="false">IF(I1280&lt;J1280,"TAK","NIE")</f>
        <v>NIE</v>
      </c>
    </row>
    <row r="1281" customFormat="false" ht="15" hidden="false" customHeight="false" outlineLevel="0" collapsed="false">
      <c r="A1281" s="5" t="s">
        <v>405</v>
      </c>
      <c r="B1281" s="5" t="s">
        <v>74</v>
      </c>
      <c r="C1281" s="5" t="n">
        <v>2020</v>
      </c>
      <c r="D1281" s="5" t="s">
        <v>59</v>
      </c>
      <c r="E1281" s="5" t="s">
        <v>38</v>
      </c>
      <c r="F1281" s="5" t="s">
        <v>39</v>
      </c>
      <c r="G1281" s="6" t="n">
        <v>434</v>
      </c>
      <c r="H1281" s="6" t="n">
        <v>55</v>
      </c>
      <c r="I1281" s="7" t="n">
        <f aca="false">(G1281-H1281)/G1281</f>
        <v>0.873271889400922</v>
      </c>
      <c r="J1281" s="15" t="n">
        <v>0.566</v>
      </c>
      <c r="K1281" s="11" t="str">
        <f aca="false">IF(I1281&lt;J1281,"TAK","NIE")</f>
        <v>NIE</v>
      </c>
    </row>
    <row r="1282" customFormat="false" ht="15" hidden="false" customHeight="false" outlineLevel="0" collapsed="false">
      <c r="A1282" s="5" t="s">
        <v>406</v>
      </c>
      <c r="B1282" s="5" t="s">
        <v>74</v>
      </c>
      <c r="C1282" s="5" t="n">
        <v>2020</v>
      </c>
      <c r="D1282" s="5" t="s">
        <v>59</v>
      </c>
      <c r="E1282" s="5" t="s">
        <v>38</v>
      </c>
      <c r="F1282" s="5" t="s">
        <v>39</v>
      </c>
      <c r="G1282" s="6" t="n">
        <v>434</v>
      </c>
      <c r="H1282" s="6" t="n">
        <v>8</v>
      </c>
      <c r="I1282" s="7" t="n">
        <f aca="false">(G1282-H1282)/G1282</f>
        <v>0.981566820276498</v>
      </c>
      <c r="J1282" s="15" t="n">
        <v>0.566</v>
      </c>
      <c r="K1282" s="11" t="str">
        <f aca="false">IF(I1282&lt;J1282,"TAK","NIE")</f>
        <v>NIE</v>
      </c>
    </row>
    <row r="1283" customFormat="false" ht="15" hidden="false" customHeight="false" outlineLevel="0" collapsed="false">
      <c r="A1283" s="5" t="s">
        <v>407</v>
      </c>
      <c r="B1283" s="5" t="s">
        <v>74</v>
      </c>
      <c r="C1283" s="5" t="n">
        <v>2020</v>
      </c>
      <c r="D1283" s="5" t="s">
        <v>59</v>
      </c>
      <c r="E1283" s="5" t="s">
        <v>38</v>
      </c>
      <c r="F1283" s="5" t="s">
        <v>39</v>
      </c>
      <c r="G1283" s="6" t="n">
        <v>542</v>
      </c>
      <c r="H1283" s="6" t="n">
        <v>162</v>
      </c>
      <c r="I1283" s="7" t="n">
        <f aca="false">(G1283-H1283)/G1283</f>
        <v>0.701107011070111</v>
      </c>
      <c r="J1283" s="15" t="n">
        <v>0.566</v>
      </c>
      <c r="K1283" s="11" t="str">
        <f aca="false">IF(I1283&lt;J1283,"TAK","NIE")</f>
        <v>NIE</v>
      </c>
    </row>
    <row r="1284" customFormat="false" ht="15" hidden="false" customHeight="false" outlineLevel="0" collapsed="false">
      <c r="A1284" s="5" t="s">
        <v>408</v>
      </c>
      <c r="B1284" s="5" t="s">
        <v>74</v>
      </c>
      <c r="C1284" s="5" t="n">
        <v>2020</v>
      </c>
      <c r="D1284" s="5" t="s">
        <v>59</v>
      </c>
      <c r="E1284" s="5" t="s">
        <v>38</v>
      </c>
      <c r="F1284" s="5" t="s">
        <v>39</v>
      </c>
      <c r="G1284" s="6" t="n">
        <v>434</v>
      </c>
      <c r="H1284" s="6" t="n">
        <v>30</v>
      </c>
      <c r="I1284" s="7" t="n">
        <f aca="false">(G1284-H1284)/G1284</f>
        <v>0.930875576036866</v>
      </c>
      <c r="J1284" s="15" t="n">
        <v>0.566</v>
      </c>
      <c r="K1284" s="11" t="str">
        <f aca="false">IF(I1284&lt;J1284,"TAK","NIE")</f>
        <v>NIE</v>
      </c>
    </row>
    <row r="1285" customFormat="false" ht="15" hidden="false" customHeight="false" outlineLevel="0" collapsed="false">
      <c r="A1285" s="5" t="s">
        <v>409</v>
      </c>
      <c r="B1285" s="5" t="s">
        <v>74</v>
      </c>
      <c r="C1285" s="5" t="n">
        <v>2020</v>
      </c>
      <c r="D1285" s="5" t="s">
        <v>59</v>
      </c>
      <c r="E1285" s="5" t="s">
        <v>38</v>
      </c>
      <c r="F1285" s="5" t="s">
        <v>39</v>
      </c>
      <c r="G1285" s="6" t="n">
        <v>434</v>
      </c>
      <c r="H1285" s="6" t="n">
        <v>18</v>
      </c>
      <c r="I1285" s="7" t="n">
        <f aca="false">(G1285-H1285)/G1285</f>
        <v>0.95852534562212</v>
      </c>
      <c r="J1285" s="15" t="n">
        <v>0.566</v>
      </c>
      <c r="K1285" s="11" t="str">
        <f aca="false">IF(I1285&lt;J1285,"TAK","NIE")</f>
        <v>NIE</v>
      </c>
    </row>
    <row r="1286" customFormat="false" ht="15" hidden="false" customHeight="false" outlineLevel="0" collapsed="false">
      <c r="A1286" s="5" t="s">
        <v>410</v>
      </c>
      <c r="B1286" s="5" t="s">
        <v>74</v>
      </c>
      <c r="C1286" s="5" t="n">
        <v>2020</v>
      </c>
      <c r="D1286" s="5" t="s">
        <v>59</v>
      </c>
      <c r="E1286" s="5" t="s">
        <v>38</v>
      </c>
      <c r="F1286" s="5" t="s">
        <v>39</v>
      </c>
      <c r="G1286" s="6" t="n">
        <v>434</v>
      </c>
      <c r="H1286" s="6" t="n">
        <v>31</v>
      </c>
      <c r="I1286" s="7" t="n">
        <f aca="false">(G1286-H1286)/G1286</f>
        <v>0.928571428571429</v>
      </c>
      <c r="J1286" s="15" t="n">
        <v>0.566</v>
      </c>
      <c r="K1286" s="11" t="str">
        <f aca="false">IF(I1286&lt;J1286,"TAK","NIE")</f>
        <v>NIE</v>
      </c>
    </row>
    <row r="1287" customFormat="false" ht="15" hidden="false" customHeight="false" outlineLevel="0" collapsed="false">
      <c r="A1287" s="5" t="s">
        <v>411</v>
      </c>
      <c r="B1287" s="5" t="s">
        <v>74</v>
      </c>
      <c r="C1287" s="5" t="n">
        <v>2020</v>
      </c>
      <c r="D1287" s="5" t="s">
        <v>59</v>
      </c>
      <c r="E1287" s="5" t="s">
        <v>38</v>
      </c>
      <c r="F1287" s="5" t="s">
        <v>39</v>
      </c>
      <c r="G1287" s="6" t="n">
        <v>434</v>
      </c>
      <c r="H1287" s="6" t="n">
        <v>11</v>
      </c>
      <c r="I1287" s="7" t="n">
        <f aca="false">(G1287-H1287)/G1287</f>
        <v>0.974654377880184</v>
      </c>
      <c r="J1287" s="15" t="n">
        <v>0.566</v>
      </c>
      <c r="K1287" s="11" t="str">
        <f aca="false">IF(I1287&lt;J1287,"TAK","NIE")</f>
        <v>NIE</v>
      </c>
    </row>
    <row r="1288" customFormat="false" ht="15" hidden="false" customHeight="false" outlineLevel="0" collapsed="false">
      <c r="A1288" s="5" t="s">
        <v>412</v>
      </c>
      <c r="B1288" s="5" t="s">
        <v>74</v>
      </c>
      <c r="C1288" s="5" t="n">
        <v>2020</v>
      </c>
      <c r="D1288" s="5" t="s">
        <v>59</v>
      </c>
      <c r="E1288" s="5" t="s">
        <v>38</v>
      </c>
      <c r="F1288" s="5" t="s">
        <v>39</v>
      </c>
      <c r="G1288" s="6" t="n">
        <v>434</v>
      </c>
      <c r="H1288" s="6" t="n">
        <v>156</v>
      </c>
      <c r="I1288" s="7" t="n">
        <f aca="false">(G1288-H1288)/G1288</f>
        <v>0.640552995391705</v>
      </c>
      <c r="J1288" s="15" t="n">
        <v>0.566</v>
      </c>
      <c r="K1288" s="11" t="str">
        <f aca="false">IF(I1288&lt;J1288,"TAK","NIE")</f>
        <v>NIE</v>
      </c>
    </row>
    <row r="1289" customFormat="false" ht="15" hidden="false" customHeight="false" outlineLevel="0" collapsed="false">
      <c r="A1289" s="5" t="s">
        <v>413</v>
      </c>
      <c r="B1289" s="5" t="s">
        <v>74</v>
      </c>
      <c r="C1289" s="5" t="n">
        <v>2020</v>
      </c>
      <c r="D1289" s="5" t="s">
        <v>59</v>
      </c>
      <c r="E1289" s="5" t="s">
        <v>38</v>
      </c>
      <c r="F1289" s="5" t="s">
        <v>39</v>
      </c>
      <c r="G1289" s="6" t="n">
        <v>434</v>
      </c>
      <c r="H1289" s="6" t="n">
        <v>41</v>
      </c>
      <c r="I1289" s="7" t="n">
        <f aca="false">(G1289-H1289)/G1289</f>
        <v>0.905529953917051</v>
      </c>
      <c r="J1289" s="15" t="n">
        <v>0.566</v>
      </c>
      <c r="K1289" s="11" t="str">
        <f aca="false">IF(I1289&lt;J1289,"TAK","NIE")</f>
        <v>NIE</v>
      </c>
    </row>
    <row r="1290" customFormat="false" ht="15" hidden="false" customHeight="false" outlineLevel="0" collapsed="false">
      <c r="A1290" s="5" t="s">
        <v>414</v>
      </c>
      <c r="B1290" s="5" t="s">
        <v>74</v>
      </c>
      <c r="C1290" s="5" t="n">
        <v>2020</v>
      </c>
      <c r="D1290" s="5" t="s">
        <v>59</v>
      </c>
      <c r="E1290" s="5" t="s">
        <v>38</v>
      </c>
      <c r="F1290" s="5" t="s">
        <v>39</v>
      </c>
      <c r="G1290" s="6" t="n">
        <v>434</v>
      </c>
      <c r="H1290" s="6" t="n">
        <v>58</v>
      </c>
      <c r="I1290" s="7" t="n">
        <f aca="false">(G1290-H1290)/G1290</f>
        <v>0.866359447004608</v>
      </c>
      <c r="J1290" s="15" t="n">
        <v>0.566</v>
      </c>
      <c r="K1290" s="11" t="str">
        <f aca="false">IF(I1290&lt;J1290,"TAK","NIE")</f>
        <v>NIE</v>
      </c>
    </row>
    <row r="1291" customFormat="false" ht="15" hidden="false" customHeight="false" outlineLevel="0" collapsed="false">
      <c r="A1291" s="5" t="s">
        <v>415</v>
      </c>
      <c r="B1291" s="5" t="s">
        <v>74</v>
      </c>
      <c r="C1291" s="5" t="n">
        <v>2020</v>
      </c>
      <c r="D1291" s="5" t="s">
        <v>59</v>
      </c>
      <c r="E1291" s="5" t="s">
        <v>38</v>
      </c>
      <c r="F1291" s="5" t="s">
        <v>39</v>
      </c>
      <c r="G1291" s="6" t="n">
        <v>434</v>
      </c>
      <c r="H1291" s="6" t="n">
        <v>49</v>
      </c>
      <c r="I1291" s="7" t="n">
        <f aca="false">(G1291-H1291)/G1291</f>
        <v>0.887096774193548</v>
      </c>
      <c r="J1291" s="15" t="n">
        <v>0.566</v>
      </c>
      <c r="K1291" s="11" t="str">
        <f aca="false">IF(I1291&lt;J1291,"TAK","NIE")</f>
        <v>NIE</v>
      </c>
    </row>
    <row r="1292" customFormat="false" ht="15" hidden="false" customHeight="false" outlineLevel="0" collapsed="false">
      <c r="A1292" s="5" t="s">
        <v>395</v>
      </c>
      <c r="B1292" s="5" t="s">
        <v>74</v>
      </c>
      <c r="C1292" s="5" t="n">
        <v>2020</v>
      </c>
      <c r="D1292" s="5" t="s">
        <v>59</v>
      </c>
      <c r="E1292" s="5" t="s">
        <v>38</v>
      </c>
      <c r="F1292" s="5" t="s">
        <v>40</v>
      </c>
      <c r="G1292" s="6" t="n">
        <v>564</v>
      </c>
      <c r="H1292" s="6" t="n">
        <v>39</v>
      </c>
      <c r="I1292" s="7" t="n">
        <f aca="false">(G1292-H1292)/G1292</f>
        <v>0.930851063829787</v>
      </c>
      <c r="J1292" s="15" t="n">
        <v>0.603</v>
      </c>
      <c r="K1292" s="11" t="str">
        <f aca="false">IF(I1292&lt;J1292,"TAK","NIE")</f>
        <v>NIE</v>
      </c>
    </row>
    <row r="1293" customFormat="false" ht="15" hidden="false" customHeight="false" outlineLevel="0" collapsed="false">
      <c r="A1293" s="5" t="s">
        <v>396</v>
      </c>
      <c r="B1293" s="5" t="s">
        <v>74</v>
      </c>
      <c r="C1293" s="5" t="n">
        <v>2020</v>
      </c>
      <c r="D1293" s="5" t="s">
        <v>59</v>
      </c>
      <c r="E1293" s="5" t="s">
        <v>38</v>
      </c>
      <c r="F1293" s="5" t="s">
        <v>40</v>
      </c>
      <c r="G1293" s="6" t="n">
        <v>539</v>
      </c>
      <c r="H1293" s="6" t="n">
        <v>141</v>
      </c>
      <c r="I1293" s="7" t="n">
        <f aca="false">(G1293-H1293)/G1293</f>
        <v>0.738404452690167</v>
      </c>
      <c r="J1293" s="15" t="n">
        <v>0.603</v>
      </c>
      <c r="K1293" s="11" t="str">
        <f aca="false">IF(I1293&lt;J1293,"TAK","NIE")</f>
        <v>NIE</v>
      </c>
    </row>
    <row r="1294" customFormat="false" ht="15" hidden="false" customHeight="false" outlineLevel="0" collapsed="false">
      <c r="A1294" s="5" t="s">
        <v>397</v>
      </c>
      <c r="B1294" s="5" t="s">
        <v>74</v>
      </c>
      <c r="C1294" s="5" t="n">
        <v>2020</v>
      </c>
      <c r="D1294" s="5" t="s">
        <v>59</v>
      </c>
      <c r="E1294" s="5" t="s">
        <v>38</v>
      </c>
      <c r="F1294" s="5" t="s">
        <v>40</v>
      </c>
      <c r="G1294" s="6" t="n">
        <v>564</v>
      </c>
      <c r="H1294" s="6" t="n">
        <v>77</v>
      </c>
      <c r="I1294" s="7" t="n">
        <f aca="false">(G1294-H1294)/G1294</f>
        <v>0.863475177304965</v>
      </c>
      <c r="J1294" s="15" t="n">
        <v>0.603</v>
      </c>
      <c r="K1294" s="11" t="str">
        <f aca="false">IF(I1294&lt;J1294,"TAK","NIE")</f>
        <v>NIE</v>
      </c>
    </row>
    <row r="1295" customFormat="false" ht="15" hidden="false" customHeight="false" outlineLevel="0" collapsed="false">
      <c r="A1295" s="5" t="s">
        <v>398</v>
      </c>
      <c r="B1295" s="5" t="s">
        <v>74</v>
      </c>
      <c r="C1295" s="5" t="n">
        <v>2020</v>
      </c>
      <c r="D1295" s="5" t="s">
        <v>59</v>
      </c>
      <c r="E1295" s="5" t="s">
        <v>38</v>
      </c>
      <c r="F1295" s="5" t="s">
        <v>40</v>
      </c>
      <c r="G1295" s="6" t="n">
        <v>564</v>
      </c>
      <c r="H1295" s="6" t="n">
        <v>109</v>
      </c>
      <c r="I1295" s="7" t="n">
        <f aca="false">(G1295-H1295)/G1295</f>
        <v>0.806737588652482</v>
      </c>
      <c r="J1295" s="15" t="n">
        <v>0.603</v>
      </c>
      <c r="K1295" s="11" t="str">
        <f aca="false">IF(I1295&lt;J1295,"TAK","NIE")</f>
        <v>NIE</v>
      </c>
    </row>
    <row r="1296" customFormat="false" ht="15" hidden="false" customHeight="false" outlineLevel="0" collapsed="false">
      <c r="A1296" s="5" t="s">
        <v>399</v>
      </c>
      <c r="B1296" s="5" t="s">
        <v>74</v>
      </c>
      <c r="C1296" s="5" t="n">
        <v>2020</v>
      </c>
      <c r="D1296" s="5" t="s">
        <v>59</v>
      </c>
      <c r="E1296" s="5" t="s">
        <v>38</v>
      </c>
      <c r="F1296" s="5" t="s">
        <v>40</v>
      </c>
      <c r="G1296" s="6" t="n">
        <v>539</v>
      </c>
      <c r="H1296" s="6" t="n">
        <v>147</v>
      </c>
      <c r="I1296" s="7" t="n">
        <f aca="false">(G1296-H1296)/G1296</f>
        <v>0.727272727272727</v>
      </c>
      <c r="J1296" s="15" t="n">
        <v>0.603</v>
      </c>
      <c r="K1296" s="11" t="str">
        <f aca="false">IF(I1296&lt;J1296,"TAK","NIE")</f>
        <v>NIE</v>
      </c>
    </row>
    <row r="1297" customFormat="false" ht="15" hidden="false" customHeight="false" outlineLevel="0" collapsed="false">
      <c r="A1297" s="5" t="s">
        <v>400</v>
      </c>
      <c r="B1297" s="5" t="s">
        <v>74</v>
      </c>
      <c r="C1297" s="5" t="n">
        <v>2020</v>
      </c>
      <c r="D1297" s="5" t="s">
        <v>59</v>
      </c>
      <c r="E1297" s="5" t="s">
        <v>38</v>
      </c>
      <c r="F1297" s="5" t="s">
        <v>40</v>
      </c>
      <c r="G1297" s="6" t="n">
        <v>539</v>
      </c>
      <c r="H1297" s="6" t="n">
        <v>44</v>
      </c>
      <c r="I1297" s="7" t="n">
        <f aca="false">(G1297-H1297)/G1297</f>
        <v>0.918367346938776</v>
      </c>
      <c r="J1297" s="15" t="n">
        <v>0.603</v>
      </c>
      <c r="K1297" s="11" t="str">
        <f aca="false">IF(I1297&lt;J1297,"TAK","NIE")</f>
        <v>NIE</v>
      </c>
    </row>
    <row r="1298" customFormat="false" ht="15" hidden="false" customHeight="false" outlineLevel="0" collapsed="false">
      <c r="A1298" s="5" t="s">
        <v>401</v>
      </c>
      <c r="B1298" s="5" t="s">
        <v>74</v>
      </c>
      <c r="C1298" s="5" t="n">
        <v>2020</v>
      </c>
      <c r="D1298" s="5" t="s">
        <v>59</v>
      </c>
      <c r="E1298" s="5" t="s">
        <v>38</v>
      </c>
      <c r="F1298" s="5" t="s">
        <v>40</v>
      </c>
      <c r="G1298" s="6" t="n">
        <v>564</v>
      </c>
      <c r="H1298" s="6" t="n">
        <v>31</v>
      </c>
      <c r="I1298" s="7" t="n">
        <f aca="false">(G1298-H1298)/G1298</f>
        <v>0.945035460992908</v>
      </c>
      <c r="J1298" s="15" t="n">
        <v>0.603</v>
      </c>
      <c r="K1298" s="11" t="str">
        <f aca="false">IF(I1298&lt;J1298,"TAK","NIE")</f>
        <v>NIE</v>
      </c>
    </row>
    <row r="1299" customFormat="false" ht="15" hidden="false" customHeight="false" outlineLevel="0" collapsed="false">
      <c r="A1299" s="5" t="s">
        <v>402</v>
      </c>
      <c r="B1299" s="5" t="s">
        <v>74</v>
      </c>
      <c r="C1299" s="5" t="n">
        <v>2020</v>
      </c>
      <c r="D1299" s="5" t="s">
        <v>59</v>
      </c>
      <c r="E1299" s="5" t="s">
        <v>38</v>
      </c>
      <c r="F1299" s="5" t="s">
        <v>40</v>
      </c>
      <c r="G1299" s="6" t="n">
        <v>564</v>
      </c>
      <c r="H1299" s="6" t="n">
        <v>70</v>
      </c>
      <c r="I1299" s="7" t="n">
        <f aca="false">(G1299-H1299)/G1299</f>
        <v>0.875886524822695</v>
      </c>
      <c r="J1299" s="15" t="n">
        <v>0.603</v>
      </c>
      <c r="K1299" s="11" t="str">
        <f aca="false">IF(I1299&lt;J1299,"TAK","NIE")</f>
        <v>NIE</v>
      </c>
    </row>
    <row r="1300" customFormat="false" ht="15" hidden="false" customHeight="false" outlineLevel="0" collapsed="false">
      <c r="A1300" s="5" t="s">
        <v>403</v>
      </c>
      <c r="B1300" s="5" t="s">
        <v>74</v>
      </c>
      <c r="C1300" s="5" t="n">
        <v>2020</v>
      </c>
      <c r="D1300" s="5" t="s">
        <v>59</v>
      </c>
      <c r="E1300" s="5" t="s">
        <v>38</v>
      </c>
      <c r="F1300" s="5" t="s">
        <v>40</v>
      </c>
      <c r="G1300" s="6" t="n">
        <v>564</v>
      </c>
      <c r="H1300" s="6" t="n">
        <v>119</v>
      </c>
      <c r="I1300" s="7" t="n">
        <f aca="false">(G1300-H1300)/G1300</f>
        <v>0.789007092198582</v>
      </c>
      <c r="J1300" s="15" t="n">
        <v>0.603</v>
      </c>
      <c r="K1300" s="11" t="str">
        <f aca="false">IF(I1300&lt;J1300,"TAK","NIE")</f>
        <v>NIE</v>
      </c>
    </row>
    <row r="1301" customFormat="false" ht="15" hidden="false" customHeight="false" outlineLevel="0" collapsed="false">
      <c r="A1301" s="5" t="s">
        <v>404</v>
      </c>
      <c r="B1301" s="5" t="s">
        <v>74</v>
      </c>
      <c r="C1301" s="5" t="n">
        <v>2020</v>
      </c>
      <c r="D1301" s="5" t="s">
        <v>59</v>
      </c>
      <c r="E1301" s="5" t="s">
        <v>38</v>
      </c>
      <c r="F1301" s="5" t="s">
        <v>40</v>
      </c>
      <c r="G1301" s="6" t="n">
        <v>564</v>
      </c>
      <c r="H1301" s="6" t="n">
        <v>48</v>
      </c>
      <c r="I1301" s="7" t="n">
        <f aca="false">(G1301-H1301)/G1301</f>
        <v>0.914893617021277</v>
      </c>
      <c r="J1301" s="15" t="n">
        <v>0.603</v>
      </c>
      <c r="K1301" s="11" t="str">
        <f aca="false">IF(I1301&lt;J1301,"TAK","NIE")</f>
        <v>NIE</v>
      </c>
    </row>
    <row r="1302" customFormat="false" ht="15" hidden="false" customHeight="false" outlineLevel="0" collapsed="false">
      <c r="A1302" s="5" t="s">
        <v>405</v>
      </c>
      <c r="B1302" s="5" t="s">
        <v>74</v>
      </c>
      <c r="C1302" s="5" t="n">
        <v>2020</v>
      </c>
      <c r="D1302" s="5" t="s">
        <v>59</v>
      </c>
      <c r="E1302" s="5" t="s">
        <v>38</v>
      </c>
      <c r="F1302" s="5" t="s">
        <v>40</v>
      </c>
      <c r="G1302" s="6" t="n">
        <v>564</v>
      </c>
      <c r="H1302" s="6" t="n">
        <v>99</v>
      </c>
      <c r="I1302" s="7" t="n">
        <f aca="false">(G1302-H1302)/G1302</f>
        <v>0.824468085106383</v>
      </c>
      <c r="J1302" s="15" t="n">
        <v>0.603</v>
      </c>
      <c r="K1302" s="11" t="str">
        <f aca="false">IF(I1302&lt;J1302,"TAK","NIE")</f>
        <v>NIE</v>
      </c>
    </row>
    <row r="1303" customFormat="false" ht="15" hidden="false" customHeight="false" outlineLevel="0" collapsed="false">
      <c r="A1303" s="5" t="s">
        <v>406</v>
      </c>
      <c r="B1303" s="5" t="s">
        <v>74</v>
      </c>
      <c r="C1303" s="5" t="n">
        <v>2020</v>
      </c>
      <c r="D1303" s="5" t="s">
        <v>59</v>
      </c>
      <c r="E1303" s="5" t="s">
        <v>38</v>
      </c>
      <c r="F1303" s="5" t="s">
        <v>40</v>
      </c>
      <c r="G1303" s="6" t="n">
        <v>564</v>
      </c>
      <c r="H1303" s="6" t="n">
        <v>26</v>
      </c>
      <c r="I1303" s="7" t="n">
        <f aca="false">(G1303-H1303)/G1303</f>
        <v>0.953900709219858</v>
      </c>
      <c r="J1303" s="15" t="n">
        <v>0.603</v>
      </c>
      <c r="K1303" s="11" t="str">
        <f aca="false">IF(I1303&lt;J1303,"TAK","NIE")</f>
        <v>NIE</v>
      </c>
    </row>
    <row r="1304" customFormat="false" ht="15" hidden="false" customHeight="false" outlineLevel="0" collapsed="false">
      <c r="A1304" s="5" t="s">
        <v>407</v>
      </c>
      <c r="B1304" s="5" t="s">
        <v>74</v>
      </c>
      <c r="C1304" s="5" t="n">
        <v>2020</v>
      </c>
      <c r="D1304" s="5" t="s">
        <v>59</v>
      </c>
      <c r="E1304" s="5" t="s">
        <v>38</v>
      </c>
      <c r="F1304" s="5" t="s">
        <v>40</v>
      </c>
      <c r="G1304" s="6" t="n">
        <v>706</v>
      </c>
      <c r="H1304" s="6" t="n">
        <v>254</v>
      </c>
      <c r="I1304" s="7" t="n">
        <f aca="false">(G1304-H1304)/G1304</f>
        <v>0.640226628895184</v>
      </c>
      <c r="J1304" s="15" t="n">
        <v>0.603</v>
      </c>
      <c r="K1304" s="11" t="str">
        <f aca="false">IF(I1304&lt;J1304,"TAK","NIE")</f>
        <v>NIE</v>
      </c>
    </row>
    <row r="1305" customFormat="false" ht="15" hidden="false" customHeight="false" outlineLevel="0" collapsed="false">
      <c r="A1305" s="5" t="s">
        <v>408</v>
      </c>
      <c r="B1305" s="5" t="s">
        <v>74</v>
      </c>
      <c r="C1305" s="5" t="n">
        <v>2020</v>
      </c>
      <c r="D1305" s="5" t="s">
        <v>59</v>
      </c>
      <c r="E1305" s="5" t="s">
        <v>38</v>
      </c>
      <c r="F1305" s="5" t="s">
        <v>40</v>
      </c>
      <c r="G1305" s="6" t="n">
        <v>564</v>
      </c>
      <c r="H1305" s="6" t="n">
        <v>50</v>
      </c>
      <c r="I1305" s="7" t="n">
        <f aca="false">(G1305-H1305)/G1305</f>
        <v>0.911347517730497</v>
      </c>
      <c r="J1305" s="15" t="n">
        <v>0.603</v>
      </c>
      <c r="K1305" s="11" t="str">
        <f aca="false">IF(I1305&lt;J1305,"TAK","NIE")</f>
        <v>NIE</v>
      </c>
    </row>
    <row r="1306" customFormat="false" ht="15" hidden="false" customHeight="false" outlineLevel="0" collapsed="false">
      <c r="A1306" s="5" t="s">
        <v>409</v>
      </c>
      <c r="B1306" s="5" t="s">
        <v>74</v>
      </c>
      <c r="C1306" s="5" t="n">
        <v>2020</v>
      </c>
      <c r="D1306" s="5" t="s">
        <v>59</v>
      </c>
      <c r="E1306" s="5" t="s">
        <v>38</v>
      </c>
      <c r="F1306" s="5" t="s">
        <v>40</v>
      </c>
      <c r="G1306" s="6" t="n">
        <v>564</v>
      </c>
      <c r="H1306" s="6" t="n">
        <v>143</v>
      </c>
      <c r="I1306" s="7" t="n">
        <f aca="false">(G1306-H1306)/G1306</f>
        <v>0.74645390070922</v>
      </c>
      <c r="J1306" s="15" t="n">
        <v>0.603</v>
      </c>
      <c r="K1306" s="11" t="str">
        <f aca="false">IF(I1306&lt;J1306,"TAK","NIE")</f>
        <v>NIE</v>
      </c>
    </row>
    <row r="1307" customFormat="false" ht="15" hidden="false" customHeight="false" outlineLevel="0" collapsed="false">
      <c r="A1307" s="5" t="s">
        <v>410</v>
      </c>
      <c r="B1307" s="5" t="s">
        <v>74</v>
      </c>
      <c r="C1307" s="5" t="n">
        <v>2020</v>
      </c>
      <c r="D1307" s="5" t="s">
        <v>59</v>
      </c>
      <c r="E1307" s="5" t="s">
        <v>38</v>
      </c>
      <c r="F1307" s="5" t="s">
        <v>40</v>
      </c>
      <c r="G1307" s="6" t="n">
        <v>564</v>
      </c>
      <c r="H1307" s="6" t="n">
        <v>49</v>
      </c>
      <c r="I1307" s="7" t="n">
        <f aca="false">(G1307-H1307)/G1307</f>
        <v>0.913120567375887</v>
      </c>
      <c r="J1307" s="15" t="n">
        <v>0.603</v>
      </c>
      <c r="K1307" s="11" t="str">
        <f aca="false">IF(I1307&lt;J1307,"TAK","NIE")</f>
        <v>NIE</v>
      </c>
    </row>
    <row r="1308" customFormat="false" ht="15" hidden="false" customHeight="false" outlineLevel="0" collapsed="false">
      <c r="A1308" s="5" t="s">
        <v>411</v>
      </c>
      <c r="B1308" s="5" t="s">
        <v>74</v>
      </c>
      <c r="C1308" s="5" t="n">
        <v>2020</v>
      </c>
      <c r="D1308" s="5" t="s">
        <v>59</v>
      </c>
      <c r="E1308" s="5" t="s">
        <v>38</v>
      </c>
      <c r="F1308" s="5" t="s">
        <v>40</v>
      </c>
      <c r="G1308" s="6" t="n">
        <v>564</v>
      </c>
      <c r="H1308" s="6" t="n">
        <v>76</v>
      </c>
      <c r="I1308" s="7" t="n">
        <f aca="false">(G1308-H1308)/G1308</f>
        <v>0.865248226950355</v>
      </c>
      <c r="J1308" s="15" t="n">
        <v>0.603</v>
      </c>
      <c r="K1308" s="11" t="str">
        <f aca="false">IF(I1308&lt;J1308,"TAK","NIE")</f>
        <v>NIE</v>
      </c>
    </row>
    <row r="1309" customFormat="false" ht="15" hidden="false" customHeight="false" outlineLevel="0" collapsed="false">
      <c r="A1309" s="5" t="s">
        <v>412</v>
      </c>
      <c r="B1309" s="5" t="s">
        <v>74</v>
      </c>
      <c r="C1309" s="5" t="n">
        <v>2020</v>
      </c>
      <c r="D1309" s="5" t="s">
        <v>59</v>
      </c>
      <c r="E1309" s="5" t="s">
        <v>38</v>
      </c>
      <c r="F1309" s="5" t="s">
        <v>40</v>
      </c>
      <c r="G1309" s="6" t="n">
        <v>564</v>
      </c>
      <c r="H1309" s="6" t="n">
        <v>76</v>
      </c>
      <c r="I1309" s="7" t="n">
        <f aca="false">(G1309-H1309)/G1309</f>
        <v>0.865248226950355</v>
      </c>
      <c r="J1309" s="15" t="n">
        <v>0.603</v>
      </c>
      <c r="K1309" s="11" t="str">
        <f aca="false">IF(I1309&lt;J1309,"TAK","NIE")</f>
        <v>NIE</v>
      </c>
    </row>
    <row r="1310" customFormat="false" ht="15" hidden="false" customHeight="false" outlineLevel="0" collapsed="false">
      <c r="A1310" s="5" t="s">
        <v>413</v>
      </c>
      <c r="B1310" s="5" t="s">
        <v>74</v>
      </c>
      <c r="C1310" s="5" t="n">
        <v>2020</v>
      </c>
      <c r="D1310" s="5" t="s">
        <v>59</v>
      </c>
      <c r="E1310" s="5" t="s">
        <v>38</v>
      </c>
      <c r="F1310" s="5" t="s">
        <v>40</v>
      </c>
      <c r="G1310" s="6" t="n">
        <v>564</v>
      </c>
      <c r="H1310" s="6" t="n">
        <v>86</v>
      </c>
      <c r="I1310" s="7" t="n">
        <f aca="false">(G1310-H1310)/G1310</f>
        <v>0.847517730496454</v>
      </c>
      <c r="J1310" s="15" t="n">
        <v>0.603</v>
      </c>
      <c r="K1310" s="11" t="str">
        <f aca="false">IF(I1310&lt;J1310,"TAK","NIE")</f>
        <v>NIE</v>
      </c>
    </row>
    <row r="1311" customFormat="false" ht="15" hidden="false" customHeight="false" outlineLevel="0" collapsed="false">
      <c r="A1311" s="5" t="s">
        <v>414</v>
      </c>
      <c r="B1311" s="5" t="s">
        <v>74</v>
      </c>
      <c r="C1311" s="5" t="n">
        <v>2020</v>
      </c>
      <c r="D1311" s="5" t="s">
        <v>59</v>
      </c>
      <c r="E1311" s="5" t="s">
        <v>38</v>
      </c>
      <c r="F1311" s="5" t="s">
        <v>40</v>
      </c>
      <c r="G1311" s="6" t="n">
        <v>564</v>
      </c>
      <c r="H1311" s="6" t="n">
        <v>135</v>
      </c>
      <c r="I1311" s="7" t="n">
        <f aca="false">(G1311-H1311)/G1311</f>
        <v>0.76063829787234</v>
      </c>
      <c r="J1311" s="15" t="n">
        <v>0.603</v>
      </c>
      <c r="K1311" s="11" t="str">
        <f aca="false">IF(I1311&lt;J1311,"TAK","NIE")</f>
        <v>NIE</v>
      </c>
    </row>
    <row r="1312" customFormat="false" ht="15" hidden="false" customHeight="false" outlineLevel="0" collapsed="false">
      <c r="A1312" s="5" t="s">
        <v>415</v>
      </c>
      <c r="B1312" s="5" t="s">
        <v>74</v>
      </c>
      <c r="C1312" s="5" t="n">
        <v>2020</v>
      </c>
      <c r="D1312" s="5" t="s">
        <v>59</v>
      </c>
      <c r="E1312" s="5" t="s">
        <v>38</v>
      </c>
      <c r="F1312" s="5" t="s">
        <v>40</v>
      </c>
      <c r="G1312" s="6" t="n">
        <v>564</v>
      </c>
      <c r="H1312" s="6" t="n">
        <v>74</v>
      </c>
      <c r="I1312" s="7" t="n">
        <f aca="false">(G1312-H1312)/G1312</f>
        <v>0.868794326241135</v>
      </c>
      <c r="J1312" s="15" t="n">
        <v>0.603</v>
      </c>
      <c r="K1312" s="11" t="str">
        <f aca="false">IF(I1312&lt;J1312,"TAK","NIE")</f>
        <v>NIE</v>
      </c>
    </row>
    <row r="1313" customFormat="false" ht="15" hidden="false" customHeight="false" outlineLevel="0" collapsed="false">
      <c r="A1313" s="5" t="s">
        <v>395</v>
      </c>
      <c r="B1313" s="5" t="s">
        <v>58</v>
      </c>
      <c r="C1313" s="5" t="n">
        <v>2020</v>
      </c>
      <c r="D1313" s="5" t="s">
        <v>59</v>
      </c>
      <c r="E1313" s="5" t="s">
        <v>46</v>
      </c>
      <c r="F1313" s="5" t="s">
        <v>39</v>
      </c>
      <c r="G1313" s="6" t="n">
        <v>573</v>
      </c>
      <c r="H1313" s="6" t="n">
        <v>10</v>
      </c>
      <c r="I1313" s="7" t="n">
        <f aca="false">(G1313-H1313)/G1313</f>
        <v>0.982547993019197</v>
      </c>
      <c r="J1313" s="15" t="n">
        <v>0.5345</v>
      </c>
      <c r="K1313" s="11" t="str">
        <f aca="false">IF(I1313&lt;J1313,"TAK","NIE")</f>
        <v>NIE</v>
      </c>
    </row>
    <row r="1314" customFormat="false" ht="15" hidden="false" customHeight="false" outlineLevel="0" collapsed="false">
      <c r="A1314" s="5" t="s">
        <v>396</v>
      </c>
      <c r="B1314" s="5" t="s">
        <v>58</v>
      </c>
      <c r="C1314" s="5" t="n">
        <v>2020</v>
      </c>
      <c r="D1314" s="5" t="s">
        <v>59</v>
      </c>
      <c r="E1314" s="5" t="s">
        <v>46</v>
      </c>
      <c r="F1314" s="5" t="s">
        <v>39</v>
      </c>
      <c r="G1314" s="6" t="n">
        <v>375</v>
      </c>
      <c r="H1314" s="6" t="n">
        <v>156</v>
      </c>
      <c r="I1314" s="7" t="n">
        <f aca="false">(G1314-H1314)/G1314</f>
        <v>0.584</v>
      </c>
      <c r="J1314" s="15" t="n">
        <v>0.5345</v>
      </c>
      <c r="K1314" s="11" t="str">
        <f aca="false">IF(I1314&lt;J1314,"TAK","NIE")</f>
        <v>NIE</v>
      </c>
    </row>
    <row r="1315" customFormat="false" ht="15" hidden="false" customHeight="false" outlineLevel="0" collapsed="false">
      <c r="A1315" s="5" t="s">
        <v>397</v>
      </c>
      <c r="B1315" s="5" t="s">
        <v>58</v>
      </c>
      <c r="C1315" s="5" t="n">
        <v>2020</v>
      </c>
      <c r="D1315" s="5" t="s">
        <v>59</v>
      </c>
      <c r="E1315" s="5" t="s">
        <v>46</v>
      </c>
      <c r="F1315" s="5" t="s">
        <v>39</v>
      </c>
      <c r="G1315" s="6" t="n">
        <v>573</v>
      </c>
      <c r="H1315" s="6" t="n">
        <v>114</v>
      </c>
      <c r="I1315" s="7" t="n">
        <f aca="false">(G1315-H1315)/G1315</f>
        <v>0.801047120418848</v>
      </c>
      <c r="J1315" s="15" t="n">
        <v>0.5345</v>
      </c>
      <c r="K1315" s="11" t="str">
        <f aca="false">IF(I1315&lt;J1315,"TAK","NIE")</f>
        <v>NIE</v>
      </c>
    </row>
    <row r="1316" customFormat="false" ht="15" hidden="false" customHeight="false" outlineLevel="0" collapsed="false">
      <c r="A1316" s="5" t="s">
        <v>398</v>
      </c>
      <c r="B1316" s="5" t="s">
        <v>58</v>
      </c>
      <c r="C1316" s="5" t="n">
        <v>2020</v>
      </c>
      <c r="D1316" s="5" t="s">
        <v>59</v>
      </c>
      <c r="E1316" s="5" t="s">
        <v>46</v>
      </c>
      <c r="F1316" s="5" t="s">
        <v>39</v>
      </c>
      <c r="G1316" s="6" t="n">
        <v>573</v>
      </c>
      <c r="H1316" s="6" t="n">
        <v>152</v>
      </c>
      <c r="I1316" s="7" t="n">
        <f aca="false">(G1316-H1316)/G1316</f>
        <v>0.734729493891798</v>
      </c>
      <c r="J1316" s="15" t="n">
        <v>0.5345</v>
      </c>
      <c r="K1316" s="11" t="str">
        <f aca="false">IF(I1316&lt;J1316,"TAK","NIE")</f>
        <v>NIE</v>
      </c>
    </row>
    <row r="1317" customFormat="false" ht="15" hidden="false" customHeight="false" outlineLevel="0" collapsed="false">
      <c r="A1317" s="5" t="s">
        <v>399</v>
      </c>
      <c r="B1317" s="5" t="s">
        <v>58</v>
      </c>
      <c r="C1317" s="5" t="n">
        <v>2020</v>
      </c>
      <c r="D1317" s="5" t="s">
        <v>59</v>
      </c>
      <c r="E1317" s="5" t="s">
        <v>46</v>
      </c>
      <c r="F1317" s="5" t="s">
        <v>39</v>
      </c>
      <c r="G1317" s="6" t="n">
        <v>403</v>
      </c>
      <c r="H1317" s="6" t="n">
        <v>178</v>
      </c>
      <c r="I1317" s="7" t="n">
        <f aca="false">(G1317-H1317)/G1317</f>
        <v>0.558312655086849</v>
      </c>
      <c r="J1317" s="15" t="n">
        <v>0.5345</v>
      </c>
      <c r="K1317" s="11" t="str">
        <f aca="false">IF(I1317&lt;J1317,"TAK","NIE")</f>
        <v>NIE</v>
      </c>
    </row>
    <row r="1318" customFormat="false" ht="15" hidden="false" customHeight="false" outlineLevel="0" collapsed="false">
      <c r="A1318" s="5" t="s">
        <v>400</v>
      </c>
      <c r="B1318" s="5" t="s">
        <v>58</v>
      </c>
      <c r="C1318" s="5" t="n">
        <v>2020</v>
      </c>
      <c r="D1318" s="5" t="s">
        <v>59</v>
      </c>
      <c r="E1318" s="5" t="s">
        <v>46</v>
      </c>
      <c r="F1318" s="5" t="s">
        <v>39</v>
      </c>
      <c r="G1318" s="6" t="n">
        <v>548</v>
      </c>
      <c r="H1318" s="6" t="n">
        <v>111</v>
      </c>
      <c r="I1318" s="7" t="n">
        <f aca="false">(G1318-H1318)/G1318</f>
        <v>0.797445255474453</v>
      </c>
      <c r="J1318" s="15" t="n">
        <v>0.5345</v>
      </c>
      <c r="K1318" s="11" t="str">
        <f aca="false">IF(I1318&lt;J1318,"TAK","NIE")</f>
        <v>NIE</v>
      </c>
    </row>
    <row r="1319" customFormat="false" ht="15" hidden="false" customHeight="false" outlineLevel="0" collapsed="false">
      <c r="A1319" s="5" t="s">
        <v>401</v>
      </c>
      <c r="B1319" s="5" t="s">
        <v>58</v>
      </c>
      <c r="C1319" s="5" t="n">
        <v>2020</v>
      </c>
      <c r="D1319" s="5" t="s">
        <v>59</v>
      </c>
      <c r="E1319" s="5" t="s">
        <v>46</v>
      </c>
      <c r="F1319" s="5" t="s">
        <v>39</v>
      </c>
      <c r="G1319" s="6" t="n">
        <v>573</v>
      </c>
      <c r="H1319" s="6" t="n">
        <v>137</v>
      </c>
      <c r="I1319" s="7" t="n">
        <f aca="false">(G1319-H1319)/G1319</f>
        <v>0.760907504363002</v>
      </c>
      <c r="J1319" s="15" t="n">
        <v>0.5345</v>
      </c>
      <c r="K1319" s="11" t="str">
        <f aca="false">IF(I1319&lt;J1319,"TAK","NIE")</f>
        <v>NIE</v>
      </c>
    </row>
    <row r="1320" customFormat="false" ht="15" hidden="false" customHeight="false" outlineLevel="0" collapsed="false">
      <c r="A1320" s="5" t="s">
        <v>402</v>
      </c>
      <c r="B1320" s="5" t="s">
        <v>58</v>
      </c>
      <c r="C1320" s="5" t="n">
        <v>2020</v>
      </c>
      <c r="D1320" s="5" t="s">
        <v>59</v>
      </c>
      <c r="E1320" s="5" t="s">
        <v>46</v>
      </c>
      <c r="F1320" s="5" t="s">
        <v>39</v>
      </c>
      <c r="G1320" s="6" t="n">
        <v>573</v>
      </c>
      <c r="H1320" s="6" t="n">
        <v>251</v>
      </c>
      <c r="I1320" s="7" t="n">
        <f aca="false">(G1320-H1320)/G1320</f>
        <v>0.56195462478185</v>
      </c>
      <c r="J1320" s="15" t="n">
        <v>0.5345</v>
      </c>
      <c r="K1320" s="11" t="str">
        <f aca="false">IF(I1320&lt;J1320,"TAK","NIE")</f>
        <v>NIE</v>
      </c>
    </row>
    <row r="1321" customFormat="false" ht="15" hidden="false" customHeight="false" outlineLevel="0" collapsed="false">
      <c r="A1321" s="5" t="s">
        <v>403</v>
      </c>
      <c r="B1321" s="5" t="s">
        <v>58</v>
      </c>
      <c r="C1321" s="5" t="n">
        <v>2020</v>
      </c>
      <c r="D1321" s="5" t="s">
        <v>59</v>
      </c>
      <c r="E1321" s="5" t="s">
        <v>46</v>
      </c>
      <c r="F1321" s="5" t="s">
        <v>39</v>
      </c>
      <c r="G1321" s="6" t="n">
        <v>573</v>
      </c>
      <c r="H1321" s="6" t="n">
        <v>156</v>
      </c>
      <c r="I1321" s="7" t="n">
        <f aca="false">(G1321-H1321)/G1321</f>
        <v>0.727748691099477</v>
      </c>
      <c r="J1321" s="15" t="n">
        <v>0.5345</v>
      </c>
      <c r="K1321" s="11" t="str">
        <f aca="false">IF(I1321&lt;J1321,"TAK","NIE")</f>
        <v>NIE</v>
      </c>
    </row>
    <row r="1322" customFormat="false" ht="15" hidden="false" customHeight="false" outlineLevel="0" collapsed="false">
      <c r="A1322" s="5" t="s">
        <v>404</v>
      </c>
      <c r="B1322" s="5" t="s">
        <v>58</v>
      </c>
      <c r="C1322" s="5" t="n">
        <v>2020</v>
      </c>
      <c r="D1322" s="5" t="s">
        <v>59</v>
      </c>
      <c r="E1322" s="5" t="s">
        <v>46</v>
      </c>
      <c r="F1322" s="5" t="s">
        <v>39</v>
      </c>
      <c r="G1322" s="6" t="n">
        <v>573</v>
      </c>
      <c r="H1322" s="6" t="n">
        <v>83</v>
      </c>
      <c r="I1322" s="7" t="n">
        <f aca="false">(G1322-H1322)/G1322</f>
        <v>0.855148342059337</v>
      </c>
      <c r="J1322" s="15" t="n">
        <v>0.5345</v>
      </c>
      <c r="K1322" s="11" t="str">
        <f aca="false">IF(I1322&lt;J1322,"TAK","NIE")</f>
        <v>NIE</v>
      </c>
    </row>
    <row r="1323" customFormat="false" ht="15" hidden="false" customHeight="false" outlineLevel="0" collapsed="false">
      <c r="A1323" s="5" t="s">
        <v>405</v>
      </c>
      <c r="B1323" s="5" t="s">
        <v>58</v>
      </c>
      <c r="C1323" s="5" t="n">
        <v>2020</v>
      </c>
      <c r="D1323" s="5" t="s">
        <v>59</v>
      </c>
      <c r="E1323" s="5" t="s">
        <v>46</v>
      </c>
      <c r="F1323" s="5" t="s">
        <v>39</v>
      </c>
      <c r="G1323" s="6" t="n">
        <v>573</v>
      </c>
      <c r="H1323" s="6" t="n">
        <v>81</v>
      </c>
      <c r="I1323" s="7" t="n">
        <f aca="false">(G1323-H1323)/G1323</f>
        <v>0.858638743455497</v>
      </c>
      <c r="J1323" s="15" t="n">
        <v>0.5345</v>
      </c>
      <c r="K1323" s="11" t="str">
        <f aca="false">IF(I1323&lt;J1323,"TAK","NIE")</f>
        <v>NIE</v>
      </c>
    </row>
    <row r="1324" customFormat="false" ht="15" hidden="false" customHeight="false" outlineLevel="0" collapsed="false">
      <c r="A1324" s="5" t="s">
        <v>406</v>
      </c>
      <c r="B1324" s="5" t="s">
        <v>58</v>
      </c>
      <c r="C1324" s="5" t="n">
        <v>2020</v>
      </c>
      <c r="D1324" s="5" t="s">
        <v>59</v>
      </c>
      <c r="E1324" s="5" t="s">
        <v>46</v>
      </c>
      <c r="F1324" s="5" t="s">
        <v>39</v>
      </c>
      <c r="G1324" s="6" t="n">
        <v>573</v>
      </c>
      <c r="H1324" s="6" t="n">
        <v>118</v>
      </c>
      <c r="I1324" s="7" t="n">
        <f aca="false">(G1324-H1324)/G1324</f>
        <v>0.794066317626527</v>
      </c>
      <c r="J1324" s="15" t="n">
        <v>0.5345</v>
      </c>
      <c r="K1324" s="11" t="str">
        <f aca="false">IF(I1324&lt;J1324,"TAK","NIE")</f>
        <v>NIE</v>
      </c>
    </row>
    <row r="1325" customFormat="false" ht="15" hidden="false" customHeight="false" outlineLevel="0" collapsed="false">
      <c r="A1325" s="5" t="s">
        <v>407</v>
      </c>
      <c r="B1325" s="5" t="s">
        <v>58</v>
      </c>
      <c r="C1325" s="5" t="n">
        <v>2020</v>
      </c>
      <c r="D1325" s="5" t="s">
        <v>59</v>
      </c>
      <c r="E1325" s="5" t="s">
        <v>46</v>
      </c>
      <c r="F1325" s="5" t="s">
        <v>39</v>
      </c>
      <c r="G1325" s="6" t="n">
        <v>651</v>
      </c>
      <c r="H1325" s="6" t="n">
        <v>207</v>
      </c>
      <c r="I1325" s="7" t="n">
        <f aca="false">(G1325-H1325)/G1325</f>
        <v>0.682027649769585</v>
      </c>
      <c r="J1325" s="15" t="n">
        <v>0.5345</v>
      </c>
      <c r="K1325" s="11" t="str">
        <f aca="false">IF(I1325&lt;J1325,"TAK","NIE")</f>
        <v>NIE</v>
      </c>
    </row>
    <row r="1326" customFormat="false" ht="15" hidden="false" customHeight="false" outlineLevel="0" collapsed="false">
      <c r="A1326" s="5" t="s">
        <v>408</v>
      </c>
      <c r="B1326" s="5" t="s">
        <v>58</v>
      </c>
      <c r="C1326" s="5" t="n">
        <v>2020</v>
      </c>
      <c r="D1326" s="5" t="s">
        <v>59</v>
      </c>
      <c r="E1326" s="5" t="s">
        <v>46</v>
      </c>
      <c r="F1326" s="5" t="s">
        <v>39</v>
      </c>
      <c r="G1326" s="6" t="n">
        <v>573</v>
      </c>
      <c r="H1326" s="6" t="n">
        <v>49</v>
      </c>
      <c r="I1326" s="7" t="n">
        <f aca="false">(G1326-H1326)/G1326</f>
        <v>0.914485165794066</v>
      </c>
      <c r="J1326" s="15" t="n">
        <v>0.5345</v>
      </c>
      <c r="K1326" s="11" t="str">
        <f aca="false">IF(I1326&lt;J1326,"TAK","NIE")</f>
        <v>NIE</v>
      </c>
    </row>
    <row r="1327" customFormat="false" ht="15" hidden="false" customHeight="false" outlineLevel="0" collapsed="false">
      <c r="A1327" s="5" t="s">
        <v>409</v>
      </c>
      <c r="B1327" s="5" t="s">
        <v>58</v>
      </c>
      <c r="C1327" s="5" t="n">
        <v>2020</v>
      </c>
      <c r="D1327" s="5" t="s">
        <v>59</v>
      </c>
      <c r="E1327" s="5" t="s">
        <v>46</v>
      </c>
      <c r="F1327" s="5" t="s">
        <v>39</v>
      </c>
      <c r="G1327" s="6" t="n">
        <v>573</v>
      </c>
      <c r="H1327" s="6" t="n">
        <v>52</v>
      </c>
      <c r="I1327" s="7" t="n">
        <f aca="false">(G1327-H1327)/G1327</f>
        <v>0.909249563699826</v>
      </c>
      <c r="J1327" s="15" t="n">
        <v>0.5345</v>
      </c>
      <c r="K1327" s="11" t="str">
        <f aca="false">IF(I1327&lt;J1327,"TAK","NIE")</f>
        <v>NIE</v>
      </c>
    </row>
    <row r="1328" customFormat="false" ht="15" hidden="false" customHeight="false" outlineLevel="0" collapsed="false">
      <c r="A1328" s="5" t="s">
        <v>410</v>
      </c>
      <c r="B1328" s="5" t="s">
        <v>58</v>
      </c>
      <c r="C1328" s="5" t="n">
        <v>2020</v>
      </c>
      <c r="D1328" s="5" t="s">
        <v>59</v>
      </c>
      <c r="E1328" s="5" t="s">
        <v>46</v>
      </c>
      <c r="F1328" s="5" t="s">
        <v>39</v>
      </c>
      <c r="G1328" s="6" t="n">
        <v>573</v>
      </c>
      <c r="H1328" s="6" t="n">
        <v>116</v>
      </c>
      <c r="I1328" s="7" t="n">
        <f aca="false">(G1328-H1328)/G1328</f>
        <v>0.797556719022688</v>
      </c>
      <c r="J1328" s="15" t="n">
        <v>0.5345</v>
      </c>
      <c r="K1328" s="11" t="str">
        <f aca="false">IF(I1328&lt;J1328,"TAK","NIE")</f>
        <v>NIE</v>
      </c>
    </row>
    <row r="1329" customFormat="false" ht="15" hidden="false" customHeight="false" outlineLevel="0" collapsed="false">
      <c r="A1329" s="5" t="s">
        <v>411</v>
      </c>
      <c r="B1329" s="5" t="s">
        <v>58</v>
      </c>
      <c r="C1329" s="5" t="n">
        <v>2020</v>
      </c>
      <c r="D1329" s="5" t="s">
        <v>59</v>
      </c>
      <c r="E1329" s="5" t="s">
        <v>46</v>
      </c>
      <c r="F1329" s="5" t="s">
        <v>39</v>
      </c>
      <c r="G1329" s="6" t="n">
        <v>573</v>
      </c>
      <c r="H1329" s="6" t="n">
        <v>118</v>
      </c>
      <c r="I1329" s="7" t="n">
        <f aca="false">(G1329-H1329)/G1329</f>
        <v>0.794066317626527</v>
      </c>
      <c r="J1329" s="15" t="n">
        <v>0.5345</v>
      </c>
      <c r="K1329" s="11" t="str">
        <f aca="false">IF(I1329&lt;J1329,"TAK","NIE")</f>
        <v>NIE</v>
      </c>
    </row>
    <row r="1330" customFormat="false" ht="15" hidden="false" customHeight="false" outlineLevel="0" collapsed="false">
      <c r="A1330" s="5" t="s">
        <v>412</v>
      </c>
      <c r="B1330" s="5" t="s">
        <v>58</v>
      </c>
      <c r="C1330" s="5" t="n">
        <v>2020</v>
      </c>
      <c r="D1330" s="5" t="s">
        <v>59</v>
      </c>
      <c r="E1330" s="5" t="s">
        <v>46</v>
      </c>
      <c r="F1330" s="5" t="s">
        <v>39</v>
      </c>
      <c r="G1330" s="6" t="n">
        <v>573</v>
      </c>
      <c r="H1330" s="6" t="n">
        <v>195</v>
      </c>
      <c r="I1330" s="7" t="n">
        <f aca="false">(G1330-H1330)/G1330</f>
        <v>0.659685863874346</v>
      </c>
      <c r="J1330" s="15" t="n">
        <v>0.5345</v>
      </c>
      <c r="K1330" s="11" t="str">
        <f aca="false">IF(I1330&lt;J1330,"TAK","NIE")</f>
        <v>NIE</v>
      </c>
    </row>
    <row r="1331" customFormat="false" ht="15" hidden="false" customHeight="false" outlineLevel="0" collapsed="false">
      <c r="A1331" s="5" t="s">
        <v>413</v>
      </c>
      <c r="B1331" s="5" t="s">
        <v>58</v>
      </c>
      <c r="C1331" s="5" t="n">
        <v>2020</v>
      </c>
      <c r="D1331" s="5" t="s">
        <v>59</v>
      </c>
      <c r="E1331" s="5" t="s">
        <v>46</v>
      </c>
      <c r="F1331" s="5" t="s">
        <v>39</v>
      </c>
      <c r="G1331" s="6" t="n">
        <v>573</v>
      </c>
      <c r="H1331" s="6" t="n">
        <v>82</v>
      </c>
      <c r="I1331" s="7" t="n">
        <f aca="false">(G1331-H1331)/G1331</f>
        <v>0.856893542757417</v>
      </c>
      <c r="J1331" s="15" t="n">
        <v>0.5345</v>
      </c>
      <c r="K1331" s="11" t="str">
        <f aca="false">IF(I1331&lt;J1331,"TAK","NIE")</f>
        <v>NIE</v>
      </c>
    </row>
    <row r="1332" customFormat="false" ht="15" hidden="false" customHeight="false" outlineLevel="0" collapsed="false">
      <c r="A1332" s="5" t="s">
        <v>414</v>
      </c>
      <c r="B1332" s="5" t="s">
        <v>58</v>
      </c>
      <c r="C1332" s="5" t="n">
        <v>2020</v>
      </c>
      <c r="D1332" s="5" t="s">
        <v>59</v>
      </c>
      <c r="E1332" s="5" t="s">
        <v>46</v>
      </c>
      <c r="F1332" s="5" t="s">
        <v>39</v>
      </c>
      <c r="G1332" s="6" t="n">
        <v>573</v>
      </c>
      <c r="H1332" s="6" t="n">
        <v>151</v>
      </c>
      <c r="I1332" s="7" t="n">
        <f aca="false">(G1332-H1332)/G1332</f>
        <v>0.736474694589878</v>
      </c>
      <c r="J1332" s="15" t="n">
        <v>0.5345</v>
      </c>
      <c r="K1332" s="11" t="str">
        <f aca="false">IF(I1332&lt;J1332,"TAK","NIE")</f>
        <v>NIE</v>
      </c>
    </row>
    <row r="1333" customFormat="false" ht="15" hidden="false" customHeight="false" outlineLevel="0" collapsed="false">
      <c r="A1333" s="5" t="s">
        <v>415</v>
      </c>
      <c r="B1333" s="5" t="s">
        <v>58</v>
      </c>
      <c r="C1333" s="5" t="n">
        <v>2020</v>
      </c>
      <c r="D1333" s="5" t="s">
        <v>59</v>
      </c>
      <c r="E1333" s="5" t="s">
        <v>46</v>
      </c>
      <c r="F1333" s="5" t="s">
        <v>39</v>
      </c>
      <c r="G1333" s="6" t="n">
        <v>573</v>
      </c>
      <c r="H1333" s="6" t="n">
        <v>72</v>
      </c>
      <c r="I1333" s="7" t="n">
        <f aca="false">(G1333-H1333)/G1333</f>
        <v>0.87434554973822</v>
      </c>
      <c r="J1333" s="15" t="n">
        <v>0.5345</v>
      </c>
      <c r="K1333" s="11" t="str">
        <f aca="false">IF(I1333&lt;J1333,"TAK","NIE")</f>
        <v>NIE</v>
      </c>
    </row>
    <row r="1334" customFormat="false" ht="15" hidden="false" customHeight="false" outlineLevel="0" collapsed="false">
      <c r="A1334" s="5" t="s">
        <v>395</v>
      </c>
      <c r="B1334" s="5" t="s">
        <v>58</v>
      </c>
      <c r="C1334" s="5" t="n">
        <v>2020</v>
      </c>
      <c r="D1334" s="5" t="s">
        <v>59</v>
      </c>
      <c r="E1334" s="5" t="s">
        <v>46</v>
      </c>
      <c r="F1334" s="5" t="s">
        <v>40</v>
      </c>
      <c r="G1334" s="6" t="n">
        <v>491</v>
      </c>
      <c r="H1334" s="6" t="n">
        <v>36</v>
      </c>
      <c r="I1334" s="7" t="n">
        <f aca="false">(G1334-H1334)/G1334</f>
        <v>0.926680244399185</v>
      </c>
      <c r="J1334" s="15" t="n">
        <v>0.542</v>
      </c>
      <c r="K1334" s="11" t="str">
        <f aca="false">IF(I1334&lt;J1334,"TAK","NIE")</f>
        <v>NIE</v>
      </c>
    </row>
    <row r="1335" customFormat="false" ht="15" hidden="false" customHeight="false" outlineLevel="0" collapsed="false">
      <c r="A1335" s="5" t="s">
        <v>397</v>
      </c>
      <c r="B1335" s="5" t="s">
        <v>58</v>
      </c>
      <c r="C1335" s="5" t="n">
        <v>2020</v>
      </c>
      <c r="D1335" s="5" t="s">
        <v>59</v>
      </c>
      <c r="E1335" s="5" t="s">
        <v>46</v>
      </c>
      <c r="F1335" s="5" t="s">
        <v>40</v>
      </c>
      <c r="G1335" s="6" t="n">
        <v>491</v>
      </c>
      <c r="H1335" s="6" t="n">
        <v>77</v>
      </c>
      <c r="I1335" s="7" t="n">
        <f aca="false">(G1335-H1335)/G1335</f>
        <v>0.843177189409369</v>
      </c>
      <c r="J1335" s="15" t="n">
        <v>0.542</v>
      </c>
      <c r="K1335" s="11" t="str">
        <f aca="false">IF(I1335&lt;J1335,"TAK","NIE")</f>
        <v>NIE</v>
      </c>
    </row>
    <row r="1336" customFormat="false" ht="15" hidden="false" customHeight="false" outlineLevel="0" collapsed="false">
      <c r="A1336" s="5" t="s">
        <v>398</v>
      </c>
      <c r="B1336" s="5" t="s">
        <v>58</v>
      </c>
      <c r="C1336" s="5" t="n">
        <v>2020</v>
      </c>
      <c r="D1336" s="5" t="s">
        <v>59</v>
      </c>
      <c r="E1336" s="5" t="s">
        <v>46</v>
      </c>
      <c r="F1336" s="5" t="s">
        <v>40</v>
      </c>
      <c r="G1336" s="6" t="n">
        <v>491</v>
      </c>
      <c r="H1336" s="6" t="n">
        <v>172</v>
      </c>
      <c r="I1336" s="7" t="n">
        <f aca="false">(G1336-H1336)/G1336</f>
        <v>0.64969450101833</v>
      </c>
      <c r="J1336" s="15" t="n">
        <v>0.542</v>
      </c>
      <c r="K1336" s="11" t="str">
        <f aca="false">IF(I1336&lt;J1336,"TAK","NIE")</f>
        <v>NIE</v>
      </c>
    </row>
    <row r="1337" customFormat="false" ht="15" hidden="false" customHeight="false" outlineLevel="0" collapsed="false">
      <c r="A1337" s="5" t="s">
        <v>400</v>
      </c>
      <c r="B1337" s="5" t="s">
        <v>58</v>
      </c>
      <c r="C1337" s="5" t="n">
        <v>2020</v>
      </c>
      <c r="D1337" s="5" t="s">
        <v>59</v>
      </c>
      <c r="E1337" s="5" t="s">
        <v>46</v>
      </c>
      <c r="F1337" s="5" t="s">
        <v>40</v>
      </c>
      <c r="G1337" s="6" t="n">
        <v>465</v>
      </c>
      <c r="H1337" s="6" t="n">
        <v>25</v>
      </c>
      <c r="I1337" s="7" t="n">
        <f aca="false">(G1337-H1337)/G1337</f>
        <v>0.946236559139785</v>
      </c>
      <c r="J1337" s="15" t="n">
        <v>0.542</v>
      </c>
      <c r="K1337" s="11" t="str">
        <f aca="false">IF(I1337&lt;J1337,"TAK","NIE")</f>
        <v>NIE</v>
      </c>
    </row>
    <row r="1338" customFormat="false" ht="15" hidden="false" customHeight="false" outlineLevel="0" collapsed="false">
      <c r="A1338" s="5" t="s">
        <v>401</v>
      </c>
      <c r="B1338" s="5" t="s">
        <v>58</v>
      </c>
      <c r="C1338" s="5" t="n">
        <v>2020</v>
      </c>
      <c r="D1338" s="5" t="s">
        <v>59</v>
      </c>
      <c r="E1338" s="5" t="s">
        <v>46</v>
      </c>
      <c r="F1338" s="5" t="s">
        <v>40</v>
      </c>
      <c r="G1338" s="6" t="n">
        <v>491</v>
      </c>
      <c r="H1338" s="6" t="n">
        <v>44</v>
      </c>
      <c r="I1338" s="7" t="n">
        <f aca="false">(G1338-H1338)/G1338</f>
        <v>0.910386965376782</v>
      </c>
      <c r="J1338" s="15" t="n">
        <v>0.542</v>
      </c>
      <c r="K1338" s="11" t="str">
        <f aca="false">IF(I1338&lt;J1338,"TAK","NIE")</f>
        <v>NIE</v>
      </c>
    </row>
    <row r="1339" customFormat="false" ht="15" hidden="false" customHeight="false" outlineLevel="0" collapsed="false">
      <c r="A1339" s="5" t="s">
        <v>402</v>
      </c>
      <c r="B1339" s="5" t="s">
        <v>58</v>
      </c>
      <c r="C1339" s="5" t="n">
        <v>2020</v>
      </c>
      <c r="D1339" s="5" t="s">
        <v>59</v>
      </c>
      <c r="E1339" s="5" t="s">
        <v>46</v>
      </c>
      <c r="F1339" s="5" t="s">
        <v>40</v>
      </c>
      <c r="G1339" s="6" t="n">
        <v>491</v>
      </c>
      <c r="H1339" s="6" t="n">
        <v>75</v>
      </c>
      <c r="I1339" s="7" t="n">
        <f aca="false">(G1339-H1339)/G1339</f>
        <v>0.84725050916497</v>
      </c>
      <c r="J1339" s="15" t="n">
        <v>0.542</v>
      </c>
      <c r="K1339" s="11" t="str">
        <f aca="false">IF(I1339&lt;J1339,"TAK","NIE")</f>
        <v>NIE</v>
      </c>
    </row>
    <row r="1340" customFormat="false" ht="15" hidden="false" customHeight="false" outlineLevel="0" collapsed="false">
      <c r="A1340" s="5" t="s">
        <v>403</v>
      </c>
      <c r="B1340" s="5" t="s">
        <v>58</v>
      </c>
      <c r="C1340" s="5" t="n">
        <v>2020</v>
      </c>
      <c r="D1340" s="5" t="s">
        <v>59</v>
      </c>
      <c r="E1340" s="5" t="s">
        <v>46</v>
      </c>
      <c r="F1340" s="5" t="s">
        <v>40</v>
      </c>
      <c r="G1340" s="6" t="n">
        <v>491</v>
      </c>
      <c r="H1340" s="6" t="n">
        <v>109</v>
      </c>
      <c r="I1340" s="7" t="n">
        <f aca="false">(G1340-H1340)/G1340</f>
        <v>0.778004073319756</v>
      </c>
      <c r="J1340" s="15" t="n">
        <v>0.542</v>
      </c>
      <c r="K1340" s="11" t="str">
        <f aca="false">IF(I1340&lt;J1340,"TAK","NIE")</f>
        <v>NIE</v>
      </c>
    </row>
    <row r="1341" customFormat="false" ht="15" hidden="false" customHeight="false" outlineLevel="0" collapsed="false">
      <c r="A1341" s="5" t="s">
        <v>404</v>
      </c>
      <c r="B1341" s="5" t="s">
        <v>58</v>
      </c>
      <c r="C1341" s="5" t="n">
        <v>2020</v>
      </c>
      <c r="D1341" s="5" t="s">
        <v>59</v>
      </c>
      <c r="E1341" s="5" t="s">
        <v>46</v>
      </c>
      <c r="F1341" s="5" t="s">
        <v>40</v>
      </c>
      <c r="G1341" s="6" t="n">
        <v>491</v>
      </c>
      <c r="H1341" s="6" t="n">
        <v>82</v>
      </c>
      <c r="I1341" s="7" t="n">
        <f aca="false">(G1341-H1341)/G1341</f>
        <v>0.832993890020367</v>
      </c>
      <c r="J1341" s="15" t="n">
        <v>0.542</v>
      </c>
      <c r="K1341" s="11" t="str">
        <f aca="false">IF(I1341&lt;J1341,"TAK","NIE")</f>
        <v>NIE</v>
      </c>
    </row>
    <row r="1342" customFormat="false" ht="15" hidden="false" customHeight="false" outlineLevel="0" collapsed="false">
      <c r="A1342" s="5" t="s">
        <v>405</v>
      </c>
      <c r="B1342" s="5" t="s">
        <v>58</v>
      </c>
      <c r="C1342" s="5" t="n">
        <v>2020</v>
      </c>
      <c r="D1342" s="5" t="s">
        <v>59</v>
      </c>
      <c r="E1342" s="5" t="s">
        <v>46</v>
      </c>
      <c r="F1342" s="5" t="s">
        <v>40</v>
      </c>
      <c r="G1342" s="6" t="n">
        <v>491</v>
      </c>
      <c r="H1342" s="6" t="n">
        <v>123</v>
      </c>
      <c r="I1342" s="7" t="n">
        <f aca="false">(G1342-H1342)/G1342</f>
        <v>0.74949083503055</v>
      </c>
      <c r="J1342" s="15" t="n">
        <v>0.542</v>
      </c>
      <c r="K1342" s="11" t="str">
        <f aca="false">IF(I1342&lt;J1342,"TAK","NIE")</f>
        <v>NIE</v>
      </c>
    </row>
    <row r="1343" customFormat="false" ht="15" hidden="false" customHeight="false" outlineLevel="0" collapsed="false">
      <c r="A1343" s="5" t="s">
        <v>406</v>
      </c>
      <c r="B1343" s="5" t="s">
        <v>58</v>
      </c>
      <c r="C1343" s="5" t="n">
        <v>2020</v>
      </c>
      <c r="D1343" s="5" t="s">
        <v>59</v>
      </c>
      <c r="E1343" s="5" t="s">
        <v>46</v>
      </c>
      <c r="F1343" s="5" t="s">
        <v>40</v>
      </c>
      <c r="G1343" s="6" t="n">
        <v>491</v>
      </c>
      <c r="H1343" s="6" t="n">
        <v>50</v>
      </c>
      <c r="I1343" s="7" t="n">
        <f aca="false">(G1343-H1343)/G1343</f>
        <v>0.89816700610998</v>
      </c>
      <c r="J1343" s="15" t="n">
        <v>0.542</v>
      </c>
      <c r="K1343" s="11" t="str">
        <f aca="false">IF(I1343&lt;J1343,"TAK","NIE")</f>
        <v>NIE</v>
      </c>
    </row>
    <row r="1344" customFormat="false" ht="15" hidden="false" customHeight="false" outlineLevel="0" collapsed="false">
      <c r="A1344" s="5" t="s">
        <v>407</v>
      </c>
      <c r="B1344" s="5" t="s">
        <v>58</v>
      </c>
      <c r="C1344" s="5" t="n">
        <v>2020</v>
      </c>
      <c r="D1344" s="5" t="s">
        <v>59</v>
      </c>
      <c r="E1344" s="5" t="s">
        <v>46</v>
      </c>
      <c r="F1344" s="5" t="s">
        <v>40</v>
      </c>
      <c r="G1344" s="6" t="n">
        <v>570</v>
      </c>
      <c r="H1344" s="6" t="n">
        <v>187</v>
      </c>
      <c r="I1344" s="7" t="n">
        <f aca="false">(G1344-H1344)/G1344</f>
        <v>0.671929824561404</v>
      </c>
      <c r="J1344" s="15" t="n">
        <v>0.542</v>
      </c>
      <c r="K1344" s="11" t="str">
        <f aca="false">IF(I1344&lt;J1344,"TAK","NIE")</f>
        <v>NIE</v>
      </c>
    </row>
    <row r="1345" customFormat="false" ht="15" hidden="false" customHeight="false" outlineLevel="0" collapsed="false">
      <c r="A1345" s="5" t="s">
        <v>408</v>
      </c>
      <c r="B1345" s="5" t="s">
        <v>58</v>
      </c>
      <c r="C1345" s="5" t="n">
        <v>2020</v>
      </c>
      <c r="D1345" s="5" t="s">
        <v>59</v>
      </c>
      <c r="E1345" s="5" t="s">
        <v>46</v>
      </c>
      <c r="F1345" s="5" t="s">
        <v>40</v>
      </c>
      <c r="G1345" s="6" t="n">
        <v>491</v>
      </c>
      <c r="H1345" s="6" t="n">
        <v>62</v>
      </c>
      <c r="I1345" s="7" t="n">
        <f aca="false">(G1345-H1345)/G1345</f>
        <v>0.873727087576375</v>
      </c>
      <c r="J1345" s="15" t="n">
        <v>0.542</v>
      </c>
      <c r="K1345" s="11" t="str">
        <f aca="false">IF(I1345&lt;J1345,"TAK","NIE")</f>
        <v>NIE</v>
      </c>
    </row>
    <row r="1346" customFormat="false" ht="15" hidden="false" customHeight="false" outlineLevel="0" collapsed="false">
      <c r="A1346" s="5" t="s">
        <v>409</v>
      </c>
      <c r="B1346" s="5" t="s">
        <v>58</v>
      </c>
      <c r="C1346" s="5" t="n">
        <v>2020</v>
      </c>
      <c r="D1346" s="5" t="s">
        <v>59</v>
      </c>
      <c r="E1346" s="5" t="s">
        <v>46</v>
      </c>
      <c r="F1346" s="5" t="s">
        <v>40</v>
      </c>
      <c r="G1346" s="6" t="n">
        <v>491</v>
      </c>
      <c r="H1346" s="6" t="n">
        <v>64</v>
      </c>
      <c r="I1346" s="7" t="n">
        <f aca="false">(G1346-H1346)/G1346</f>
        <v>0.869653767820774</v>
      </c>
      <c r="J1346" s="15" t="n">
        <v>0.542</v>
      </c>
      <c r="K1346" s="11" t="str">
        <f aca="false">IF(I1346&lt;J1346,"TAK","NIE")</f>
        <v>NIE</v>
      </c>
    </row>
    <row r="1347" customFormat="false" ht="15" hidden="false" customHeight="false" outlineLevel="0" collapsed="false">
      <c r="A1347" s="5" t="s">
        <v>410</v>
      </c>
      <c r="B1347" s="5" t="s">
        <v>58</v>
      </c>
      <c r="C1347" s="5" t="n">
        <v>2020</v>
      </c>
      <c r="D1347" s="5" t="s">
        <v>59</v>
      </c>
      <c r="E1347" s="5" t="s">
        <v>46</v>
      </c>
      <c r="F1347" s="5" t="s">
        <v>40</v>
      </c>
      <c r="G1347" s="6" t="n">
        <v>491</v>
      </c>
      <c r="H1347" s="6" t="n">
        <v>133</v>
      </c>
      <c r="I1347" s="7" t="n">
        <f aca="false">(G1347-H1347)/G1347</f>
        <v>0.729124236252546</v>
      </c>
      <c r="J1347" s="15" t="n">
        <v>0.542</v>
      </c>
      <c r="K1347" s="11" t="str">
        <f aca="false">IF(I1347&lt;J1347,"TAK","NIE")</f>
        <v>NIE</v>
      </c>
    </row>
    <row r="1348" customFormat="false" ht="15" hidden="false" customHeight="false" outlineLevel="0" collapsed="false">
      <c r="A1348" s="5" t="s">
        <v>411</v>
      </c>
      <c r="B1348" s="5" t="s">
        <v>58</v>
      </c>
      <c r="C1348" s="5" t="n">
        <v>2020</v>
      </c>
      <c r="D1348" s="5" t="s">
        <v>59</v>
      </c>
      <c r="E1348" s="5" t="s">
        <v>46</v>
      </c>
      <c r="F1348" s="5" t="s">
        <v>40</v>
      </c>
      <c r="G1348" s="6" t="n">
        <v>491</v>
      </c>
      <c r="H1348" s="6" t="n">
        <v>114</v>
      </c>
      <c r="I1348" s="7" t="n">
        <f aca="false">(G1348-H1348)/G1348</f>
        <v>0.767820773930754</v>
      </c>
      <c r="J1348" s="15" t="n">
        <v>0.542</v>
      </c>
      <c r="K1348" s="11" t="str">
        <f aca="false">IF(I1348&lt;J1348,"TAK","NIE")</f>
        <v>NIE</v>
      </c>
    </row>
    <row r="1349" customFormat="false" ht="15" hidden="false" customHeight="false" outlineLevel="0" collapsed="false">
      <c r="A1349" s="5" t="s">
        <v>412</v>
      </c>
      <c r="B1349" s="5" t="s">
        <v>58</v>
      </c>
      <c r="C1349" s="5" t="n">
        <v>2020</v>
      </c>
      <c r="D1349" s="5" t="s">
        <v>59</v>
      </c>
      <c r="E1349" s="5" t="s">
        <v>46</v>
      </c>
      <c r="F1349" s="5" t="s">
        <v>40</v>
      </c>
      <c r="G1349" s="6" t="n">
        <v>491</v>
      </c>
      <c r="H1349" s="6" t="n">
        <v>161</v>
      </c>
      <c r="I1349" s="7" t="n">
        <f aca="false">(G1349-H1349)/G1349</f>
        <v>0.672097759674134</v>
      </c>
      <c r="J1349" s="15" t="n">
        <v>0.542</v>
      </c>
      <c r="K1349" s="11" t="str">
        <f aca="false">IF(I1349&lt;J1349,"TAK","NIE")</f>
        <v>NIE</v>
      </c>
    </row>
    <row r="1350" customFormat="false" ht="15" hidden="false" customHeight="false" outlineLevel="0" collapsed="false">
      <c r="A1350" s="5" t="s">
        <v>413</v>
      </c>
      <c r="B1350" s="5" t="s">
        <v>58</v>
      </c>
      <c r="C1350" s="5" t="n">
        <v>2020</v>
      </c>
      <c r="D1350" s="5" t="s">
        <v>59</v>
      </c>
      <c r="E1350" s="5" t="s">
        <v>46</v>
      </c>
      <c r="F1350" s="5" t="s">
        <v>40</v>
      </c>
      <c r="G1350" s="6" t="n">
        <v>491</v>
      </c>
      <c r="H1350" s="6" t="n">
        <v>118</v>
      </c>
      <c r="I1350" s="7" t="n">
        <f aca="false">(G1350-H1350)/G1350</f>
        <v>0.759674134419552</v>
      </c>
      <c r="J1350" s="15" t="n">
        <v>0.542</v>
      </c>
      <c r="K1350" s="11" t="str">
        <f aca="false">IF(I1350&lt;J1350,"TAK","NIE")</f>
        <v>NIE</v>
      </c>
    </row>
    <row r="1351" customFormat="false" ht="15" hidden="false" customHeight="false" outlineLevel="0" collapsed="false">
      <c r="A1351" s="5" t="s">
        <v>414</v>
      </c>
      <c r="B1351" s="5" t="s">
        <v>58</v>
      </c>
      <c r="C1351" s="5" t="n">
        <v>2020</v>
      </c>
      <c r="D1351" s="5" t="s">
        <v>59</v>
      </c>
      <c r="E1351" s="5" t="s">
        <v>46</v>
      </c>
      <c r="F1351" s="5" t="s">
        <v>40</v>
      </c>
      <c r="G1351" s="6" t="n">
        <v>491</v>
      </c>
      <c r="H1351" s="6" t="n">
        <v>132</v>
      </c>
      <c r="I1351" s="7" t="n">
        <f aca="false">(G1351-H1351)/G1351</f>
        <v>0.731160896130346</v>
      </c>
      <c r="J1351" s="15" t="n">
        <v>0.542</v>
      </c>
      <c r="K1351" s="11" t="str">
        <f aca="false">IF(I1351&lt;J1351,"TAK","NIE")</f>
        <v>NIE</v>
      </c>
    </row>
    <row r="1352" customFormat="false" ht="15" hidden="false" customHeight="false" outlineLevel="0" collapsed="false">
      <c r="A1352" s="5" t="s">
        <v>415</v>
      </c>
      <c r="B1352" s="5" t="s">
        <v>58</v>
      </c>
      <c r="C1352" s="5" t="n">
        <v>2020</v>
      </c>
      <c r="D1352" s="5" t="s">
        <v>59</v>
      </c>
      <c r="E1352" s="5" t="s">
        <v>46</v>
      </c>
      <c r="F1352" s="5" t="s">
        <v>40</v>
      </c>
      <c r="G1352" s="6" t="n">
        <v>491</v>
      </c>
      <c r="H1352" s="6" t="n">
        <v>93</v>
      </c>
      <c r="I1352" s="7" t="n">
        <f aca="false">(G1352-H1352)/G1352</f>
        <v>0.810590631364562</v>
      </c>
      <c r="J1352" s="15" t="n">
        <v>0.542</v>
      </c>
      <c r="K1352" s="11" t="str">
        <f aca="false">IF(I1352&lt;J1352,"TAK","NIE")</f>
        <v>NIE</v>
      </c>
    </row>
    <row r="1353" customFormat="false" ht="15" hidden="false" customHeight="false" outlineLevel="0" collapsed="false">
      <c r="A1353" s="5" t="s">
        <v>395</v>
      </c>
      <c r="B1353" s="5" t="s">
        <v>60</v>
      </c>
      <c r="C1353" s="5" t="n">
        <v>2020</v>
      </c>
      <c r="D1353" s="5" t="s">
        <v>59</v>
      </c>
      <c r="E1353" s="5" t="s">
        <v>55</v>
      </c>
      <c r="F1353" s="5" t="s">
        <v>39</v>
      </c>
      <c r="G1353" s="6" t="n">
        <v>659</v>
      </c>
      <c r="H1353" s="6" t="n">
        <v>52</v>
      </c>
      <c r="I1353" s="7" t="n">
        <f aca="false">(G1353-H1353)/G1353</f>
        <v>0.921092564491654</v>
      </c>
      <c r="J1353" s="15" t="n">
        <v>0.614</v>
      </c>
      <c r="K1353" s="11" t="str">
        <f aca="false">IF(I1353&lt;J1353,"TAK","NIE")</f>
        <v>NIE</v>
      </c>
    </row>
    <row r="1354" customFormat="false" ht="15" hidden="false" customHeight="false" outlineLevel="0" collapsed="false">
      <c r="A1354" s="5" t="s">
        <v>397</v>
      </c>
      <c r="B1354" s="5" t="s">
        <v>60</v>
      </c>
      <c r="C1354" s="5" t="n">
        <v>2020</v>
      </c>
      <c r="D1354" s="5" t="s">
        <v>59</v>
      </c>
      <c r="E1354" s="5" t="s">
        <v>55</v>
      </c>
      <c r="F1354" s="5" t="s">
        <v>39</v>
      </c>
      <c r="G1354" s="6" t="n">
        <v>659</v>
      </c>
      <c r="H1354" s="6" t="n">
        <v>168</v>
      </c>
      <c r="I1354" s="7" t="n">
        <f aca="false">(G1354-H1354)/G1354</f>
        <v>0.745068285280728</v>
      </c>
      <c r="J1354" s="15" t="n">
        <v>0.614</v>
      </c>
      <c r="K1354" s="11" t="str">
        <f aca="false">IF(I1354&lt;J1354,"TAK","NIE")</f>
        <v>NIE</v>
      </c>
    </row>
    <row r="1355" customFormat="false" ht="15" hidden="false" customHeight="false" outlineLevel="0" collapsed="false">
      <c r="A1355" s="5" t="s">
        <v>398</v>
      </c>
      <c r="B1355" s="5" t="s">
        <v>60</v>
      </c>
      <c r="C1355" s="5" t="n">
        <v>2020</v>
      </c>
      <c r="D1355" s="5" t="s">
        <v>59</v>
      </c>
      <c r="E1355" s="5" t="s">
        <v>55</v>
      </c>
      <c r="F1355" s="5" t="s">
        <v>39</v>
      </c>
      <c r="G1355" s="6" t="n">
        <v>659</v>
      </c>
      <c r="H1355" s="6" t="n">
        <v>157</v>
      </c>
      <c r="I1355" s="7" t="n">
        <f aca="false">(G1355-H1355)/G1355</f>
        <v>0.761760242792109</v>
      </c>
      <c r="J1355" s="15" t="n">
        <v>0.614</v>
      </c>
      <c r="K1355" s="11" t="str">
        <f aca="false">IF(I1355&lt;J1355,"TAK","NIE")</f>
        <v>NIE</v>
      </c>
    </row>
    <row r="1356" customFormat="false" ht="15" hidden="false" customHeight="false" outlineLevel="0" collapsed="false">
      <c r="A1356" s="5" t="s">
        <v>400</v>
      </c>
      <c r="B1356" s="5" t="s">
        <v>60</v>
      </c>
      <c r="C1356" s="5" t="n">
        <v>2020</v>
      </c>
      <c r="D1356" s="5" t="s">
        <v>59</v>
      </c>
      <c r="E1356" s="5" t="s">
        <v>55</v>
      </c>
      <c r="F1356" s="5" t="s">
        <v>39</v>
      </c>
      <c r="G1356" s="6" t="n">
        <v>619</v>
      </c>
      <c r="H1356" s="6" t="n">
        <v>135</v>
      </c>
      <c r="I1356" s="7" t="n">
        <f aca="false">(G1356-H1356)/G1356</f>
        <v>0.781906300484653</v>
      </c>
      <c r="J1356" s="15" t="n">
        <v>0.614</v>
      </c>
      <c r="K1356" s="11" t="str">
        <f aca="false">IF(I1356&lt;J1356,"TAK","NIE")</f>
        <v>NIE</v>
      </c>
    </row>
    <row r="1357" customFormat="false" ht="15" hidden="false" customHeight="false" outlineLevel="0" collapsed="false">
      <c r="A1357" s="5" t="s">
        <v>401</v>
      </c>
      <c r="B1357" s="5" t="s">
        <v>60</v>
      </c>
      <c r="C1357" s="5" t="n">
        <v>2020</v>
      </c>
      <c r="D1357" s="5" t="s">
        <v>59</v>
      </c>
      <c r="E1357" s="5" t="s">
        <v>55</v>
      </c>
      <c r="F1357" s="5" t="s">
        <v>39</v>
      </c>
      <c r="G1357" s="6" t="n">
        <v>659</v>
      </c>
      <c r="H1357" s="6" t="n">
        <v>122</v>
      </c>
      <c r="I1357" s="7" t="n">
        <f aca="false">(G1357-H1357)/G1357</f>
        <v>0.814871016691958</v>
      </c>
      <c r="J1357" s="15" t="n">
        <v>0.614</v>
      </c>
      <c r="K1357" s="11" t="str">
        <f aca="false">IF(I1357&lt;J1357,"TAK","NIE")</f>
        <v>NIE</v>
      </c>
    </row>
    <row r="1358" customFormat="false" ht="15" hidden="false" customHeight="false" outlineLevel="0" collapsed="false">
      <c r="A1358" s="5" t="s">
        <v>402</v>
      </c>
      <c r="B1358" s="5" t="s">
        <v>60</v>
      </c>
      <c r="C1358" s="5" t="n">
        <v>2020</v>
      </c>
      <c r="D1358" s="5" t="s">
        <v>59</v>
      </c>
      <c r="E1358" s="5" t="s">
        <v>55</v>
      </c>
      <c r="F1358" s="5" t="s">
        <v>39</v>
      </c>
      <c r="G1358" s="6" t="n">
        <v>659</v>
      </c>
      <c r="H1358" s="6" t="n">
        <v>193</v>
      </c>
      <c r="I1358" s="7" t="n">
        <f aca="false">(G1358-H1358)/G1358</f>
        <v>0.707132018209408</v>
      </c>
      <c r="J1358" s="15" t="n">
        <v>0.614</v>
      </c>
      <c r="K1358" s="11" t="str">
        <f aca="false">IF(I1358&lt;J1358,"TAK","NIE")</f>
        <v>NIE</v>
      </c>
    </row>
    <row r="1359" customFormat="false" ht="15" hidden="false" customHeight="false" outlineLevel="0" collapsed="false">
      <c r="A1359" s="5" t="s">
        <v>403</v>
      </c>
      <c r="B1359" s="5" t="s">
        <v>60</v>
      </c>
      <c r="C1359" s="5" t="n">
        <v>2020</v>
      </c>
      <c r="D1359" s="5" t="s">
        <v>59</v>
      </c>
      <c r="E1359" s="5" t="s">
        <v>55</v>
      </c>
      <c r="F1359" s="5" t="s">
        <v>39</v>
      </c>
      <c r="G1359" s="6" t="n">
        <v>659</v>
      </c>
      <c r="H1359" s="6" t="n">
        <v>128</v>
      </c>
      <c r="I1359" s="7" t="n">
        <f aca="false">(G1359-H1359)/G1359</f>
        <v>0.805766312594841</v>
      </c>
      <c r="J1359" s="15" t="n">
        <v>0.614</v>
      </c>
      <c r="K1359" s="11" t="str">
        <f aca="false">IF(I1359&lt;J1359,"TAK","NIE")</f>
        <v>NIE</v>
      </c>
    </row>
    <row r="1360" customFormat="false" ht="15" hidden="false" customHeight="false" outlineLevel="0" collapsed="false">
      <c r="A1360" s="5" t="s">
        <v>404</v>
      </c>
      <c r="B1360" s="5" t="s">
        <v>60</v>
      </c>
      <c r="C1360" s="5" t="n">
        <v>2020</v>
      </c>
      <c r="D1360" s="5" t="s">
        <v>59</v>
      </c>
      <c r="E1360" s="5" t="s">
        <v>55</v>
      </c>
      <c r="F1360" s="5" t="s">
        <v>39</v>
      </c>
      <c r="G1360" s="6" t="n">
        <v>659</v>
      </c>
      <c r="H1360" s="6" t="n">
        <v>110</v>
      </c>
      <c r="I1360" s="7" t="n">
        <f aca="false">(G1360-H1360)/G1360</f>
        <v>0.833080424886191</v>
      </c>
      <c r="J1360" s="15" t="n">
        <v>0.614</v>
      </c>
      <c r="K1360" s="11" t="str">
        <f aca="false">IF(I1360&lt;J1360,"TAK","NIE")</f>
        <v>NIE</v>
      </c>
    </row>
    <row r="1361" customFormat="false" ht="15" hidden="false" customHeight="false" outlineLevel="0" collapsed="false">
      <c r="A1361" s="5" t="s">
        <v>405</v>
      </c>
      <c r="B1361" s="5" t="s">
        <v>60</v>
      </c>
      <c r="C1361" s="5" t="n">
        <v>2020</v>
      </c>
      <c r="D1361" s="5" t="s">
        <v>59</v>
      </c>
      <c r="E1361" s="5" t="s">
        <v>55</v>
      </c>
      <c r="F1361" s="5" t="s">
        <v>39</v>
      </c>
      <c r="G1361" s="6" t="n">
        <v>659</v>
      </c>
      <c r="H1361" s="6" t="n">
        <v>115</v>
      </c>
      <c r="I1361" s="7" t="n">
        <f aca="false">(G1361-H1361)/G1361</f>
        <v>0.825493171471927</v>
      </c>
      <c r="J1361" s="15" t="n">
        <v>0.614</v>
      </c>
      <c r="K1361" s="11" t="str">
        <f aca="false">IF(I1361&lt;J1361,"TAK","NIE")</f>
        <v>NIE</v>
      </c>
    </row>
    <row r="1362" customFormat="false" ht="15" hidden="false" customHeight="false" outlineLevel="0" collapsed="false">
      <c r="A1362" s="5" t="s">
        <v>406</v>
      </c>
      <c r="B1362" s="5" t="s">
        <v>60</v>
      </c>
      <c r="C1362" s="5" t="n">
        <v>2020</v>
      </c>
      <c r="D1362" s="5" t="s">
        <v>59</v>
      </c>
      <c r="E1362" s="5" t="s">
        <v>55</v>
      </c>
      <c r="F1362" s="5" t="s">
        <v>39</v>
      </c>
      <c r="G1362" s="6" t="n">
        <v>659</v>
      </c>
      <c r="H1362" s="6" t="n">
        <v>110</v>
      </c>
      <c r="I1362" s="7" t="n">
        <f aca="false">(G1362-H1362)/G1362</f>
        <v>0.833080424886191</v>
      </c>
      <c r="J1362" s="15" t="n">
        <v>0.614</v>
      </c>
      <c r="K1362" s="11" t="str">
        <f aca="false">IF(I1362&lt;J1362,"TAK","NIE")</f>
        <v>NIE</v>
      </c>
    </row>
    <row r="1363" customFormat="false" ht="15" hidden="false" customHeight="false" outlineLevel="0" collapsed="false">
      <c r="A1363" s="5" t="s">
        <v>407</v>
      </c>
      <c r="B1363" s="5" t="s">
        <v>60</v>
      </c>
      <c r="C1363" s="5" t="n">
        <v>2020</v>
      </c>
      <c r="D1363" s="5" t="s">
        <v>59</v>
      </c>
      <c r="E1363" s="5" t="s">
        <v>55</v>
      </c>
      <c r="F1363" s="5" t="s">
        <v>39</v>
      </c>
      <c r="G1363" s="6" t="n">
        <v>786</v>
      </c>
      <c r="H1363" s="6" t="n">
        <v>200</v>
      </c>
      <c r="I1363" s="7" t="n">
        <f aca="false">(G1363-H1363)/G1363</f>
        <v>0.745547073791349</v>
      </c>
      <c r="J1363" s="15" t="n">
        <v>0.614</v>
      </c>
      <c r="K1363" s="11" t="str">
        <f aca="false">IF(I1363&lt;J1363,"TAK","NIE")</f>
        <v>NIE</v>
      </c>
    </row>
    <row r="1364" customFormat="false" ht="15" hidden="false" customHeight="false" outlineLevel="0" collapsed="false">
      <c r="A1364" s="5" t="s">
        <v>408</v>
      </c>
      <c r="B1364" s="5" t="s">
        <v>60</v>
      </c>
      <c r="C1364" s="5" t="n">
        <v>2020</v>
      </c>
      <c r="D1364" s="5" t="s">
        <v>59</v>
      </c>
      <c r="E1364" s="5" t="s">
        <v>55</v>
      </c>
      <c r="F1364" s="5" t="s">
        <v>39</v>
      </c>
      <c r="G1364" s="6" t="n">
        <v>659</v>
      </c>
      <c r="H1364" s="6" t="n">
        <v>100</v>
      </c>
      <c r="I1364" s="7" t="n">
        <f aca="false">(G1364-H1364)/G1364</f>
        <v>0.848254931714719</v>
      </c>
      <c r="J1364" s="15" t="n">
        <v>0.614</v>
      </c>
      <c r="K1364" s="11" t="str">
        <f aca="false">IF(I1364&lt;J1364,"TAK","NIE")</f>
        <v>NIE</v>
      </c>
    </row>
    <row r="1365" customFormat="false" ht="15" hidden="false" customHeight="false" outlineLevel="0" collapsed="false">
      <c r="A1365" s="5" t="s">
        <v>409</v>
      </c>
      <c r="B1365" s="5" t="s">
        <v>60</v>
      </c>
      <c r="C1365" s="5" t="n">
        <v>2020</v>
      </c>
      <c r="D1365" s="5" t="s">
        <v>59</v>
      </c>
      <c r="E1365" s="5" t="s">
        <v>55</v>
      </c>
      <c r="F1365" s="5" t="s">
        <v>39</v>
      </c>
      <c r="G1365" s="6" t="n">
        <v>659</v>
      </c>
      <c r="H1365" s="6" t="n">
        <v>69</v>
      </c>
      <c r="I1365" s="7" t="n">
        <f aca="false">(G1365-H1365)/G1365</f>
        <v>0.895295902883156</v>
      </c>
      <c r="J1365" s="15" t="n">
        <v>0.614</v>
      </c>
      <c r="K1365" s="11" t="str">
        <f aca="false">IF(I1365&lt;J1365,"TAK","NIE")</f>
        <v>NIE</v>
      </c>
    </row>
    <row r="1366" customFormat="false" ht="15" hidden="false" customHeight="false" outlineLevel="0" collapsed="false">
      <c r="A1366" s="5" t="s">
        <v>410</v>
      </c>
      <c r="B1366" s="5" t="s">
        <v>60</v>
      </c>
      <c r="C1366" s="5" t="n">
        <v>2020</v>
      </c>
      <c r="D1366" s="5" t="s">
        <v>59</v>
      </c>
      <c r="E1366" s="5" t="s">
        <v>55</v>
      </c>
      <c r="F1366" s="5" t="s">
        <v>39</v>
      </c>
      <c r="G1366" s="6" t="n">
        <v>659</v>
      </c>
      <c r="H1366" s="6" t="n">
        <v>171</v>
      </c>
      <c r="I1366" s="7" t="n">
        <f aca="false">(G1366-H1366)/G1366</f>
        <v>0.74051593323217</v>
      </c>
      <c r="J1366" s="15" t="n">
        <v>0.614</v>
      </c>
      <c r="K1366" s="11" t="str">
        <f aca="false">IF(I1366&lt;J1366,"TAK","NIE")</f>
        <v>NIE</v>
      </c>
    </row>
    <row r="1367" customFormat="false" ht="15" hidden="false" customHeight="false" outlineLevel="0" collapsed="false">
      <c r="A1367" s="5" t="s">
        <v>411</v>
      </c>
      <c r="B1367" s="5" t="s">
        <v>60</v>
      </c>
      <c r="C1367" s="5" t="n">
        <v>2020</v>
      </c>
      <c r="D1367" s="5" t="s">
        <v>59</v>
      </c>
      <c r="E1367" s="5" t="s">
        <v>55</v>
      </c>
      <c r="F1367" s="5" t="s">
        <v>39</v>
      </c>
      <c r="G1367" s="6" t="n">
        <v>659</v>
      </c>
      <c r="H1367" s="6" t="n">
        <v>201</v>
      </c>
      <c r="I1367" s="7" t="n">
        <f aca="false">(G1367-H1367)/G1367</f>
        <v>0.694992412746586</v>
      </c>
      <c r="J1367" s="15" t="n">
        <v>0.614</v>
      </c>
      <c r="K1367" s="11" t="str">
        <f aca="false">IF(I1367&lt;J1367,"TAK","NIE")</f>
        <v>NIE</v>
      </c>
    </row>
    <row r="1368" customFormat="false" ht="15" hidden="false" customHeight="false" outlineLevel="0" collapsed="false">
      <c r="A1368" s="5" t="s">
        <v>412</v>
      </c>
      <c r="B1368" s="5" t="s">
        <v>60</v>
      </c>
      <c r="C1368" s="5" t="n">
        <v>2020</v>
      </c>
      <c r="D1368" s="5" t="s">
        <v>59</v>
      </c>
      <c r="E1368" s="5" t="s">
        <v>55</v>
      </c>
      <c r="F1368" s="5" t="s">
        <v>39</v>
      </c>
      <c r="G1368" s="6" t="n">
        <v>659</v>
      </c>
      <c r="H1368" s="6" t="n">
        <v>279</v>
      </c>
      <c r="I1368" s="7" t="n">
        <f aca="false">(G1368-H1368)/G1368</f>
        <v>0.576631259484067</v>
      </c>
      <c r="J1368" s="15" t="n">
        <v>0.614</v>
      </c>
      <c r="K1368" s="11" t="str">
        <f aca="false">IF(I1368&lt;J1368,"TAK","NIE")</f>
        <v>TAK</v>
      </c>
    </row>
    <row r="1369" customFormat="false" ht="15" hidden="false" customHeight="false" outlineLevel="0" collapsed="false">
      <c r="A1369" s="5" t="s">
        <v>413</v>
      </c>
      <c r="B1369" s="5" t="s">
        <v>60</v>
      </c>
      <c r="C1369" s="5" t="n">
        <v>2020</v>
      </c>
      <c r="D1369" s="5" t="s">
        <v>59</v>
      </c>
      <c r="E1369" s="5" t="s">
        <v>55</v>
      </c>
      <c r="F1369" s="5" t="s">
        <v>39</v>
      </c>
      <c r="G1369" s="6" t="n">
        <v>659</v>
      </c>
      <c r="H1369" s="6" t="n">
        <v>139</v>
      </c>
      <c r="I1369" s="7" t="n">
        <f aca="false">(G1369-H1369)/G1369</f>
        <v>0.78907435508346</v>
      </c>
      <c r="J1369" s="15" t="n">
        <v>0.614</v>
      </c>
      <c r="K1369" s="11" t="str">
        <f aca="false">IF(I1369&lt;J1369,"TAK","NIE")</f>
        <v>NIE</v>
      </c>
    </row>
    <row r="1370" customFormat="false" ht="15" hidden="false" customHeight="false" outlineLevel="0" collapsed="false">
      <c r="A1370" s="5" t="s">
        <v>414</v>
      </c>
      <c r="B1370" s="5" t="s">
        <v>60</v>
      </c>
      <c r="C1370" s="5" t="n">
        <v>2020</v>
      </c>
      <c r="D1370" s="5" t="s">
        <v>59</v>
      </c>
      <c r="E1370" s="5" t="s">
        <v>55</v>
      </c>
      <c r="F1370" s="5" t="s">
        <v>39</v>
      </c>
      <c r="G1370" s="6" t="n">
        <v>659</v>
      </c>
      <c r="H1370" s="6" t="n">
        <v>224</v>
      </c>
      <c r="I1370" s="7" t="n">
        <f aca="false">(G1370-H1370)/G1370</f>
        <v>0.660091047040971</v>
      </c>
      <c r="J1370" s="15" t="n">
        <v>0.614</v>
      </c>
      <c r="K1370" s="11" t="str">
        <f aca="false">IF(I1370&lt;J1370,"TAK","NIE")</f>
        <v>NIE</v>
      </c>
    </row>
    <row r="1371" customFormat="false" ht="15" hidden="false" customHeight="false" outlineLevel="0" collapsed="false">
      <c r="A1371" s="5" t="s">
        <v>415</v>
      </c>
      <c r="B1371" s="5" t="s">
        <v>60</v>
      </c>
      <c r="C1371" s="5" t="n">
        <v>2020</v>
      </c>
      <c r="D1371" s="5" t="s">
        <v>59</v>
      </c>
      <c r="E1371" s="5" t="s">
        <v>55</v>
      </c>
      <c r="F1371" s="5" t="s">
        <v>39</v>
      </c>
      <c r="G1371" s="6" t="n">
        <v>659</v>
      </c>
      <c r="H1371" s="6" t="n">
        <v>124</v>
      </c>
      <c r="I1371" s="7" t="n">
        <f aca="false">(G1371-H1371)/G1371</f>
        <v>0.811836115326252</v>
      </c>
      <c r="J1371" s="15" t="n">
        <v>0.614</v>
      </c>
      <c r="K1371" s="11" t="str">
        <f aca="false">IF(I1371&lt;J1371,"TAK","NIE")</f>
        <v>NIE</v>
      </c>
    </row>
    <row r="1372" customFormat="false" ht="15" hidden="false" customHeight="false" outlineLevel="0" collapsed="false">
      <c r="A1372" s="5" t="s">
        <v>395</v>
      </c>
      <c r="B1372" s="5" t="s">
        <v>60</v>
      </c>
      <c r="C1372" s="5" t="n">
        <v>2020</v>
      </c>
      <c r="D1372" s="5" t="s">
        <v>59</v>
      </c>
      <c r="E1372" s="5" t="s">
        <v>55</v>
      </c>
      <c r="F1372" s="5" t="s">
        <v>40</v>
      </c>
      <c r="G1372" s="6" t="n">
        <v>367</v>
      </c>
      <c r="H1372" s="6" t="n">
        <v>117</v>
      </c>
      <c r="I1372" s="7" t="n">
        <f aca="false">(G1372-H1372)/G1372</f>
        <v>0.681198910081744</v>
      </c>
      <c r="J1372" s="15" t="n">
        <v>0.4625</v>
      </c>
      <c r="K1372" s="11" t="str">
        <f aca="false">IF(I1372&lt;J1372,"TAK","NIE")</f>
        <v>NIE</v>
      </c>
    </row>
    <row r="1373" customFormat="false" ht="15" hidden="false" customHeight="false" outlineLevel="0" collapsed="false">
      <c r="A1373" s="5" t="s">
        <v>397</v>
      </c>
      <c r="B1373" s="5" t="s">
        <v>60</v>
      </c>
      <c r="C1373" s="5" t="n">
        <v>2020</v>
      </c>
      <c r="D1373" s="5" t="s">
        <v>59</v>
      </c>
      <c r="E1373" s="5" t="s">
        <v>55</v>
      </c>
      <c r="F1373" s="5" t="s">
        <v>40</v>
      </c>
      <c r="G1373" s="6" t="n">
        <v>367</v>
      </c>
      <c r="H1373" s="6" t="n">
        <v>138</v>
      </c>
      <c r="I1373" s="7" t="n">
        <f aca="false">(G1373-H1373)/G1373</f>
        <v>0.623978201634877</v>
      </c>
      <c r="J1373" s="15" t="n">
        <v>0.4625</v>
      </c>
      <c r="K1373" s="11" t="str">
        <f aca="false">IF(I1373&lt;J1373,"TAK","NIE")</f>
        <v>NIE</v>
      </c>
    </row>
    <row r="1374" customFormat="false" ht="15" hidden="false" customHeight="false" outlineLevel="0" collapsed="false">
      <c r="A1374" s="5" t="s">
        <v>398</v>
      </c>
      <c r="B1374" s="5" t="s">
        <v>60</v>
      </c>
      <c r="C1374" s="5" t="n">
        <v>2020</v>
      </c>
      <c r="D1374" s="5" t="s">
        <v>59</v>
      </c>
      <c r="E1374" s="5" t="s">
        <v>55</v>
      </c>
      <c r="F1374" s="5" t="s">
        <v>40</v>
      </c>
      <c r="G1374" s="6" t="n">
        <v>367</v>
      </c>
      <c r="H1374" s="6" t="n">
        <v>164</v>
      </c>
      <c r="I1374" s="7" t="n">
        <f aca="false">(G1374-H1374)/G1374</f>
        <v>0.553133514986376</v>
      </c>
      <c r="J1374" s="15" t="n">
        <v>0.4625</v>
      </c>
      <c r="K1374" s="11" t="str">
        <f aca="false">IF(I1374&lt;J1374,"TAK","NIE")</f>
        <v>NIE</v>
      </c>
    </row>
    <row r="1375" customFormat="false" ht="15" hidden="false" customHeight="false" outlineLevel="0" collapsed="false">
      <c r="A1375" s="5" t="s">
        <v>400</v>
      </c>
      <c r="B1375" s="5" t="s">
        <v>60</v>
      </c>
      <c r="C1375" s="5" t="n">
        <v>2020</v>
      </c>
      <c r="D1375" s="5" t="s">
        <v>59</v>
      </c>
      <c r="E1375" s="5" t="s">
        <v>55</v>
      </c>
      <c r="F1375" s="5" t="s">
        <v>40</v>
      </c>
      <c r="G1375" s="6" t="n">
        <v>347</v>
      </c>
      <c r="H1375" s="6" t="n">
        <v>142</v>
      </c>
      <c r="I1375" s="7" t="n">
        <f aca="false">(G1375-H1375)/G1375</f>
        <v>0.590778097982709</v>
      </c>
      <c r="J1375" s="15" t="n">
        <v>0.4625</v>
      </c>
      <c r="K1375" s="11" t="str">
        <f aca="false">IF(I1375&lt;J1375,"TAK","NIE")</f>
        <v>NIE</v>
      </c>
    </row>
    <row r="1376" customFormat="false" ht="15" hidden="false" customHeight="false" outlineLevel="0" collapsed="false">
      <c r="A1376" s="5" t="s">
        <v>401</v>
      </c>
      <c r="B1376" s="5" t="s">
        <v>60</v>
      </c>
      <c r="C1376" s="5" t="n">
        <v>2020</v>
      </c>
      <c r="D1376" s="5" t="s">
        <v>59</v>
      </c>
      <c r="E1376" s="5" t="s">
        <v>55</v>
      </c>
      <c r="F1376" s="5" t="s">
        <v>40</v>
      </c>
      <c r="G1376" s="6" t="n">
        <v>367</v>
      </c>
      <c r="H1376" s="6" t="n">
        <v>115</v>
      </c>
      <c r="I1376" s="7" t="n">
        <f aca="false">(G1376-H1376)/G1376</f>
        <v>0.686648501362398</v>
      </c>
      <c r="J1376" s="15" t="n">
        <v>0.4625</v>
      </c>
      <c r="K1376" s="11" t="str">
        <f aca="false">IF(I1376&lt;J1376,"TAK","NIE")</f>
        <v>NIE</v>
      </c>
    </row>
    <row r="1377" customFormat="false" ht="15" hidden="false" customHeight="false" outlineLevel="0" collapsed="false">
      <c r="A1377" s="5" t="s">
        <v>402</v>
      </c>
      <c r="B1377" s="5" t="s">
        <v>60</v>
      </c>
      <c r="C1377" s="5" t="n">
        <v>2020</v>
      </c>
      <c r="D1377" s="5" t="s">
        <v>59</v>
      </c>
      <c r="E1377" s="5" t="s">
        <v>55</v>
      </c>
      <c r="F1377" s="5" t="s">
        <v>40</v>
      </c>
      <c r="G1377" s="6" t="n">
        <v>367</v>
      </c>
      <c r="H1377" s="6" t="n">
        <v>146</v>
      </c>
      <c r="I1377" s="7" t="n">
        <f aca="false">(G1377-H1377)/G1377</f>
        <v>0.602179836512262</v>
      </c>
      <c r="J1377" s="15" t="n">
        <v>0.4625</v>
      </c>
      <c r="K1377" s="11" t="str">
        <f aca="false">IF(I1377&lt;J1377,"TAK","NIE")</f>
        <v>NIE</v>
      </c>
    </row>
    <row r="1378" customFormat="false" ht="15" hidden="false" customHeight="false" outlineLevel="0" collapsed="false">
      <c r="A1378" s="5" t="s">
        <v>403</v>
      </c>
      <c r="B1378" s="5" t="s">
        <v>60</v>
      </c>
      <c r="C1378" s="5" t="n">
        <v>2020</v>
      </c>
      <c r="D1378" s="5" t="s">
        <v>59</v>
      </c>
      <c r="E1378" s="5" t="s">
        <v>55</v>
      </c>
      <c r="F1378" s="5" t="s">
        <v>40</v>
      </c>
      <c r="G1378" s="6" t="n">
        <v>367</v>
      </c>
      <c r="H1378" s="6" t="n">
        <v>150</v>
      </c>
      <c r="I1378" s="7" t="n">
        <f aca="false">(G1378-H1378)/G1378</f>
        <v>0.591280653950954</v>
      </c>
      <c r="J1378" s="15" t="n">
        <v>0.4625</v>
      </c>
      <c r="K1378" s="11" t="str">
        <f aca="false">IF(I1378&lt;J1378,"TAK","NIE")</f>
        <v>NIE</v>
      </c>
    </row>
    <row r="1379" customFormat="false" ht="15" hidden="false" customHeight="false" outlineLevel="0" collapsed="false">
      <c r="A1379" s="5" t="s">
        <v>404</v>
      </c>
      <c r="B1379" s="5" t="s">
        <v>60</v>
      </c>
      <c r="C1379" s="5" t="n">
        <v>2020</v>
      </c>
      <c r="D1379" s="5" t="s">
        <v>59</v>
      </c>
      <c r="E1379" s="5" t="s">
        <v>55</v>
      </c>
      <c r="F1379" s="5" t="s">
        <v>40</v>
      </c>
      <c r="G1379" s="6" t="n">
        <v>367</v>
      </c>
      <c r="H1379" s="6" t="n">
        <v>129</v>
      </c>
      <c r="I1379" s="7" t="n">
        <f aca="false">(G1379-H1379)/G1379</f>
        <v>0.64850136239782</v>
      </c>
      <c r="J1379" s="15" t="n">
        <v>0.4625</v>
      </c>
      <c r="K1379" s="11" t="str">
        <f aca="false">IF(I1379&lt;J1379,"TAK","NIE")</f>
        <v>NIE</v>
      </c>
    </row>
    <row r="1380" customFormat="false" ht="15" hidden="false" customHeight="false" outlineLevel="0" collapsed="false">
      <c r="A1380" s="5" t="s">
        <v>405</v>
      </c>
      <c r="B1380" s="5" t="s">
        <v>60</v>
      </c>
      <c r="C1380" s="5" t="n">
        <v>2020</v>
      </c>
      <c r="D1380" s="5" t="s">
        <v>59</v>
      </c>
      <c r="E1380" s="5" t="s">
        <v>55</v>
      </c>
      <c r="F1380" s="5" t="s">
        <v>40</v>
      </c>
      <c r="G1380" s="6" t="n">
        <v>367</v>
      </c>
      <c r="H1380" s="6" t="n">
        <v>149</v>
      </c>
      <c r="I1380" s="7" t="n">
        <f aca="false">(G1380-H1380)/G1380</f>
        <v>0.594005449591281</v>
      </c>
      <c r="J1380" s="15" t="n">
        <v>0.4625</v>
      </c>
      <c r="K1380" s="11" t="str">
        <f aca="false">IF(I1380&lt;J1380,"TAK","NIE")</f>
        <v>NIE</v>
      </c>
    </row>
    <row r="1381" customFormat="false" ht="15" hidden="false" customHeight="false" outlineLevel="0" collapsed="false">
      <c r="A1381" s="5" t="s">
        <v>406</v>
      </c>
      <c r="B1381" s="5" t="s">
        <v>60</v>
      </c>
      <c r="C1381" s="5" t="n">
        <v>2020</v>
      </c>
      <c r="D1381" s="5" t="s">
        <v>59</v>
      </c>
      <c r="E1381" s="5" t="s">
        <v>55</v>
      </c>
      <c r="F1381" s="5" t="s">
        <v>40</v>
      </c>
      <c r="G1381" s="6" t="n">
        <v>367</v>
      </c>
      <c r="H1381" s="6" t="n">
        <v>96</v>
      </c>
      <c r="I1381" s="7" t="n">
        <f aca="false">(G1381-H1381)/G1381</f>
        <v>0.73841961852861</v>
      </c>
      <c r="J1381" s="15" t="n">
        <v>0.4625</v>
      </c>
      <c r="K1381" s="11" t="str">
        <f aca="false">IF(I1381&lt;J1381,"TAK","NIE")</f>
        <v>NIE</v>
      </c>
    </row>
    <row r="1382" customFormat="false" ht="15" hidden="false" customHeight="false" outlineLevel="0" collapsed="false">
      <c r="A1382" s="5" t="s">
        <v>407</v>
      </c>
      <c r="B1382" s="5" t="s">
        <v>60</v>
      </c>
      <c r="C1382" s="5" t="n">
        <v>2020</v>
      </c>
      <c r="D1382" s="5" t="s">
        <v>59</v>
      </c>
      <c r="E1382" s="5" t="s">
        <v>55</v>
      </c>
      <c r="F1382" s="5" t="s">
        <v>40</v>
      </c>
      <c r="G1382" s="6" t="n">
        <v>439</v>
      </c>
      <c r="H1382" s="6" t="n">
        <v>233</v>
      </c>
      <c r="I1382" s="7" t="n">
        <f aca="false">(G1382-H1382)/G1382</f>
        <v>0.469248291571754</v>
      </c>
      <c r="J1382" s="15" t="n">
        <v>0.4625</v>
      </c>
      <c r="K1382" s="11" t="str">
        <f aca="false">IF(I1382&lt;J1382,"TAK","NIE")</f>
        <v>NIE</v>
      </c>
    </row>
    <row r="1383" customFormat="false" ht="15" hidden="false" customHeight="false" outlineLevel="0" collapsed="false">
      <c r="A1383" s="5" t="s">
        <v>408</v>
      </c>
      <c r="B1383" s="5" t="s">
        <v>60</v>
      </c>
      <c r="C1383" s="5" t="n">
        <v>2020</v>
      </c>
      <c r="D1383" s="5" t="s">
        <v>59</v>
      </c>
      <c r="E1383" s="5" t="s">
        <v>55</v>
      </c>
      <c r="F1383" s="5" t="s">
        <v>40</v>
      </c>
      <c r="G1383" s="6" t="n">
        <v>367</v>
      </c>
      <c r="H1383" s="6" t="n">
        <v>118</v>
      </c>
      <c r="I1383" s="7" t="n">
        <f aca="false">(G1383-H1383)/G1383</f>
        <v>0.678474114441417</v>
      </c>
      <c r="J1383" s="15" t="n">
        <v>0.4625</v>
      </c>
      <c r="K1383" s="11" t="str">
        <f aca="false">IF(I1383&lt;J1383,"TAK","NIE")</f>
        <v>NIE</v>
      </c>
    </row>
    <row r="1384" customFormat="false" ht="15" hidden="false" customHeight="false" outlineLevel="0" collapsed="false">
      <c r="A1384" s="5" t="s">
        <v>409</v>
      </c>
      <c r="B1384" s="5" t="s">
        <v>60</v>
      </c>
      <c r="C1384" s="5" t="n">
        <v>2020</v>
      </c>
      <c r="D1384" s="5" t="s">
        <v>59</v>
      </c>
      <c r="E1384" s="5" t="s">
        <v>55</v>
      </c>
      <c r="F1384" s="5" t="s">
        <v>40</v>
      </c>
      <c r="G1384" s="6" t="n">
        <v>367</v>
      </c>
      <c r="H1384" s="6" t="n">
        <v>151</v>
      </c>
      <c r="I1384" s="7" t="n">
        <f aca="false">(G1384-H1384)/G1384</f>
        <v>0.588555858310627</v>
      </c>
      <c r="J1384" s="15" t="n">
        <v>0.4625</v>
      </c>
      <c r="K1384" s="11" t="str">
        <f aca="false">IF(I1384&lt;J1384,"TAK","NIE")</f>
        <v>NIE</v>
      </c>
    </row>
    <row r="1385" customFormat="false" ht="15" hidden="false" customHeight="false" outlineLevel="0" collapsed="false">
      <c r="A1385" s="5" t="s">
        <v>410</v>
      </c>
      <c r="B1385" s="5" t="s">
        <v>60</v>
      </c>
      <c r="C1385" s="5" t="n">
        <v>2020</v>
      </c>
      <c r="D1385" s="5" t="s">
        <v>59</v>
      </c>
      <c r="E1385" s="5" t="s">
        <v>55</v>
      </c>
      <c r="F1385" s="5" t="s">
        <v>40</v>
      </c>
      <c r="G1385" s="6" t="n">
        <v>367</v>
      </c>
      <c r="H1385" s="6" t="n">
        <v>151</v>
      </c>
      <c r="I1385" s="7" t="n">
        <f aca="false">(G1385-H1385)/G1385</f>
        <v>0.588555858310627</v>
      </c>
      <c r="J1385" s="15" t="n">
        <v>0.4625</v>
      </c>
      <c r="K1385" s="11" t="str">
        <f aca="false">IF(I1385&lt;J1385,"TAK","NIE")</f>
        <v>NIE</v>
      </c>
    </row>
    <row r="1386" customFormat="false" ht="15" hidden="false" customHeight="false" outlineLevel="0" collapsed="false">
      <c r="A1386" s="5" t="s">
        <v>411</v>
      </c>
      <c r="B1386" s="5" t="s">
        <v>60</v>
      </c>
      <c r="C1386" s="5" t="n">
        <v>2020</v>
      </c>
      <c r="D1386" s="5" t="s">
        <v>59</v>
      </c>
      <c r="E1386" s="5" t="s">
        <v>55</v>
      </c>
      <c r="F1386" s="5" t="s">
        <v>40</v>
      </c>
      <c r="G1386" s="6" t="n">
        <v>367</v>
      </c>
      <c r="H1386" s="6" t="n">
        <v>162</v>
      </c>
      <c r="I1386" s="7" t="n">
        <f aca="false">(G1386-H1386)/G1386</f>
        <v>0.55858310626703</v>
      </c>
      <c r="J1386" s="15" t="n">
        <v>0.4625</v>
      </c>
      <c r="K1386" s="11" t="str">
        <f aca="false">IF(I1386&lt;J1386,"TAK","NIE")</f>
        <v>NIE</v>
      </c>
    </row>
    <row r="1387" customFormat="false" ht="15" hidden="false" customHeight="false" outlineLevel="0" collapsed="false">
      <c r="A1387" s="5" t="s">
        <v>412</v>
      </c>
      <c r="B1387" s="5" t="s">
        <v>60</v>
      </c>
      <c r="C1387" s="5" t="n">
        <v>2020</v>
      </c>
      <c r="D1387" s="5" t="s">
        <v>59</v>
      </c>
      <c r="E1387" s="5" t="s">
        <v>55</v>
      </c>
      <c r="F1387" s="5" t="s">
        <v>40</v>
      </c>
      <c r="G1387" s="6" t="n">
        <v>367</v>
      </c>
      <c r="H1387" s="6" t="n">
        <v>161</v>
      </c>
      <c r="I1387" s="7" t="n">
        <f aca="false">(G1387-H1387)/G1387</f>
        <v>0.561307901907357</v>
      </c>
      <c r="J1387" s="15" t="n">
        <v>0.4625</v>
      </c>
      <c r="K1387" s="11" t="str">
        <f aca="false">IF(I1387&lt;J1387,"TAK","NIE")</f>
        <v>NIE</v>
      </c>
    </row>
    <row r="1388" customFormat="false" ht="15" hidden="false" customHeight="false" outlineLevel="0" collapsed="false">
      <c r="A1388" s="5" t="s">
        <v>413</v>
      </c>
      <c r="B1388" s="5" t="s">
        <v>60</v>
      </c>
      <c r="C1388" s="5" t="n">
        <v>2020</v>
      </c>
      <c r="D1388" s="5" t="s">
        <v>59</v>
      </c>
      <c r="E1388" s="5" t="s">
        <v>55</v>
      </c>
      <c r="F1388" s="5" t="s">
        <v>40</v>
      </c>
      <c r="G1388" s="6" t="n">
        <v>367</v>
      </c>
      <c r="H1388" s="6" t="n">
        <v>128</v>
      </c>
      <c r="I1388" s="7" t="n">
        <f aca="false">(G1388-H1388)/G1388</f>
        <v>0.651226158038147</v>
      </c>
      <c r="J1388" s="15" t="n">
        <v>0.4625</v>
      </c>
      <c r="K1388" s="11" t="str">
        <f aca="false">IF(I1388&lt;J1388,"TAK","NIE")</f>
        <v>NIE</v>
      </c>
    </row>
    <row r="1389" customFormat="false" ht="15" hidden="false" customHeight="false" outlineLevel="0" collapsed="false">
      <c r="A1389" s="5" t="s">
        <v>414</v>
      </c>
      <c r="B1389" s="5" t="s">
        <v>60</v>
      </c>
      <c r="C1389" s="5" t="n">
        <v>2020</v>
      </c>
      <c r="D1389" s="5" t="s">
        <v>59</v>
      </c>
      <c r="E1389" s="5" t="s">
        <v>55</v>
      </c>
      <c r="F1389" s="5" t="s">
        <v>40</v>
      </c>
      <c r="G1389" s="6" t="n">
        <v>367</v>
      </c>
      <c r="H1389" s="6" t="n">
        <v>186</v>
      </c>
      <c r="I1389" s="7" t="n">
        <f aca="false">(G1389-H1389)/G1389</f>
        <v>0.493188010899183</v>
      </c>
      <c r="J1389" s="15" t="n">
        <v>0.4625</v>
      </c>
      <c r="K1389" s="11" t="str">
        <f aca="false">IF(I1389&lt;J1389,"TAK","NIE")</f>
        <v>NIE</v>
      </c>
    </row>
    <row r="1390" customFormat="false" ht="15" hidden="false" customHeight="false" outlineLevel="0" collapsed="false">
      <c r="A1390" s="5" t="s">
        <v>415</v>
      </c>
      <c r="B1390" s="5" t="s">
        <v>60</v>
      </c>
      <c r="C1390" s="5" t="n">
        <v>2020</v>
      </c>
      <c r="D1390" s="5" t="s">
        <v>59</v>
      </c>
      <c r="E1390" s="5" t="s">
        <v>55</v>
      </c>
      <c r="F1390" s="5" t="s">
        <v>40</v>
      </c>
      <c r="G1390" s="6" t="n">
        <v>367</v>
      </c>
      <c r="H1390" s="6" t="n">
        <v>139</v>
      </c>
      <c r="I1390" s="7" t="n">
        <f aca="false">(G1390-H1390)/G1390</f>
        <v>0.62125340599455</v>
      </c>
      <c r="J1390" s="15" t="n">
        <v>0.4625</v>
      </c>
      <c r="K1390" s="11" t="str">
        <f aca="false">IF(I1390&lt;J1390,"TAK","NIE")</f>
        <v>NIE</v>
      </c>
    </row>
    <row r="1391" customFormat="false" ht="15" hidden="false" customHeight="false" outlineLevel="0" collapsed="false">
      <c r="A1391" s="5" t="s">
        <v>395</v>
      </c>
      <c r="B1391" s="5" t="s">
        <v>61</v>
      </c>
      <c r="C1391" s="5" t="n">
        <v>2020</v>
      </c>
      <c r="D1391" s="5" t="s">
        <v>59</v>
      </c>
      <c r="E1391" s="5" t="s">
        <v>57</v>
      </c>
      <c r="F1391" s="5" t="s">
        <v>39</v>
      </c>
      <c r="G1391" s="6" t="n">
        <v>387</v>
      </c>
      <c r="H1391" s="6" t="n">
        <v>17</v>
      </c>
      <c r="I1391" s="7" t="n">
        <f aca="false">(G1391-H1391)/G1391</f>
        <v>0.956072351421189</v>
      </c>
      <c r="J1391" s="15" t="n">
        <v>0.384</v>
      </c>
      <c r="K1391" s="11" t="str">
        <f aca="false">IF(I1391&lt;J1391,"TAK","NIE")</f>
        <v>NIE</v>
      </c>
    </row>
    <row r="1392" customFormat="false" ht="15" hidden="false" customHeight="false" outlineLevel="0" collapsed="false">
      <c r="A1392" s="5" t="s">
        <v>397</v>
      </c>
      <c r="B1392" s="5" t="s">
        <v>61</v>
      </c>
      <c r="C1392" s="5" t="n">
        <v>2020</v>
      </c>
      <c r="D1392" s="5" t="s">
        <v>59</v>
      </c>
      <c r="E1392" s="5" t="s">
        <v>57</v>
      </c>
      <c r="F1392" s="5" t="s">
        <v>39</v>
      </c>
      <c r="G1392" s="6" t="n">
        <v>387</v>
      </c>
      <c r="H1392" s="6" t="n">
        <v>134</v>
      </c>
      <c r="I1392" s="7" t="n">
        <f aca="false">(G1392-H1392)/G1392</f>
        <v>0.65374677002584</v>
      </c>
      <c r="J1392" s="15" t="n">
        <v>0.384</v>
      </c>
      <c r="K1392" s="11" t="str">
        <f aca="false">IF(I1392&lt;J1392,"TAK","NIE")</f>
        <v>NIE</v>
      </c>
    </row>
    <row r="1393" customFormat="false" ht="15" hidden="false" customHeight="false" outlineLevel="0" collapsed="false">
      <c r="A1393" s="5" t="s">
        <v>398</v>
      </c>
      <c r="B1393" s="5" t="s">
        <v>61</v>
      </c>
      <c r="C1393" s="5" t="n">
        <v>2020</v>
      </c>
      <c r="D1393" s="5" t="s">
        <v>59</v>
      </c>
      <c r="E1393" s="5" t="s">
        <v>57</v>
      </c>
      <c r="F1393" s="5" t="s">
        <v>39</v>
      </c>
      <c r="G1393" s="6" t="n">
        <v>387</v>
      </c>
      <c r="H1393" s="6" t="n">
        <v>143</v>
      </c>
      <c r="I1393" s="7" t="n">
        <f aca="false">(G1393-H1393)/G1393</f>
        <v>0.630490956072351</v>
      </c>
      <c r="J1393" s="15" t="n">
        <v>0.384</v>
      </c>
      <c r="K1393" s="11" t="str">
        <f aca="false">IF(I1393&lt;J1393,"TAK","NIE")</f>
        <v>NIE</v>
      </c>
    </row>
    <row r="1394" customFormat="false" ht="15" hidden="false" customHeight="false" outlineLevel="0" collapsed="false">
      <c r="A1394" s="5" t="s">
        <v>400</v>
      </c>
      <c r="B1394" s="5" t="s">
        <v>61</v>
      </c>
      <c r="C1394" s="5" t="n">
        <v>2020</v>
      </c>
      <c r="D1394" s="5" t="s">
        <v>59</v>
      </c>
      <c r="E1394" s="5" t="s">
        <v>57</v>
      </c>
      <c r="F1394" s="5" t="s">
        <v>39</v>
      </c>
      <c r="G1394" s="6" t="n">
        <v>385</v>
      </c>
      <c r="H1394" s="6" t="n">
        <v>105</v>
      </c>
      <c r="I1394" s="7" t="n">
        <f aca="false">(G1394-H1394)/G1394</f>
        <v>0.727272727272727</v>
      </c>
      <c r="J1394" s="15" t="n">
        <v>0.384</v>
      </c>
      <c r="K1394" s="11" t="str">
        <f aca="false">IF(I1394&lt;J1394,"TAK","NIE")</f>
        <v>NIE</v>
      </c>
    </row>
    <row r="1395" customFormat="false" ht="15" hidden="false" customHeight="false" outlineLevel="0" collapsed="false">
      <c r="A1395" s="5" t="s">
        <v>401</v>
      </c>
      <c r="B1395" s="5" t="s">
        <v>61</v>
      </c>
      <c r="C1395" s="5" t="n">
        <v>2020</v>
      </c>
      <c r="D1395" s="5" t="s">
        <v>59</v>
      </c>
      <c r="E1395" s="5" t="s">
        <v>57</v>
      </c>
      <c r="F1395" s="5" t="s">
        <v>39</v>
      </c>
      <c r="G1395" s="6" t="n">
        <v>387</v>
      </c>
      <c r="H1395" s="6" t="n">
        <v>62</v>
      </c>
      <c r="I1395" s="7" t="n">
        <f aca="false">(G1395-H1395)/G1395</f>
        <v>0.839793281653747</v>
      </c>
      <c r="J1395" s="15" t="n">
        <v>0.384</v>
      </c>
      <c r="K1395" s="11" t="str">
        <f aca="false">IF(I1395&lt;J1395,"TAK","NIE")</f>
        <v>NIE</v>
      </c>
    </row>
    <row r="1396" customFormat="false" ht="15" hidden="false" customHeight="false" outlineLevel="0" collapsed="false">
      <c r="A1396" s="5" t="s">
        <v>402</v>
      </c>
      <c r="B1396" s="5" t="s">
        <v>61</v>
      </c>
      <c r="C1396" s="5" t="n">
        <v>2020</v>
      </c>
      <c r="D1396" s="5" t="s">
        <v>59</v>
      </c>
      <c r="E1396" s="5" t="s">
        <v>57</v>
      </c>
      <c r="F1396" s="5" t="s">
        <v>39</v>
      </c>
      <c r="G1396" s="6" t="n">
        <v>387</v>
      </c>
      <c r="H1396" s="6" t="n">
        <v>98</v>
      </c>
      <c r="I1396" s="7" t="n">
        <f aca="false">(G1396-H1396)/G1396</f>
        <v>0.746770025839793</v>
      </c>
      <c r="J1396" s="15" t="n">
        <v>0.384</v>
      </c>
      <c r="K1396" s="11" t="str">
        <f aca="false">IF(I1396&lt;J1396,"TAK","NIE")</f>
        <v>NIE</v>
      </c>
    </row>
    <row r="1397" customFormat="false" ht="15" hidden="false" customHeight="false" outlineLevel="0" collapsed="false">
      <c r="A1397" s="5" t="s">
        <v>403</v>
      </c>
      <c r="B1397" s="5" t="s">
        <v>61</v>
      </c>
      <c r="C1397" s="5" t="n">
        <v>2020</v>
      </c>
      <c r="D1397" s="5" t="s">
        <v>59</v>
      </c>
      <c r="E1397" s="5" t="s">
        <v>57</v>
      </c>
      <c r="F1397" s="5" t="s">
        <v>39</v>
      </c>
      <c r="G1397" s="6" t="n">
        <v>387</v>
      </c>
      <c r="H1397" s="6" t="n">
        <v>127</v>
      </c>
      <c r="I1397" s="7" t="n">
        <f aca="false">(G1397-H1397)/G1397</f>
        <v>0.671834625322997</v>
      </c>
      <c r="J1397" s="15" t="n">
        <v>0.384</v>
      </c>
      <c r="K1397" s="11" t="str">
        <f aca="false">IF(I1397&lt;J1397,"TAK","NIE")</f>
        <v>NIE</v>
      </c>
    </row>
    <row r="1398" customFormat="false" ht="15" hidden="false" customHeight="false" outlineLevel="0" collapsed="false">
      <c r="A1398" s="5" t="s">
        <v>404</v>
      </c>
      <c r="B1398" s="5" t="s">
        <v>61</v>
      </c>
      <c r="C1398" s="5" t="n">
        <v>2020</v>
      </c>
      <c r="D1398" s="5" t="s">
        <v>59</v>
      </c>
      <c r="E1398" s="5" t="s">
        <v>57</v>
      </c>
      <c r="F1398" s="5" t="s">
        <v>39</v>
      </c>
      <c r="G1398" s="6" t="n">
        <v>387</v>
      </c>
      <c r="H1398" s="6" t="n">
        <v>93</v>
      </c>
      <c r="I1398" s="7" t="n">
        <f aca="false">(G1398-H1398)/G1398</f>
        <v>0.75968992248062</v>
      </c>
      <c r="J1398" s="15" t="n">
        <v>0.384</v>
      </c>
      <c r="K1398" s="11" t="str">
        <f aca="false">IF(I1398&lt;J1398,"TAK","NIE")</f>
        <v>NIE</v>
      </c>
    </row>
    <row r="1399" customFormat="false" ht="15" hidden="false" customHeight="false" outlineLevel="0" collapsed="false">
      <c r="A1399" s="5" t="s">
        <v>405</v>
      </c>
      <c r="B1399" s="5" t="s">
        <v>61</v>
      </c>
      <c r="C1399" s="5" t="n">
        <v>2020</v>
      </c>
      <c r="D1399" s="5" t="s">
        <v>59</v>
      </c>
      <c r="E1399" s="5" t="s">
        <v>57</v>
      </c>
      <c r="F1399" s="5" t="s">
        <v>39</v>
      </c>
      <c r="G1399" s="6" t="n">
        <v>387</v>
      </c>
      <c r="H1399" s="6" t="n">
        <v>73</v>
      </c>
      <c r="I1399" s="7" t="n">
        <f aca="false">(G1399-H1399)/G1399</f>
        <v>0.811369509043928</v>
      </c>
      <c r="J1399" s="15" t="n">
        <v>0.384</v>
      </c>
      <c r="K1399" s="11" t="str">
        <f aca="false">IF(I1399&lt;J1399,"TAK","NIE")</f>
        <v>NIE</v>
      </c>
    </row>
    <row r="1400" customFormat="false" ht="15" hidden="false" customHeight="false" outlineLevel="0" collapsed="false">
      <c r="A1400" s="5" t="s">
        <v>406</v>
      </c>
      <c r="B1400" s="5" t="s">
        <v>61</v>
      </c>
      <c r="C1400" s="5" t="n">
        <v>2020</v>
      </c>
      <c r="D1400" s="5" t="s">
        <v>59</v>
      </c>
      <c r="E1400" s="5" t="s">
        <v>57</v>
      </c>
      <c r="F1400" s="5" t="s">
        <v>39</v>
      </c>
      <c r="G1400" s="6" t="n">
        <v>387</v>
      </c>
      <c r="H1400" s="6" t="n">
        <v>57</v>
      </c>
      <c r="I1400" s="7" t="n">
        <f aca="false">(G1400-H1400)/G1400</f>
        <v>0.852713178294574</v>
      </c>
      <c r="J1400" s="15" t="n">
        <v>0.384</v>
      </c>
      <c r="K1400" s="11" t="str">
        <f aca="false">IF(I1400&lt;J1400,"TAK","NIE")</f>
        <v>NIE</v>
      </c>
    </row>
    <row r="1401" customFormat="false" ht="15" hidden="false" customHeight="false" outlineLevel="0" collapsed="false">
      <c r="A1401" s="5" t="s">
        <v>408</v>
      </c>
      <c r="B1401" s="5" t="s">
        <v>61</v>
      </c>
      <c r="C1401" s="5" t="n">
        <v>2020</v>
      </c>
      <c r="D1401" s="5" t="s">
        <v>59</v>
      </c>
      <c r="E1401" s="5" t="s">
        <v>57</v>
      </c>
      <c r="F1401" s="5" t="s">
        <v>39</v>
      </c>
      <c r="G1401" s="6" t="n">
        <v>387</v>
      </c>
      <c r="H1401" s="6" t="n">
        <v>72</v>
      </c>
      <c r="I1401" s="7" t="n">
        <f aca="false">(G1401-H1401)/G1401</f>
        <v>0.813953488372093</v>
      </c>
      <c r="J1401" s="15" t="n">
        <v>0.384</v>
      </c>
      <c r="K1401" s="11" t="str">
        <f aca="false">IF(I1401&lt;J1401,"TAK","NIE")</f>
        <v>NIE</v>
      </c>
    </row>
    <row r="1402" customFormat="false" ht="15" hidden="false" customHeight="false" outlineLevel="0" collapsed="false">
      <c r="A1402" s="5" t="s">
        <v>409</v>
      </c>
      <c r="B1402" s="5" t="s">
        <v>61</v>
      </c>
      <c r="C1402" s="5" t="n">
        <v>2020</v>
      </c>
      <c r="D1402" s="5" t="s">
        <v>59</v>
      </c>
      <c r="E1402" s="5" t="s">
        <v>57</v>
      </c>
      <c r="F1402" s="5" t="s">
        <v>39</v>
      </c>
      <c r="G1402" s="6" t="n">
        <v>387</v>
      </c>
      <c r="H1402" s="6" t="n">
        <v>41</v>
      </c>
      <c r="I1402" s="7" t="n">
        <f aca="false">(G1402-H1402)/G1402</f>
        <v>0.89405684754522</v>
      </c>
      <c r="J1402" s="15" t="n">
        <v>0.384</v>
      </c>
      <c r="K1402" s="11" t="str">
        <f aca="false">IF(I1402&lt;J1402,"TAK","NIE")</f>
        <v>NIE</v>
      </c>
    </row>
    <row r="1403" customFormat="false" ht="15" hidden="false" customHeight="false" outlineLevel="0" collapsed="false">
      <c r="A1403" s="5" t="s">
        <v>410</v>
      </c>
      <c r="B1403" s="5" t="s">
        <v>61</v>
      </c>
      <c r="C1403" s="5" t="n">
        <v>2020</v>
      </c>
      <c r="D1403" s="5" t="s">
        <v>59</v>
      </c>
      <c r="E1403" s="5" t="s">
        <v>57</v>
      </c>
      <c r="F1403" s="5" t="s">
        <v>39</v>
      </c>
      <c r="G1403" s="6" t="n">
        <v>387</v>
      </c>
      <c r="H1403" s="6" t="n">
        <v>111</v>
      </c>
      <c r="I1403" s="7" t="n">
        <f aca="false">(G1403-H1403)/G1403</f>
        <v>0.713178294573644</v>
      </c>
      <c r="J1403" s="15" t="n">
        <v>0.384</v>
      </c>
      <c r="K1403" s="11" t="str">
        <f aca="false">IF(I1403&lt;J1403,"TAK","NIE")</f>
        <v>NIE</v>
      </c>
    </row>
    <row r="1404" customFormat="false" ht="15" hidden="false" customHeight="false" outlineLevel="0" collapsed="false">
      <c r="A1404" s="5" t="s">
        <v>411</v>
      </c>
      <c r="B1404" s="5" t="s">
        <v>61</v>
      </c>
      <c r="C1404" s="5" t="n">
        <v>2020</v>
      </c>
      <c r="D1404" s="5" t="s">
        <v>59</v>
      </c>
      <c r="E1404" s="5" t="s">
        <v>57</v>
      </c>
      <c r="F1404" s="5" t="s">
        <v>39</v>
      </c>
      <c r="G1404" s="6" t="n">
        <v>387</v>
      </c>
      <c r="H1404" s="6" t="n">
        <v>142</v>
      </c>
      <c r="I1404" s="7" t="n">
        <f aca="false">(G1404-H1404)/G1404</f>
        <v>0.633074935400517</v>
      </c>
      <c r="J1404" s="15" t="n">
        <v>0.384</v>
      </c>
      <c r="K1404" s="11" t="str">
        <f aca="false">IF(I1404&lt;J1404,"TAK","NIE")</f>
        <v>NIE</v>
      </c>
    </row>
    <row r="1405" customFormat="false" ht="15" hidden="false" customHeight="false" outlineLevel="0" collapsed="false">
      <c r="A1405" s="5" t="s">
        <v>412</v>
      </c>
      <c r="B1405" s="5" t="s">
        <v>61</v>
      </c>
      <c r="C1405" s="5" t="n">
        <v>2020</v>
      </c>
      <c r="D1405" s="5" t="s">
        <v>59</v>
      </c>
      <c r="E1405" s="5" t="s">
        <v>57</v>
      </c>
      <c r="F1405" s="5" t="s">
        <v>39</v>
      </c>
      <c r="G1405" s="6" t="n">
        <v>387</v>
      </c>
      <c r="H1405" s="6" t="n">
        <v>183</v>
      </c>
      <c r="I1405" s="7" t="n">
        <f aca="false">(G1405-H1405)/G1405</f>
        <v>0.527131782945737</v>
      </c>
      <c r="J1405" s="15" t="n">
        <v>0.384</v>
      </c>
      <c r="K1405" s="11" t="str">
        <f aca="false">IF(I1405&lt;J1405,"TAK","NIE")</f>
        <v>NIE</v>
      </c>
    </row>
    <row r="1406" customFormat="false" ht="15" hidden="false" customHeight="false" outlineLevel="0" collapsed="false">
      <c r="A1406" s="5" t="s">
        <v>413</v>
      </c>
      <c r="B1406" s="5" t="s">
        <v>61</v>
      </c>
      <c r="C1406" s="5" t="n">
        <v>2020</v>
      </c>
      <c r="D1406" s="5" t="s">
        <v>59</v>
      </c>
      <c r="E1406" s="5" t="s">
        <v>57</v>
      </c>
      <c r="F1406" s="5" t="s">
        <v>39</v>
      </c>
      <c r="G1406" s="6" t="n">
        <v>387</v>
      </c>
      <c r="H1406" s="6" t="n">
        <v>44</v>
      </c>
      <c r="I1406" s="7" t="n">
        <f aca="false">(G1406-H1406)/G1406</f>
        <v>0.886304909560724</v>
      </c>
      <c r="J1406" s="15" t="n">
        <v>0.384</v>
      </c>
      <c r="K1406" s="11" t="str">
        <f aca="false">IF(I1406&lt;J1406,"TAK","NIE")</f>
        <v>NIE</v>
      </c>
    </row>
    <row r="1407" customFormat="false" ht="15" hidden="false" customHeight="false" outlineLevel="0" collapsed="false">
      <c r="A1407" s="5" t="s">
        <v>414</v>
      </c>
      <c r="B1407" s="5" t="s">
        <v>61</v>
      </c>
      <c r="C1407" s="5" t="n">
        <v>2020</v>
      </c>
      <c r="D1407" s="5" t="s">
        <v>59</v>
      </c>
      <c r="E1407" s="5" t="s">
        <v>57</v>
      </c>
      <c r="F1407" s="5" t="s">
        <v>39</v>
      </c>
      <c r="G1407" s="6" t="n">
        <v>387</v>
      </c>
      <c r="H1407" s="6" t="n">
        <v>179</v>
      </c>
      <c r="I1407" s="7" t="n">
        <f aca="false">(G1407-H1407)/G1407</f>
        <v>0.537467700258398</v>
      </c>
      <c r="J1407" s="15" t="n">
        <v>0.384</v>
      </c>
      <c r="K1407" s="11" t="str">
        <f aca="false">IF(I1407&lt;J1407,"TAK","NIE")</f>
        <v>NIE</v>
      </c>
    </row>
    <row r="1408" customFormat="false" ht="15" hidden="false" customHeight="false" outlineLevel="0" collapsed="false">
      <c r="A1408" s="5" t="s">
        <v>415</v>
      </c>
      <c r="B1408" s="5" t="s">
        <v>61</v>
      </c>
      <c r="C1408" s="5" t="n">
        <v>2020</v>
      </c>
      <c r="D1408" s="5" t="s">
        <v>59</v>
      </c>
      <c r="E1408" s="5" t="s">
        <v>57</v>
      </c>
      <c r="F1408" s="5" t="s">
        <v>39</v>
      </c>
      <c r="G1408" s="6" t="n">
        <v>387</v>
      </c>
      <c r="H1408" s="6" t="n">
        <v>61</v>
      </c>
      <c r="I1408" s="7" t="n">
        <f aca="false">(G1408-H1408)/G1408</f>
        <v>0.842377260981912</v>
      </c>
      <c r="J1408" s="15" t="n">
        <v>0.384</v>
      </c>
      <c r="K1408" s="11" t="str">
        <f aca="false">IF(I1408&lt;J1408,"TAK","NIE")</f>
        <v>NIE</v>
      </c>
    </row>
    <row r="1409" customFormat="false" ht="15" hidden="false" customHeight="false" outlineLevel="0" collapsed="false">
      <c r="A1409" s="5" t="s">
        <v>395</v>
      </c>
      <c r="B1409" s="5" t="s">
        <v>61</v>
      </c>
      <c r="C1409" s="5" t="n">
        <v>2020</v>
      </c>
      <c r="D1409" s="5" t="s">
        <v>59</v>
      </c>
      <c r="E1409" s="5" t="s">
        <v>57</v>
      </c>
      <c r="F1409" s="5" t="s">
        <v>40</v>
      </c>
      <c r="G1409" s="6" t="n">
        <v>550</v>
      </c>
      <c r="H1409" s="6" t="n">
        <v>174</v>
      </c>
      <c r="I1409" s="7" t="n">
        <f aca="false">(G1409-H1409)/G1409</f>
        <v>0.683636363636364</v>
      </c>
      <c r="J1409" s="15" t="n">
        <v>0.3961</v>
      </c>
      <c r="K1409" s="11" t="str">
        <f aca="false">IF(I1409&lt;J1409,"TAK","NIE")</f>
        <v>NIE</v>
      </c>
    </row>
    <row r="1410" customFormat="false" ht="15" hidden="false" customHeight="false" outlineLevel="0" collapsed="false">
      <c r="A1410" s="5" t="s">
        <v>397</v>
      </c>
      <c r="B1410" s="5" t="s">
        <v>61</v>
      </c>
      <c r="C1410" s="5" t="n">
        <v>2020</v>
      </c>
      <c r="D1410" s="5" t="s">
        <v>59</v>
      </c>
      <c r="E1410" s="5" t="s">
        <v>57</v>
      </c>
      <c r="F1410" s="5" t="s">
        <v>40</v>
      </c>
      <c r="G1410" s="6" t="n">
        <v>550</v>
      </c>
      <c r="H1410" s="6" t="n">
        <v>231</v>
      </c>
      <c r="I1410" s="7" t="n">
        <f aca="false">(G1410-H1410)/G1410</f>
        <v>0.58</v>
      </c>
      <c r="J1410" s="15" t="n">
        <v>0.3961</v>
      </c>
      <c r="K1410" s="11" t="str">
        <f aca="false">IF(I1410&lt;J1410,"TAK","NIE")</f>
        <v>NIE</v>
      </c>
    </row>
    <row r="1411" customFormat="false" ht="15" hidden="false" customHeight="false" outlineLevel="0" collapsed="false">
      <c r="A1411" s="5" t="s">
        <v>398</v>
      </c>
      <c r="B1411" s="5" t="s">
        <v>61</v>
      </c>
      <c r="C1411" s="5" t="n">
        <v>2020</v>
      </c>
      <c r="D1411" s="5" t="s">
        <v>59</v>
      </c>
      <c r="E1411" s="5" t="s">
        <v>57</v>
      </c>
      <c r="F1411" s="5" t="s">
        <v>40</v>
      </c>
      <c r="G1411" s="6" t="n">
        <v>548</v>
      </c>
      <c r="H1411" s="6" t="n">
        <v>271</v>
      </c>
      <c r="I1411" s="7" t="n">
        <f aca="false">(G1411-H1411)/G1411</f>
        <v>0.505474452554745</v>
      </c>
      <c r="J1411" s="15" t="n">
        <v>0.3961</v>
      </c>
      <c r="K1411" s="11" t="str">
        <f aca="false">IF(I1411&lt;J1411,"TAK","NIE")</f>
        <v>NIE</v>
      </c>
    </row>
    <row r="1412" customFormat="false" ht="15" hidden="false" customHeight="false" outlineLevel="0" collapsed="false">
      <c r="A1412" s="5" t="s">
        <v>400</v>
      </c>
      <c r="B1412" s="5" t="s">
        <v>61</v>
      </c>
      <c r="C1412" s="5" t="n">
        <v>2020</v>
      </c>
      <c r="D1412" s="5" t="s">
        <v>59</v>
      </c>
      <c r="E1412" s="5" t="s">
        <v>57</v>
      </c>
      <c r="F1412" s="5" t="s">
        <v>40</v>
      </c>
      <c r="G1412" s="6" t="n">
        <v>550</v>
      </c>
      <c r="H1412" s="6" t="n">
        <v>241</v>
      </c>
      <c r="I1412" s="7" t="n">
        <f aca="false">(G1412-H1412)/G1412</f>
        <v>0.561818181818182</v>
      </c>
      <c r="J1412" s="15" t="n">
        <v>0.3961</v>
      </c>
      <c r="K1412" s="11" t="str">
        <f aca="false">IF(I1412&lt;J1412,"TAK","NIE")</f>
        <v>NIE</v>
      </c>
    </row>
    <row r="1413" customFormat="false" ht="15" hidden="false" customHeight="false" outlineLevel="0" collapsed="false">
      <c r="A1413" s="5" t="s">
        <v>401</v>
      </c>
      <c r="B1413" s="5" t="s">
        <v>61</v>
      </c>
      <c r="C1413" s="5" t="n">
        <v>2020</v>
      </c>
      <c r="D1413" s="5" t="s">
        <v>59</v>
      </c>
      <c r="E1413" s="5" t="s">
        <v>57</v>
      </c>
      <c r="F1413" s="5" t="s">
        <v>40</v>
      </c>
      <c r="G1413" s="6" t="n">
        <v>550</v>
      </c>
      <c r="H1413" s="6" t="n">
        <v>190</v>
      </c>
      <c r="I1413" s="7" t="n">
        <f aca="false">(G1413-H1413)/G1413</f>
        <v>0.654545454545455</v>
      </c>
      <c r="J1413" s="15" t="n">
        <v>0.3961</v>
      </c>
      <c r="K1413" s="11" t="str">
        <f aca="false">IF(I1413&lt;J1413,"TAK","NIE")</f>
        <v>NIE</v>
      </c>
    </row>
    <row r="1414" customFormat="false" ht="15" hidden="false" customHeight="false" outlineLevel="0" collapsed="false">
      <c r="A1414" s="5" t="s">
        <v>402</v>
      </c>
      <c r="B1414" s="5" t="s">
        <v>61</v>
      </c>
      <c r="C1414" s="5" t="n">
        <v>2020</v>
      </c>
      <c r="D1414" s="5" t="s">
        <v>59</v>
      </c>
      <c r="E1414" s="5" t="s">
        <v>57</v>
      </c>
      <c r="F1414" s="5" t="s">
        <v>40</v>
      </c>
      <c r="G1414" s="6" t="n">
        <v>550</v>
      </c>
      <c r="H1414" s="6" t="n">
        <v>294</v>
      </c>
      <c r="I1414" s="7" t="n">
        <f aca="false">(G1414-H1414)/G1414</f>
        <v>0.465454545454545</v>
      </c>
      <c r="J1414" s="15" t="n">
        <v>0.3961</v>
      </c>
      <c r="K1414" s="11" t="str">
        <f aca="false">IF(I1414&lt;J1414,"TAK","NIE")</f>
        <v>NIE</v>
      </c>
    </row>
    <row r="1415" customFormat="false" ht="15" hidden="false" customHeight="false" outlineLevel="0" collapsed="false">
      <c r="A1415" s="5" t="s">
        <v>403</v>
      </c>
      <c r="B1415" s="5" t="s">
        <v>61</v>
      </c>
      <c r="C1415" s="5" t="n">
        <v>2020</v>
      </c>
      <c r="D1415" s="5" t="s">
        <v>59</v>
      </c>
      <c r="E1415" s="5" t="s">
        <v>57</v>
      </c>
      <c r="F1415" s="5" t="s">
        <v>40</v>
      </c>
      <c r="G1415" s="6" t="n">
        <v>550</v>
      </c>
      <c r="H1415" s="6" t="n">
        <v>240</v>
      </c>
      <c r="I1415" s="7" t="n">
        <f aca="false">(G1415-H1415)/G1415</f>
        <v>0.563636363636364</v>
      </c>
      <c r="J1415" s="15" t="n">
        <v>0.3961</v>
      </c>
      <c r="K1415" s="11" t="str">
        <f aca="false">IF(I1415&lt;J1415,"TAK","NIE")</f>
        <v>NIE</v>
      </c>
    </row>
    <row r="1416" customFormat="false" ht="15" hidden="false" customHeight="false" outlineLevel="0" collapsed="false">
      <c r="A1416" s="5" t="s">
        <v>404</v>
      </c>
      <c r="B1416" s="5" t="s">
        <v>61</v>
      </c>
      <c r="C1416" s="5" t="n">
        <v>2020</v>
      </c>
      <c r="D1416" s="5" t="s">
        <v>59</v>
      </c>
      <c r="E1416" s="5" t="s">
        <v>57</v>
      </c>
      <c r="F1416" s="5" t="s">
        <v>40</v>
      </c>
      <c r="G1416" s="6" t="n">
        <v>550</v>
      </c>
      <c r="H1416" s="6" t="n">
        <v>239</v>
      </c>
      <c r="I1416" s="7" t="n">
        <f aca="false">(G1416-H1416)/G1416</f>
        <v>0.565454545454545</v>
      </c>
      <c r="J1416" s="15" t="n">
        <v>0.3961</v>
      </c>
      <c r="K1416" s="11" t="str">
        <f aca="false">IF(I1416&lt;J1416,"TAK","NIE")</f>
        <v>NIE</v>
      </c>
    </row>
    <row r="1417" customFormat="false" ht="15" hidden="false" customHeight="false" outlineLevel="0" collapsed="false">
      <c r="A1417" s="5" t="s">
        <v>405</v>
      </c>
      <c r="B1417" s="5" t="s">
        <v>61</v>
      </c>
      <c r="C1417" s="5" t="n">
        <v>2020</v>
      </c>
      <c r="D1417" s="5" t="s">
        <v>59</v>
      </c>
      <c r="E1417" s="5" t="s">
        <v>57</v>
      </c>
      <c r="F1417" s="5" t="s">
        <v>40</v>
      </c>
      <c r="G1417" s="6" t="n">
        <v>549</v>
      </c>
      <c r="H1417" s="6" t="n">
        <v>309</v>
      </c>
      <c r="I1417" s="7" t="n">
        <f aca="false">(G1417-H1417)/G1417</f>
        <v>0.437158469945355</v>
      </c>
      <c r="J1417" s="15" t="n">
        <v>0.3961</v>
      </c>
      <c r="K1417" s="11" t="str">
        <f aca="false">IF(I1417&lt;J1417,"TAK","NIE")</f>
        <v>NIE</v>
      </c>
    </row>
    <row r="1418" customFormat="false" ht="15" hidden="false" customHeight="false" outlineLevel="0" collapsed="false">
      <c r="A1418" s="5" t="s">
        <v>406</v>
      </c>
      <c r="B1418" s="5" t="s">
        <v>61</v>
      </c>
      <c r="C1418" s="5" t="n">
        <v>2020</v>
      </c>
      <c r="D1418" s="5" t="s">
        <v>59</v>
      </c>
      <c r="E1418" s="5" t="s">
        <v>57</v>
      </c>
      <c r="F1418" s="5" t="s">
        <v>40</v>
      </c>
      <c r="G1418" s="6" t="n">
        <v>550</v>
      </c>
      <c r="H1418" s="6" t="n">
        <v>256</v>
      </c>
      <c r="I1418" s="7" t="n">
        <f aca="false">(G1418-H1418)/G1418</f>
        <v>0.534545454545455</v>
      </c>
      <c r="J1418" s="15" t="n">
        <v>0.3961</v>
      </c>
      <c r="K1418" s="11" t="str">
        <f aca="false">IF(I1418&lt;J1418,"TAK","NIE")</f>
        <v>NIE</v>
      </c>
    </row>
    <row r="1419" customFormat="false" ht="15" hidden="false" customHeight="false" outlineLevel="0" collapsed="false">
      <c r="A1419" s="5" t="s">
        <v>408</v>
      </c>
      <c r="B1419" s="5" t="s">
        <v>61</v>
      </c>
      <c r="C1419" s="5" t="n">
        <v>2020</v>
      </c>
      <c r="D1419" s="5" t="s">
        <v>59</v>
      </c>
      <c r="E1419" s="5" t="s">
        <v>57</v>
      </c>
      <c r="F1419" s="5" t="s">
        <v>40</v>
      </c>
      <c r="G1419" s="6" t="n">
        <v>550</v>
      </c>
      <c r="H1419" s="6" t="n">
        <v>222</v>
      </c>
      <c r="I1419" s="7" t="n">
        <f aca="false">(G1419-H1419)/G1419</f>
        <v>0.596363636363636</v>
      </c>
      <c r="J1419" s="15" t="n">
        <v>0.3961</v>
      </c>
      <c r="K1419" s="11" t="str">
        <f aca="false">IF(I1419&lt;J1419,"TAK","NIE")</f>
        <v>NIE</v>
      </c>
    </row>
    <row r="1420" customFormat="false" ht="15" hidden="false" customHeight="false" outlineLevel="0" collapsed="false">
      <c r="A1420" s="5" t="s">
        <v>409</v>
      </c>
      <c r="B1420" s="5" t="s">
        <v>61</v>
      </c>
      <c r="C1420" s="5" t="n">
        <v>2020</v>
      </c>
      <c r="D1420" s="5" t="s">
        <v>59</v>
      </c>
      <c r="E1420" s="5" t="s">
        <v>57</v>
      </c>
      <c r="F1420" s="5" t="s">
        <v>40</v>
      </c>
      <c r="G1420" s="6" t="n">
        <v>547</v>
      </c>
      <c r="H1420" s="6" t="n">
        <v>256</v>
      </c>
      <c r="I1420" s="7" t="n">
        <f aca="false">(G1420-H1420)/G1420</f>
        <v>0.53199268738574</v>
      </c>
      <c r="J1420" s="15" t="n">
        <v>0.3961</v>
      </c>
      <c r="K1420" s="11" t="str">
        <f aca="false">IF(I1420&lt;J1420,"TAK","NIE")</f>
        <v>NIE</v>
      </c>
    </row>
    <row r="1421" customFormat="false" ht="15" hidden="false" customHeight="false" outlineLevel="0" collapsed="false">
      <c r="A1421" s="5" t="s">
        <v>410</v>
      </c>
      <c r="B1421" s="5" t="s">
        <v>61</v>
      </c>
      <c r="C1421" s="5" t="n">
        <v>2020</v>
      </c>
      <c r="D1421" s="5" t="s">
        <v>59</v>
      </c>
      <c r="E1421" s="5" t="s">
        <v>57</v>
      </c>
      <c r="F1421" s="5" t="s">
        <v>40</v>
      </c>
      <c r="G1421" s="6" t="n">
        <v>538</v>
      </c>
      <c r="H1421" s="6" t="n">
        <v>222</v>
      </c>
      <c r="I1421" s="7" t="n">
        <f aca="false">(G1421-H1421)/G1421</f>
        <v>0.587360594795539</v>
      </c>
      <c r="J1421" s="15" t="n">
        <v>0.3961</v>
      </c>
      <c r="K1421" s="11" t="str">
        <f aca="false">IF(I1421&lt;J1421,"TAK","NIE")</f>
        <v>NIE</v>
      </c>
    </row>
    <row r="1422" customFormat="false" ht="15" hidden="false" customHeight="false" outlineLevel="0" collapsed="false">
      <c r="A1422" s="5" t="s">
        <v>411</v>
      </c>
      <c r="B1422" s="5" t="s">
        <v>61</v>
      </c>
      <c r="C1422" s="5" t="n">
        <v>2020</v>
      </c>
      <c r="D1422" s="5" t="s">
        <v>59</v>
      </c>
      <c r="E1422" s="5" t="s">
        <v>57</v>
      </c>
      <c r="F1422" s="5" t="s">
        <v>40</v>
      </c>
      <c r="G1422" s="6" t="n">
        <v>548</v>
      </c>
      <c r="H1422" s="6" t="n">
        <v>264</v>
      </c>
      <c r="I1422" s="7" t="n">
        <f aca="false">(G1422-H1422)/G1422</f>
        <v>0.518248175182482</v>
      </c>
      <c r="J1422" s="15" t="n">
        <v>0.3961</v>
      </c>
      <c r="K1422" s="11" t="str">
        <f aca="false">IF(I1422&lt;J1422,"TAK","NIE")</f>
        <v>NIE</v>
      </c>
    </row>
    <row r="1423" customFormat="false" ht="15" hidden="false" customHeight="false" outlineLevel="0" collapsed="false">
      <c r="A1423" s="5" t="s">
        <v>412</v>
      </c>
      <c r="B1423" s="5" t="s">
        <v>61</v>
      </c>
      <c r="C1423" s="5" t="n">
        <v>2020</v>
      </c>
      <c r="D1423" s="5" t="s">
        <v>59</v>
      </c>
      <c r="E1423" s="5" t="s">
        <v>57</v>
      </c>
      <c r="F1423" s="5" t="s">
        <v>40</v>
      </c>
      <c r="G1423" s="6" t="n">
        <v>550</v>
      </c>
      <c r="H1423" s="6" t="n">
        <v>299</v>
      </c>
      <c r="I1423" s="7" t="n">
        <f aca="false">(G1423-H1423)/G1423</f>
        <v>0.456363636363636</v>
      </c>
      <c r="J1423" s="15" t="n">
        <v>0.3961</v>
      </c>
      <c r="K1423" s="11" t="str">
        <f aca="false">IF(I1423&lt;J1423,"TAK","NIE")</f>
        <v>NIE</v>
      </c>
    </row>
    <row r="1424" customFormat="false" ht="15" hidden="false" customHeight="false" outlineLevel="0" collapsed="false">
      <c r="A1424" s="5" t="s">
        <v>413</v>
      </c>
      <c r="B1424" s="5" t="s">
        <v>61</v>
      </c>
      <c r="C1424" s="5" t="n">
        <v>2020</v>
      </c>
      <c r="D1424" s="5" t="s">
        <v>59</v>
      </c>
      <c r="E1424" s="5" t="s">
        <v>57</v>
      </c>
      <c r="F1424" s="5" t="s">
        <v>40</v>
      </c>
      <c r="G1424" s="6" t="n">
        <v>550</v>
      </c>
      <c r="H1424" s="6" t="n">
        <v>229</v>
      </c>
      <c r="I1424" s="7" t="n">
        <f aca="false">(G1424-H1424)/G1424</f>
        <v>0.583636363636364</v>
      </c>
      <c r="J1424" s="15" t="n">
        <v>0.3961</v>
      </c>
      <c r="K1424" s="11" t="str">
        <f aca="false">IF(I1424&lt;J1424,"TAK","NIE")</f>
        <v>NIE</v>
      </c>
    </row>
    <row r="1425" customFormat="false" ht="15" hidden="false" customHeight="false" outlineLevel="0" collapsed="false">
      <c r="A1425" s="5" t="s">
        <v>414</v>
      </c>
      <c r="B1425" s="5" t="s">
        <v>61</v>
      </c>
      <c r="C1425" s="5" t="n">
        <v>2020</v>
      </c>
      <c r="D1425" s="5" t="s">
        <v>59</v>
      </c>
      <c r="E1425" s="5" t="s">
        <v>57</v>
      </c>
      <c r="F1425" s="5" t="s">
        <v>40</v>
      </c>
      <c r="G1425" s="6" t="n">
        <v>550</v>
      </c>
      <c r="H1425" s="6" t="n">
        <v>382</v>
      </c>
      <c r="I1425" s="7" t="n">
        <f aca="false">(G1425-H1425)/G1425</f>
        <v>0.305454545454546</v>
      </c>
      <c r="J1425" s="15" t="n">
        <v>0.3961</v>
      </c>
      <c r="K1425" s="11" t="str">
        <f aca="false">IF(I1425&lt;J1425,"TAK","NIE")</f>
        <v>TAK</v>
      </c>
    </row>
    <row r="1426" customFormat="false" ht="15" hidden="false" customHeight="false" outlineLevel="0" collapsed="false">
      <c r="A1426" s="5" t="s">
        <v>415</v>
      </c>
      <c r="B1426" s="5" t="s">
        <v>61</v>
      </c>
      <c r="C1426" s="5" t="n">
        <v>2020</v>
      </c>
      <c r="D1426" s="5" t="s">
        <v>59</v>
      </c>
      <c r="E1426" s="5" t="s">
        <v>57</v>
      </c>
      <c r="F1426" s="5" t="s">
        <v>40</v>
      </c>
      <c r="G1426" s="6" t="n">
        <v>550</v>
      </c>
      <c r="H1426" s="6" t="n">
        <v>258</v>
      </c>
      <c r="I1426" s="7" t="n">
        <f aca="false">(G1426-H1426)/G1426</f>
        <v>0.530909090909091</v>
      </c>
      <c r="J1426" s="15" t="n">
        <v>0.3961</v>
      </c>
      <c r="K1426" s="11" t="str">
        <f aca="false">IF(I1426&lt;J1426,"TAK","NIE")</f>
        <v>NIE</v>
      </c>
    </row>
    <row r="1427" customFormat="false" ht="15" hidden="false" customHeight="false" outlineLevel="0" collapsed="false">
      <c r="A1427" s="5" t="s">
        <v>395</v>
      </c>
      <c r="B1427" s="5" t="s">
        <v>62</v>
      </c>
      <c r="C1427" s="5" t="n">
        <v>2020</v>
      </c>
      <c r="D1427" s="5" t="s">
        <v>59</v>
      </c>
      <c r="E1427" s="5" t="s">
        <v>75</v>
      </c>
      <c r="F1427" s="5" t="s">
        <v>39</v>
      </c>
      <c r="G1427" s="6" t="n">
        <v>455</v>
      </c>
      <c r="H1427" s="6" t="n">
        <v>67</v>
      </c>
      <c r="I1427" s="7" t="n">
        <f aca="false">(G1427-H1427)/G1427</f>
        <v>0.852747252747253</v>
      </c>
      <c r="J1427" s="15" t="n">
        <v>0.361</v>
      </c>
      <c r="K1427" s="11" t="str">
        <f aca="false">IF(I1427&lt;J1427,"TAK","NIE")</f>
        <v>NIE</v>
      </c>
    </row>
    <row r="1428" customFormat="false" ht="15" hidden="false" customHeight="false" outlineLevel="0" collapsed="false">
      <c r="A1428" s="5" t="s">
        <v>397</v>
      </c>
      <c r="B1428" s="5" t="s">
        <v>62</v>
      </c>
      <c r="C1428" s="5" t="n">
        <v>2020</v>
      </c>
      <c r="D1428" s="5" t="s">
        <v>59</v>
      </c>
      <c r="E1428" s="5" t="s">
        <v>75</v>
      </c>
      <c r="F1428" s="5" t="s">
        <v>39</v>
      </c>
      <c r="G1428" s="6" t="n">
        <v>455</v>
      </c>
      <c r="H1428" s="6" t="n">
        <v>138</v>
      </c>
      <c r="I1428" s="7" t="n">
        <f aca="false">(G1428-H1428)/G1428</f>
        <v>0.696703296703297</v>
      </c>
      <c r="J1428" s="15" t="n">
        <v>0.361</v>
      </c>
      <c r="K1428" s="11" t="str">
        <f aca="false">IF(I1428&lt;J1428,"TAK","NIE")</f>
        <v>NIE</v>
      </c>
    </row>
    <row r="1429" customFormat="false" ht="15" hidden="false" customHeight="false" outlineLevel="0" collapsed="false">
      <c r="A1429" s="5" t="s">
        <v>398</v>
      </c>
      <c r="B1429" s="5" t="s">
        <v>62</v>
      </c>
      <c r="C1429" s="5" t="n">
        <v>2020</v>
      </c>
      <c r="D1429" s="5" t="s">
        <v>59</v>
      </c>
      <c r="E1429" s="5" t="s">
        <v>75</v>
      </c>
      <c r="F1429" s="5" t="s">
        <v>39</v>
      </c>
      <c r="G1429" s="6" t="n">
        <v>455</v>
      </c>
      <c r="H1429" s="6" t="n">
        <v>124</v>
      </c>
      <c r="I1429" s="7" t="n">
        <f aca="false">(G1429-H1429)/G1429</f>
        <v>0.727472527472527</v>
      </c>
      <c r="J1429" s="15" t="n">
        <v>0.361</v>
      </c>
      <c r="K1429" s="11" t="str">
        <f aca="false">IF(I1429&lt;J1429,"TAK","NIE")</f>
        <v>NIE</v>
      </c>
    </row>
    <row r="1430" customFormat="false" ht="15" hidden="false" customHeight="false" outlineLevel="0" collapsed="false">
      <c r="A1430" s="5" t="s">
        <v>400</v>
      </c>
      <c r="B1430" s="5" t="s">
        <v>62</v>
      </c>
      <c r="C1430" s="5" t="n">
        <v>2020</v>
      </c>
      <c r="D1430" s="5" t="s">
        <v>59</v>
      </c>
      <c r="E1430" s="5" t="s">
        <v>75</v>
      </c>
      <c r="F1430" s="5" t="s">
        <v>39</v>
      </c>
      <c r="G1430" s="6" t="n">
        <v>455</v>
      </c>
      <c r="H1430" s="6" t="n">
        <v>202</v>
      </c>
      <c r="I1430" s="7" t="n">
        <f aca="false">(G1430-H1430)/G1430</f>
        <v>0.556043956043956</v>
      </c>
      <c r="J1430" s="15" t="n">
        <v>0.361</v>
      </c>
      <c r="K1430" s="11" t="str">
        <f aca="false">IF(I1430&lt;J1430,"TAK","NIE")</f>
        <v>NIE</v>
      </c>
    </row>
    <row r="1431" customFormat="false" ht="15" hidden="false" customHeight="false" outlineLevel="0" collapsed="false">
      <c r="A1431" s="5" t="s">
        <v>401</v>
      </c>
      <c r="B1431" s="5" t="s">
        <v>62</v>
      </c>
      <c r="C1431" s="5" t="n">
        <v>2020</v>
      </c>
      <c r="D1431" s="5" t="s">
        <v>59</v>
      </c>
      <c r="E1431" s="5" t="s">
        <v>75</v>
      </c>
      <c r="F1431" s="5" t="s">
        <v>39</v>
      </c>
      <c r="G1431" s="6" t="n">
        <v>455</v>
      </c>
      <c r="H1431" s="6" t="n">
        <v>65</v>
      </c>
      <c r="I1431" s="7" t="n">
        <f aca="false">(G1431-H1431)/G1431</f>
        <v>0.857142857142857</v>
      </c>
      <c r="J1431" s="15" t="n">
        <v>0.361</v>
      </c>
      <c r="K1431" s="11" t="str">
        <f aca="false">IF(I1431&lt;J1431,"TAK","NIE")</f>
        <v>NIE</v>
      </c>
    </row>
    <row r="1432" customFormat="false" ht="15" hidden="false" customHeight="false" outlineLevel="0" collapsed="false">
      <c r="A1432" s="5" t="s">
        <v>402</v>
      </c>
      <c r="B1432" s="5" t="s">
        <v>62</v>
      </c>
      <c r="C1432" s="5" t="n">
        <v>2020</v>
      </c>
      <c r="D1432" s="5" t="s">
        <v>59</v>
      </c>
      <c r="E1432" s="5" t="s">
        <v>75</v>
      </c>
      <c r="F1432" s="5" t="s">
        <v>39</v>
      </c>
      <c r="G1432" s="6" t="n">
        <v>455</v>
      </c>
      <c r="H1432" s="6" t="n">
        <v>111</v>
      </c>
      <c r="I1432" s="7" t="n">
        <f aca="false">(G1432-H1432)/G1432</f>
        <v>0.756043956043956</v>
      </c>
      <c r="J1432" s="15" t="n">
        <v>0.361</v>
      </c>
      <c r="K1432" s="11" t="str">
        <f aca="false">IF(I1432&lt;J1432,"TAK","NIE")</f>
        <v>NIE</v>
      </c>
    </row>
    <row r="1433" customFormat="false" ht="15" hidden="false" customHeight="false" outlineLevel="0" collapsed="false">
      <c r="A1433" s="5" t="s">
        <v>403</v>
      </c>
      <c r="B1433" s="5" t="s">
        <v>62</v>
      </c>
      <c r="C1433" s="5" t="n">
        <v>2020</v>
      </c>
      <c r="D1433" s="5" t="s">
        <v>59</v>
      </c>
      <c r="E1433" s="5" t="s">
        <v>75</v>
      </c>
      <c r="F1433" s="5" t="s">
        <v>39</v>
      </c>
      <c r="G1433" s="6" t="n">
        <v>455</v>
      </c>
      <c r="H1433" s="6" t="n">
        <v>147</v>
      </c>
      <c r="I1433" s="7" t="n">
        <f aca="false">(G1433-H1433)/G1433</f>
        <v>0.676923076923077</v>
      </c>
      <c r="J1433" s="15" t="n">
        <v>0.361</v>
      </c>
      <c r="K1433" s="11" t="str">
        <f aca="false">IF(I1433&lt;J1433,"TAK","NIE")</f>
        <v>NIE</v>
      </c>
    </row>
    <row r="1434" customFormat="false" ht="15" hidden="false" customHeight="false" outlineLevel="0" collapsed="false">
      <c r="A1434" s="5" t="s">
        <v>404</v>
      </c>
      <c r="B1434" s="5" t="s">
        <v>62</v>
      </c>
      <c r="C1434" s="5" t="n">
        <v>2020</v>
      </c>
      <c r="D1434" s="5" t="s">
        <v>59</v>
      </c>
      <c r="E1434" s="5" t="s">
        <v>75</v>
      </c>
      <c r="F1434" s="5" t="s">
        <v>39</v>
      </c>
      <c r="G1434" s="6" t="n">
        <v>455</v>
      </c>
      <c r="H1434" s="6" t="n">
        <v>111</v>
      </c>
      <c r="I1434" s="7" t="n">
        <f aca="false">(G1434-H1434)/G1434</f>
        <v>0.756043956043956</v>
      </c>
      <c r="J1434" s="15" t="n">
        <v>0.361</v>
      </c>
      <c r="K1434" s="11" t="str">
        <f aca="false">IF(I1434&lt;J1434,"TAK","NIE")</f>
        <v>NIE</v>
      </c>
    </row>
    <row r="1435" customFormat="false" ht="15" hidden="false" customHeight="false" outlineLevel="0" collapsed="false">
      <c r="A1435" s="5" t="s">
        <v>405</v>
      </c>
      <c r="B1435" s="5" t="s">
        <v>62</v>
      </c>
      <c r="C1435" s="5" t="n">
        <v>2020</v>
      </c>
      <c r="D1435" s="5" t="s">
        <v>59</v>
      </c>
      <c r="E1435" s="5" t="s">
        <v>75</v>
      </c>
      <c r="F1435" s="5" t="s">
        <v>39</v>
      </c>
      <c r="G1435" s="6" t="n">
        <v>455</v>
      </c>
      <c r="H1435" s="6" t="n">
        <v>92</v>
      </c>
      <c r="I1435" s="7" t="n">
        <f aca="false">(G1435-H1435)/G1435</f>
        <v>0.797802197802198</v>
      </c>
      <c r="J1435" s="15" t="n">
        <v>0.361</v>
      </c>
      <c r="K1435" s="11" t="str">
        <f aca="false">IF(I1435&lt;J1435,"TAK","NIE")</f>
        <v>NIE</v>
      </c>
    </row>
    <row r="1436" customFormat="false" ht="15" hidden="false" customHeight="false" outlineLevel="0" collapsed="false">
      <c r="A1436" s="5" t="s">
        <v>406</v>
      </c>
      <c r="B1436" s="5" t="s">
        <v>62</v>
      </c>
      <c r="C1436" s="5" t="n">
        <v>2020</v>
      </c>
      <c r="D1436" s="5" t="s">
        <v>59</v>
      </c>
      <c r="E1436" s="5" t="s">
        <v>75</v>
      </c>
      <c r="F1436" s="5" t="s">
        <v>39</v>
      </c>
      <c r="G1436" s="6" t="n">
        <v>455</v>
      </c>
      <c r="H1436" s="6" t="n">
        <v>201</v>
      </c>
      <c r="I1436" s="7" t="n">
        <f aca="false">(G1436-H1436)/G1436</f>
        <v>0.558241758241758</v>
      </c>
      <c r="J1436" s="15" t="n">
        <v>0.361</v>
      </c>
      <c r="K1436" s="11" t="str">
        <f aca="false">IF(I1436&lt;J1436,"TAK","NIE")</f>
        <v>NIE</v>
      </c>
    </row>
    <row r="1437" customFormat="false" ht="15" hidden="false" customHeight="false" outlineLevel="0" collapsed="false">
      <c r="A1437" s="5" t="s">
        <v>408</v>
      </c>
      <c r="B1437" s="5" t="s">
        <v>62</v>
      </c>
      <c r="C1437" s="5" t="n">
        <v>2020</v>
      </c>
      <c r="D1437" s="5" t="s">
        <v>59</v>
      </c>
      <c r="E1437" s="5" t="s">
        <v>75</v>
      </c>
      <c r="F1437" s="5" t="s">
        <v>39</v>
      </c>
      <c r="G1437" s="6" t="n">
        <v>455</v>
      </c>
      <c r="H1437" s="6" t="n">
        <v>127</v>
      </c>
      <c r="I1437" s="7" t="n">
        <f aca="false">(G1437-H1437)/G1437</f>
        <v>0.720879120879121</v>
      </c>
      <c r="J1437" s="15" t="n">
        <v>0.361</v>
      </c>
      <c r="K1437" s="11" t="str">
        <f aca="false">IF(I1437&lt;J1437,"TAK","NIE")</f>
        <v>NIE</v>
      </c>
    </row>
    <row r="1438" customFormat="false" ht="15" hidden="false" customHeight="false" outlineLevel="0" collapsed="false">
      <c r="A1438" s="5" t="s">
        <v>409</v>
      </c>
      <c r="B1438" s="5" t="s">
        <v>62</v>
      </c>
      <c r="C1438" s="5" t="n">
        <v>2020</v>
      </c>
      <c r="D1438" s="5" t="s">
        <v>59</v>
      </c>
      <c r="E1438" s="5" t="s">
        <v>75</v>
      </c>
      <c r="F1438" s="5" t="s">
        <v>39</v>
      </c>
      <c r="G1438" s="6" t="n">
        <v>455</v>
      </c>
      <c r="H1438" s="6" t="n">
        <v>183</v>
      </c>
      <c r="I1438" s="7" t="n">
        <f aca="false">(G1438-H1438)/G1438</f>
        <v>0.597802197802198</v>
      </c>
      <c r="J1438" s="15" t="n">
        <v>0.361</v>
      </c>
      <c r="K1438" s="11" t="str">
        <f aca="false">IF(I1438&lt;J1438,"TAK","NIE")</f>
        <v>NIE</v>
      </c>
    </row>
    <row r="1439" customFormat="false" ht="15" hidden="false" customHeight="false" outlineLevel="0" collapsed="false">
      <c r="A1439" s="5" t="s">
        <v>410</v>
      </c>
      <c r="B1439" s="5" t="s">
        <v>62</v>
      </c>
      <c r="C1439" s="5" t="n">
        <v>2020</v>
      </c>
      <c r="D1439" s="5" t="s">
        <v>59</v>
      </c>
      <c r="E1439" s="5" t="s">
        <v>75</v>
      </c>
      <c r="F1439" s="5" t="s">
        <v>39</v>
      </c>
      <c r="G1439" s="6" t="n">
        <v>455</v>
      </c>
      <c r="H1439" s="6" t="n">
        <v>90</v>
      </c>
      <c r="I1439" s="7" t="n">
        <f aca="false">(G1439-H1439)/G1439</f>
        <v>0.802197802197802</v>
      </c>
      <c r="J1439" s="15" t="n">
        <v>0.361</v>
      </c>
      <c r="K1439" s="11" t="str">
        <f aca="false">IF(I1439&lt;J1439,"TAK","NIE")</f>
        <v>NIE</v>
      </c>
    </row>
    <row r="1440" customFormat="false" ht="15" hidden="false" customHeight="false" outlineLevel="0" collapsed="false">
      <c r="A1440" s="5" t="s">
        <v>411</v>
      </c>
      <c r="B1440" s="5" t="s">
        <v>62</v>
      </c>
      <c r="C1440" s="5" t="n">
        <v>2020</v>
      </c>
      <c r="D1440" s="5" t="s">
        <v>59</v>
      </c>
      <c r="E1440" s="5" t="s">
        <v>75</v>
      </c>
      <c r="F1440" s="5" t="s">
        <v>39</v>
      </c>
      <c r="G1440" s="6" t="n">
        <v>455</v>
      </c>
      <c r="H1440" s="6" t="n">
        <v>183</v>
      </c>
      <c r="I1440" s="7" t="n">
        <f aca="false">(G1440-H1440)/G1440</f>
        <v>0.597802197802198</v>
      </c>
      <c r="J1440" s="15" t="n">
        <v>0.361</v>
      </c>
      <c r="K1440" s="11" t="str">
        <f aca="false">IF(I1440&lt;J1440,"TAK","NIE")</f>
        <v>NIE</v>
      </c>
    </row>
    <row r="1441" customFormat="false" ht="15" hidden="false" customHeight="false" outlineLevel="0" collapsed="false">
      <c r="A1441" s="5" t="s">
        <v>412</v>
      </c>
      <c r="B1441" s="5" t="s">
        <v>62</v>
      </c>
      <c r="C1441" s="5" t="n">
        <v>2020</v>
      </c>
      <c r="D1441" s="5" t="s">
        <v>59</v>
      </c>
      <c r="E1441" s="5" t="s">
        <v>75</v>
      </c>
      <c r="F1441" s="5" t="s">
        <v>39</v>
      </c>
      <c r="G1441" s="6" t="n">
        <v>455</v>
      </c>
      <c r="H1441" s="6" t="n">
        <v>195</v>
      </c>
      <c r="I1441" s="7" t="n">
        <f aca="false">(G1441-H1441)/G1441</f>
        <v>0.571428571428571</v>
      </c>
      <c r="J1441" s="15" t="n">
        <v>0.361</v>
      </c>
      <c r="K1441" s="11" t="str">
        <f aca="false">IF(I1441&lt;J1441,"TAK","NIE")</f>
        <v>NIE</v>
      </c>
    </row>
    <row r="1442" customFormat="false" ht="15" hidden="false" customHeight="false" outlineLevel="0" collapsed="false">
      <c r="A1442" s="5" t="s">
        <v>413</v>
      </c>
      <c r="B1442" s="5" t="s">
        <v>62</v>
      </c>
      <c r="C1442" s="5" t="n">
        <v>2020</v>
      </c>
      <c r="D1442" s="5" t="s">
        <v>59</v>
      </c>
      <c r="E1442" s="5" t="s">
        <v>75</v>
      </c>
      <c r="F1442" s="5" t="s">
        <v>39</v>
      </c>
      <c r="G1442" s="6" t="n">
        <v>455</v>
      </c>
      <c r="H1442" s="6" t="n">
        <v>163</v>
      </c>
      <c r="I1442" s="7" t="n">
        <f aca="false">(G1442-H1442)/G1442</f>
        <v>0.641758241758242</v>
      </c>
      <c r="J1442" s="15" t="n">
        <v>0.361</v>
      </c>
      <c r="K1442" s="11" t="str">
        <f aca="false">IF(I1442&lt;J1442,"TAK","NIE")</f>
        <v>NIE</v>
      </c>
    </row>
    <row r="1443" customFormat="false" ht="15" hidden="false" customHeight="false" outlineLevel="0" collapsed="false">
      <c r="A1443" s="5" t="s">
        <v>414</v>
      </c>
      <c r="B1443" s="5" t="s">
        <v>62</v>
      </c>
      <c r="C1443" s="5" t="n">
        <v>2020</v>
      </c>
      <c r="D1443" s="5" t="s">
        <v>59</v>
      </c>
      <c r="E1443" s="5" t="s">
        <v>75</v>
      </c>
      <c r="F1443" s="5" t="s">
        <v>39</v>
      </c>
      <c r="G1443" s="6" t="n">
        <v>455</v>
      </c>
      <c r="H1443" s="6" t="n">
        <v>280</v>
      </c>
      <c r="I1443" s="7" t="n">
        <f aca="false">(G1443-H1443)/G1443</f>
        <v>0.384615384615385</v>
      </c>
      <c r="J1443" s="15" t="n">
        <v>0.361</v>
      </c>
      <c r="K1443" s="11" t="str">
        <f aca="false">IF(I1443&lt;J1443,"TAK","NIE")</f>
        <v>NIE</v>
      </c>
    </row>
    <row r="1444" customFormat="false" ht="15" hidden="false" customHeight="false" outlineLevel="0" collapsed="false">
      <c r="A1444" s="5" t="s">
        <v>415</v>
      </c>
      <c r="B1444" s="5" t="s">
        <v>62</v>
      </c>
      <c r="C1444" s="5" t="n">
        <v>2020</v>
      </c>
      <c r="D1444" s="5" t="s">
        <v>59</v>
      </c>
      <c r="E1444" s="5" t="s">
        <v>75</v>
      </c>
      <c r="F1444" s="5" t="s">
        <v>39</v>
      </c>
      <c r="G1444" s="6" t="n">
        <v>455</v>
      </c>
      <c r="H1444" s="6" t="n">
        <v>151</v>
      </c>
      <c r="I1444" s="7" t="n">
        <f aca="false">(G1444-H1444)/G1444</f>
        <v>0.668131868131868</v>
      </c>
      <c r="J1444" s="15" t="n">
        <v>0.361</v>
      </c>
      <c r="K1444" s="11" t="str">
        <f aca="false">IF(I1444&lt;J1444,"TAK","NIE")</f>
        <v>NIE</v>
      </c>
    </row>
    <row r="1445" customFormat="false" ht="15" hidden="false" customHeight="false" outlineLevel="0" collapsed="false">
      <c r="A1445" s="5" t="s">
        <v>395</v>
      </c>
      <c r="B1445" s="5" t="s">
        <v>62</v>
      </c>
      <c r="C1445" s="5" t="n">
        <v>2020</v>
      </c>
      <c r="D1445" s="5" t="s">
        <v>59</v>
      </c>
      <c r="E1445" s="5" t="s">
        <v>75</v>
      </c>
      <c r="F1445" s="5" t="s">
        <v>40</v>
      </c>
      <c r="G1445" s="6" t="n">
        <v>370</v>
      </c>
      <c r="H1445" s="6" t="n">
        <v>141</v>
      </c>
      <c r="I1445" s="7" t="n">
        <f aca="false">(G1445-H1445)/G1445</f>
        <v>0.618918918918919</v>
      </c>
      <c r="J1445" s="15" t="n">
        <v>0.2189</v>
      </c>
      <c r="K1445" s="11" t="str">
        <f aca="false">IF(I1445&lt;J1445,"TAK","NIE")</f>
        <v>NIE</v>
      </c>
    </row>
    <row r="1446" customFormat="false" ht="15" hidden="false" customHeight="false" outlineLevel="0" collapsed="false">
      <c r="A1446" s="5" t="s">
        <v>397</v>
      </c>
      <c r="B1446" s="5" t="s">
        <v>62</v>
      </c>
      <c r="C1446" s="5" t="n">
        <v>2020</v>
      </c>
      <c r="D1446" s="5" t="s">
        <v>59</v>
      </c>
      <c r="E1446" s="5" t="s">
        <v>75</v>
      </c>
      <c r="F1446" s="5" t="s">
        <v>40</v>
      </c>
      <c r="G1446" s="6" t="n">
        <v>370</v>
      </c>
      <c r="H1446" s="6" t="n">
        <v>213</v>
      </c>
      <c r="I1446" s="7" t="n">
        <f aca="false">(G1446-H1446)/G1446</f>
        <v>0.424324324324324</v>
      </c>
      <c r="J1446" s="15" t="n">
        <v>0.2189</v>
      </c>
      <c r="K1446" s="11" t="str">
        <f aca="false">IF(I1446&lt;J1446,"TAK","NIE")</f>
        <v>NIE</v>
      </c>
    </row>
    <row r="1447" customFormat="false" ht="15" hidden="false" customHeight="false" outlineLevel="0" collapsed="false">
      <c r="A1447" s="5" t="s">
        <v>398</v>
      </c>
      <c r="B1447" s="5" t="s">
        <v>62</v>
      </c>
      <c r="C1447" s="5" t="n">
        <v>2020</v>
      </c>
      <c r="D1447" s="5" t="s">
        <v>59</v>
      </c>
      <c r="E1447" s="5" t="s">
        <v>75</v>
      </c>
      <c r="F1447" s="5" t="s">
        <v>40</v>
      </c>
      <c r="G1447" s="6" t="n">
        <v>370</v>
      </c>
      <c r="H1447" s="6" t="n">
        <v>204</v>
      </c>
      <c r="I1447" s="7" t="n">
        <f aca="false">(G1447-H1447)/G1447</f>
        <v>0.448648648648649</v>
      </c>
      <c r="J1447" s="15" t="n">
        <v>0.2189</v>
      </c>
      <c r="K1447" s="11" t="str">
        <f aca="false">IF(I1447&lt;J1447,"TAK","NIE")</f>
        <v>NIE</v>
      </c>
    </row>
    <row r="1448" customFormat="false" ht="15" hidden="false" customHeight="false" outlineLevel="0" collapsed="false">
      <c r="A1448" s="5" t="s">
        <v>400</v>
      </c>
      <c r="B1448" s="5" t="s">
        <v>62</v>
      </c>
      <c r="C1448" s="5" t="n">
        <v>2020</v>
      </c>
      <c r="D1448" s="5" t="s">
        <v>59</v>
      </c>
      <c r="E1448" s="5" t="s">
        <v>75</v>
      </c>
      <c r="F1448" s="5" t="s">
        <v>40</v>
      </c>
      <c r="G1448" s="6" t="n">
        <v>369</v>
      </c>
      <c r="H1448" s="6" t="n">
        <v>179</v>
      </c>
      <c r="I1448" s="7" t="n">
        <f aca="false">(G1448-H1448)/G1448</f>
        <v>0.514905149051491</v>
      </c>
      <c r="J1448" s="15" t="n">
        <v>0.2189</v>
      </c>
      <c r="K1448" s="11" t="str">
        <f aca="false">IF(I1448&lt;J1448,"TAK","NIE")</f>
        <v>NIE</v>
      </c>
    </row>
    <row r="1449" customFormat="false" ht="15" hidden="false" customHeight="false" outlineLevel="0" collapsed="false">
      <c r="A1449" s="5" t="s">
        <v>401</v>
      </c>
      <c r="B1449" s="5" t="s">
        <v>62</v>
      </c>
      <c r="C1449" s="5" t="n">
        <v>2020</v>
      </c>
      <c r="D1449" s="5" t="s">
        <v>59</v>
      </c>
      <c r="E1449" s="5" t="s">
        <v>75</v>
      </c>
      <c r="F1449" s="5" t="s">
        <v>40</v>
      </c>
      <c r="G1449" s="6" t="n">
        <v>370</v>
      </c>
      <c r="H1449" s="6" t="n">
        <v>180</v>
      </c>
      <c r="I1449" s="7" t="n">
        <f aca="false">(G1449-H1449)/G1449</f>
        <v>0.513513513513514</v>
      </c>
      <c r="J1449" s="15" t="n">
        <v>0.2189</v>
      </c>
      <c r="K1449" s="11" t="str">
        <f aca="false">IF(I1449&lt;J1449,"TAK","NIE")</f>
        <v>NIE</v>
      </c>
    </row>
    <row r="1450" customFormat="false" ht="15" hidden="false" customHeight="false" outlineLevel="0" collapsed="false">
      <c r="A1450" s="5" t="s">
        <v>402</v>
      </c>
      <c r="B1450" s="5" t="s">
        <v>62</v>
      </c>
      <c r="C1450" s="5" t="n">
        <v>2020</v>
      </c>
      <c r="D1450" s="5" t="s">
        <v>59</v>
      </c>
      <c r="E1450" s="5" t="s">
        <v>75</v>
      </c>
      <c r="F1450" s="5" t="s">
        <v>40</v>
      </c>
      <c r="G1450" s="6" t="n">
        <v>370</v>
      </c>
      <c r="H1450" s="6" t="n">
        <v>209</v>
      </c>
      <c r="I1450" s="7" t="n">
        <f aca="false">(G1450-H1450)/G1450</f>
        <v>0.435135135135135</v>
      </c>
      <c r="J1450" s="15" t="n">
        <v>0.2189</v>
      </c>
      <c r="K1450" s="11" t="str">
        <f aca="false">IF(I1450&lt;J1450,"TAK","NIE")</f>
        <v>NIE</v>
      </c>
    </row>
    <row r="1451" customFormat="false" ht="15" hidden="false" customHeight="false" outlineLevel="0" collapsed="false">
      <c r="A1451" s="5" t="s">
        <v>403</v>
      </c>
      <c r="B1451" s="5" t="s">
        <v>62</v>
      </c>
      <c r="C1451" s="5" t="n">
        <v>2020</v>
      </c>
      <c r="D1451" s="5" t="s">
        <v>59</v>
      </c>
      <c r="E1451" s="5" t="s">
        <v>75</v>
      </c>
      <c r="F1451" s="5" t="s">
        <v>40</v>
      </c>
      <c r="G1451" s="6" t="n">
        <v>369</v>
      </c>
      <c r="H1451" s="6" t="n">
        <v>196</v>
      </c>
      <c r="I1451" s="7" t="n">
        <f aca="false">(G1451-H1451)/G1451</f>
        <v>0.468834688346883</v>
      </c>
      <c r="J1451" s="15" t="n">
        <v>0.2189</v>
      </c>
      <c r="K1451" s="11" t="str">
        <f aca="false">IF(I1451&lt;J1451,"TAK","NIE")</f>
        <v>NIE</v>
      </c>
    </row>
    <row r="1452" customFormat="false" ht="15" hidden="false" customHeight="false" outlineLevel="0" collapsed="false">
      <c r="A1452" s="5" t="s">
        <v>404</v>
      </c>
      <c r="B1452" s="5" t="s">
        <v>62</v>
      </c>
      <c r="C1452" s="5" t="n">
        <v>2020</v>
      </c>
      <c r="D1452" s="5" t="s">
        <v>59</v>
      </c>
      <c r="E1452" s="5" t="s">
        <v>75</v>
      </c>
      <c r="F1452" s="5" t="s">
        <v>40</v>
      </c>
      <c r="G1452" s="6" t="n">
        <v>370</v>
      </c>
      <c r="H1452" s="6" t="n">
        <v>181</v>
      </c>
      <c r="I1452" s="7" t="n">
        <f aca="false">(G1452-H1452)/G1452</f>
        <v>0.510810810810811</v>
      </c>
      <c r="J1452" s="15" t="n">
        <v>0.2189</v>
      </c>
      <c r="K1452" s="11" t="str">
        <f aca="false">IF(I1452&lt;J1452,"TAK","NIE")</f>
        <v>NIE</v>
      </c>
    </row>
    <row r="1453" customFormat="false" ht="15" hidden="false" customHeight="false" outlineLevel="0" collapsed="false">
      <c r="A1453" s="5" t="s">
        <v>405</v>
      </c>
      <c r="B1453" s="5" t="s">
        <v>62</v>
      </c>
      <c r="C1453" s="5" t="n">
        <v>2020</v>
      </c>
      <c r="D1453" s="5" t="s">
        <v>59</v>
      </c>
      <c r="E1453" s="5" t="s">
        <v>75</v>
      </c>
      <c r="F1453" s="5" t="s">
        <v>40</v>
      </c>
      <c r="G1453" s="6" t="n">
        <v>370</v>
      </c>
      <c r="H1453" s="6" t="n">
        <v>196</v>
      </c>
      <c r="I1453" s="7" t="n">
        <f aca="false">(G1453-H1453)/G1453</f>
        <v>0.47027027027027</v>
      </c>
      <c r="J1453" s="15" t="n">
        <v>0.2189</v>
      </c>
      <c r="K1453" s="11" t="str">
        <f aca="false">IF(I1453&lt;J1453,"TAK","NIE")</f>
        <v>NIE</v>
      </c>
    </row>
    <row r="1454" customFormat="false" ht="15" hidden="false" customHeight="false" outlineLevel="0" collapsed="false">
      <c r="A1454" s="5" t="s">
        <v>406</v>
      </c>
      <c r="B1454" s="5" t="s">
        <v>62</v>
      </c>
      <c r="C1454" s="5" t="n">
        <v>2020</v>
      </c>
      <c r="D1454" s="5" t="s">
        <v>59</v>
      </c>
      <c r="E1454" s="5" t="s">
        <v>75</v>
      </c>
      <c r="F1454" s="5" t="s">
        <v>40</v>
      </c>
      <c r="G1454" s="6" t="n">
        <v>370</v>
      </c>
      <c r="H1454" s="6" t="n">
        <v>256</v>
      </c>
      <c r="I1454" s="7" t="n">
        <f aca="false">(G1454-H1454)/G1454</f>
        <v>0.308108108108108</v>
      </c>
      <c r="J1454" s="15" t="n">
        <v>0.2189</v>
      </c>
      <c r="K1454" s="11" t="str">
        <f aca="false">IF(I1454&lt;J1454,"TAK","NIE")</f>
        <v>NIE</v>
      </c>
    </row>
    <row r="1455" customFormat="false" ht="15" hidden="false" customHeight="false" outlineLevel="0" collapsed="false">
      <c r="A1455" s="5" t="s">
        <v>408</v>
      </c>
      <c r="B1455" s="5" t="s">
        <v>62</v>
      </c>
      <c r="C1455" s="5" t="n">
        <v>2020</v>
      </c>
      <c r="D1455" s="5" t="s">
        <v>59</v>
      </c>
      <c r="E1455" s="5" t="s">
        <v>75</v>
      </c>
      <c r="F1455" s="5" t="s">
        <v>40</v>
      </c>
      <c r="G1455" s="6" t="n">
        <v>370</v>
      </c>
      <c r="H1455" s="6" t="n">
        <v>190</v>
      </c>
      <c r="I1455" s="7" t="n">
        <f aca="false">(G1455-H1455)/G1455</f>
        <v>0.486486486486487</v>
      </c>
      <c r="J1455" s="15" t="n">
        <v>0.2189</v>
      </c>
      <c r="K1455" s="11" t="str">
        <f aca="false">IF(I1455&lt;J1455,"TAK","NIE")</f>
        <v>NIE</v>
      </c>
    </row>
    <row r="1456" customFormat="false" ht="15" hidden="false" customHeight="false" outlineLevel="0" collapsed="false">
      <c r="A1456" s="5" t="s">
        <v>409</v>
      </c>
      <c r="B1456" s="5" t="s">
        <v>62</v>
      </c>
      <c r="C1456" s="5" t="n">
        <v>2020</v>
      </c>
      <c r="D1456" s="5" t="s">
        <v>59</v>
      </c>
      <c r="E1456" s="5" t="s">
        <v>75</v>
      </c>
      <c r="F1456" s="5" t="s">
        <v>40</v>
      </c>
      <c r="G1456" s="6" t="n">
        <v>370</v>
      </c>
      <c r="H1456" s="6" t="n">
        <v>174</v>
      </c>
      <c r="I1456" s="7" t="n">
        <f aca="false">(G1456-H1456)/G1456</f>
        <v>0.52972972972973</v>
      </c>
      <c r="J1456" s="15" t="n">
        <v>0.2189</v>
      </c>
      <c r="K1456" s="11" t="str">
        <f aca="false">IF(I1456&lt;J1456,"TAK","NIE")</f>
        <v>NIE</v>
      </c>
    </row>
    <row r="1457" customFormat="false" ht="15" hidden="false" customHeight="false" outlineLevel="0" collapsed="false">
      <c r="A1457" s="5" t="s">
        <v>410</v>
      </c>
      <c r="B1457" s="5" t="s">
        <v>62</v>
      </c>
      <c r="C1457" s="5" t="n">
        <v>2020</v>
      </c>
      <c r="D1457" s="5" t="s">
        <v>59</v>
      </c>
      <c r="E1457" s="5" t="s">
        <v>75</v>
      </c>
      <c r="F1457" s="5" t="s">
        <v>40</v>
      </c>
      <c r="G1457" s="6" t="n">
        <v>370</v>
      </c>
      <c r="H1457" s="6" t="n">
        <v>207</v>
      </c>
      <c r="I1457" s="7" t="n">
        <f aca="false">(G1457-H1457)/G1457</f>
        <v>0.440540540540541</v>
      </c>
      <c r="J1457" s="15" t="n">
        <v>0.2189</v>
      </c>
      <c r="K1457" s="11" t="str">
        <f aca="false">IF(I1457&lt;J1457,"TAK","NIE")</f>
        <v>NIE</v>
      </c>
    </row>
    <row r="1458" customFormat="false" ht="15" hidden="false" customHeight="false" outlineLevel="0" collapsed="false">
      <c r="A1458" s="5" t="s">
        <v>411</v>
      </c>
      <c r="B1458" s="5" t="s">
        <v>62</v>
      </c>
      <c r="C1458" s="5" t="n">
        <v>2020</v>
      </c>
      <c r="D1458" s="5" t="s">
        <v>59</v>
      </c>
      <c r="E1458" s="5" t="s">
        <v>75</v>
      </c>
      <c r="F1458" s="5" t="s">
        <v>40</v>
      </c>
      <c r="G1458" s="6" t="n">
        <v>369</v>
      </c>
      <c r="H1458" s="6" t="n">
        <v>235</v>
      </c>
      <c r="I1458" s="7" t="n">
        <f aca="false">(G1458-H1458)/G1458</f>
        <v>0.363143631436314</v>
      </c>
      <c r="J1458" s="15" t="n">
        <v>0.2189</v>
      </c>
      <c r="K1458" s="11" t="str">
        <f aca="false">IF(I1458&lt;J1458,"TAK","NIE")</f>
        <v>NIE</v>
      </c>
    </row>
    <row r="1459" customFormat="false" ht="15" hidden="false" customHeight="false" outlineLevel="0" collapsed="false">
      <c r="A1459" s="5" t="s">
        <v>412</v>
      </c>
      <c r="B1459" s="5" t="s">
        <v>62</v>
      </c>
      <c r="C1459" s="5" t="n">
        <v>2020</v>
      </c>
      <c r="D1459" s="5" t="s">
        <v>59</v>
      </c>
      <c r="E1459" s="5" t="s">
        <v>75</v>
      </c>
      <c r="F1459" s="5" t="s">
        <v>40</v>
      </c>
      <c r="G1459" s="6" t="n">
        <v>370</v>
      </c>
      <c r="H1459" s="6" t="n">
        <v>227</v>
      </c>
      <c r="I1459" s="7" t="n">
        <f aca="false">(G1459-H1459)/G1459</f>
        <v>0.386486486486487</v>
      </c>
      <c r="J1459" s="15" t="n">
        <v>0.2189</v>
      </c>
      <c r="K1459" s="11" t="str">
        <f aca="false">IF(I1459&lt;J1459,"TAK","NIE")</f>
        <v>NIE</v>
      </c>
    </row>
    <row r="1460" customFormat="false" ht="15" hidden="false" customHeight="false" outlineLevel="0" collapsed="false">
      <c r="A1460" s="5" t="s">
        <v>413</v>
      </c>
      <c r="B1460" s="5" t="s">
        <v>62</v>
      </c>
      <c r="C1460" s="5" t="n">
        <v>2020</v>
      </c>
      <c r="D1460" s="5" t="s">
        <v>59</v>
      </c>
      <c r="E1460" s="5" t="s">
        <v>75</v>
      </c>
      <c r="F1460" s="5" t="s">
        <v>40</v>
      </c>
      <c r="G1460" s="6" t="n">
        <v>369</v>
      </c>
      <c r="H1460" s="6" t="n">
        <v>229</v>
      </c>
      <c r="I1460" s="7" t="n">
        <f aca="false">(G1460-H1460)/G1460</f>
        <v>0.37940379403794</v>
      </c>
      <c r="J1460" s="15" t="n">
        <v>0.2189</v>
      </c>
      <c r="K1460" s="11" t="str">
        <f aca="false">IF(I1460&lt;J1460,"TAK","NIE")</f>
        <v>NIE</v>
      </c>
    </row>
    <row r="1461" customFormat="false" ht="15" hidden="false" customHeight="false" outlineLevel="0" collapsed="false">
      <c r="A1461" s="5" t="s">
        <v>414</v>
      </c>
      <c r="B1461" s="5" t="s">
        <v>62</v>
      </c>
      <c r="C1461" s="5" t="n">
        <v>2020</v>
      </c>
      <c r="D1461" s="5" t="s">
        <v>59</v>
      </c>
      <c r="E1461" s="5" t="s">
        <v>75</v>
      </c>
      <c r="F1461" s="5" t="s">
        <v>40</v>
      </c>
      <c r="G1461" s="6" t="n">
        <v>370</v>
      </c>
      <c r="H1461" s="6" t="n">
        <v>262</v>
      </c>
      <c r="I1461" s="7" t="n">
        <f aca="false">(G1461-H1461)/G1461</f>
        <v>0.291891891891892</v>
      </c>
      <c r="J1461" s="15" t="n">
        <v>0.2189</v>
      </c>
      <c r="K1461" s="11" t="str">
        <f aca="false">IF(I1461&lt;J1461,"TAK","NIE")</f>
        <v>NIE</v>
      </c>
    </row>
    <row r="1462" customFormat="false" ht="15" hidden="false" customHeight="false" outlineLevel="0" collapsed="false">
      <c r="A1462" s="5" t="s">
        <v>415</v>
      </c>
      <c r="B1462" s="5" t="s">
        <v>62</v>
      </c>
      <c r="C1462" s="5" t="n">
        <v>2020</v>
      </c>
      <c r="D1462" s="5" t="s">
        <v>59</v>
      </c>
      <c r="E1462" s="5" t="s">
        <v>75</v>
      </c>
      <c r="F1462" s="5" t="s">
        <v>40</v>
      </c>
      <c r="G1462" s="6" t="n">
        <v>370</v>
      </c>
      <c r="H1462" s="6" t="n">
        <v>177</v>
      </c>
      <c r="I1462" s="7" t="n">
        <f aca="false">(G1462-H1462)/G1462</f>
        <v>0.521621621621622</v>
      </c>
      <c r="J1462" s="15" t="n">
        <v>0.2189</v>
      </c>
      <c r="K1462" s="11" t="str">
        <f aca="false">IF(I1462&lt;J1462,"TAK","NIE")</f>
        <v>NIE</v>
      </c>
    </row>
    <row r="1463" customFormat="false" ht="15" hidden="false" customHeight="false" outlineLevel="0" collapsed="false">
      <c r="A1463" s="5" t="s">
        <v>416</v>
      </c>
      <c r="B1463" s="5" t="s">
        <v>76</v>
      </c>
      <c r="C1463" s="5" t="n">
        <v>2020</v>
      </c>
      <c r="D1463" s="5" t="s">
        <v>77</v>
      </c>
      <c r="E1463" s="5" t="s">
        <v>38</v>
      </c>
      <c r="F1463" s="5" t="s">
        <v>39</v>
      </c>
      <c r="G1463" s="6" t="n">
        <v>546</v>
      </c>
      <c r="H1463" s="6" t="n">
        <v>23</v>
      </c>
      <c r="I1463" s="7" t="n">
        <f aca="false">(G1463-H1463)/G1463</f>
        <v>0.957875457875458</v>
      </c>
      <c r="J1463" s="15" t="n">
        <v>0.846</v>
      </c>
      <c r="K1463" s="11" t="str">
        <f aca="false">IF(I1463&lt;J1463,"TAK","NIE")</f>
        <v>NIE</v>
      </c>
    </row>
    <row r="1464" customFormat="false" ht="15" hidden="false" customHeight="false" outlineLevel="0" collapsed="false">
      <c r="A1464" s="5" t="s">
        <v>417</v>
      </c>
      <c r="B1464" s="5" t="s">
        <v>76</v>
      </c>
      <c r="C1464" s="5" t="n">
        <v>2020</v>
      </c>
      <c r="D1464" s="5" t="s">
        <v>77</v>
      </c>
      <c r="E1464" s="5" t="s">
        <v>38</v>
      </c>
      <c r="F1464" s="5" t="s">
        <v>39</v>
      </c>
      <c r="G1464" s="6" t="n">
        <v>546</v>
      </c>
      <c r="H1464" s="6" t="n">
        <v>35</v>
      </c>
      <c r="I1464" s="7" t="n">
        <f aca="false">(G1464-H1464)/G1464</f>
        <v>0.935897435897436</v>
      </c>
      <c r="J1464" s="15" t="n">
        <v>0.846</v>
      </c>
      <c r="K1464" s="11" t="str">
        <f aca="false">IF(I1464&lt;J1464,"TAK","NIE")</f>
        <v>NIE</v>
      </c>
    </row>
    <row r="1465" customFormat="false" ht="15" hidden="false" customHeight="false" outlineLevel="0" collapsed="false">
      <c r="A1465" s="5" t="s">
        <v>418</v>
      </c>
      <c r="B1465" s="5" t="s">
        <v>76</v>
      </c>
      <c r="C1465" s="5" t="n">
        <v>2020</v>
      </c>
      <c r="D1465" s="5" t="s">
        <v>77</v>
      </c>
      <c r="E1465" s="5" t="s">
        <v>38</v>
      </c>
      <c r="F1465" s="5" t="s">
        <v>39</v>
      </c>
      <c r="G1465" s="6" t="n">
        <v>553</v>
      </c>
      <c r="H1465" s="6" t="n">
        <v>127</v>
      </c>
      <c r="I1465" s="7" t="n">
        <f aca="false">(G1465-H1465)/G1465</f>
        <v>0.770343580470163</v>
      </c>
      <c r="J1465" s="15" t="n">
        <v>0.846</v>
      </c>
      <c r="K1465" s="11" t="str">
        <f aca="false">IF(I1465&lt;J1465,"TAK","NIE")</f>
        <v>TAK</v>
      </c>
    </row>
    <row r="1466" customFormat="false" ht="15" hidden="false" customHeight="false" outlineLevel="0" collapsed="false">
      <c r="A1466" s="5" t="s">
        <v>419</v>
      </c>
      <c r="B1466" s="5" t="s">
        <v>76</v>
      </c>
      <c r="C1466" s="5" t="n">
        <v>2020</v>
      </c>
      <c r="D1466" s="5" t="s">
        <v>77</v>
      </c>
      <c r="E1466" s="5" t="s">
        <v>38</v>
      </c>
      <c r="F1466" s="5" t="s">
        <v>39</v>
      </c>
      <c r="G1466" s="6" t="n">
        <v>553</v>
      </c>
      <c r="H1466" s="6" t="n">
        <v>14</v>
      </c>
      <c r="I1466" s="7" t="n">
        <f aca="false">(G1466-H1466)/G1466</f>
        <v>0.974683544303797</v>
      </c>
      <c r="J1466" s="15" t="n">
        <v>0.846</v>
      </c>
      <c r="K1466" s="11" t="str">
        <f aca="false">IF(I1466&lt;J1466,"TAK","NIE")</f>
        <v>NIE</v>
      </c>
    </row>
    <row r="1467" customFormat="false" ht="15" hidden="false" customHeight="false" outlineLevel="0" collapsed="false">
      <c r="A1467" s="5" t="s">
        <v>420</v>
      </c>
      <c r="B1467" s="5" t="s">
        <v>76</v>
      </c>
      <c r="C1467" s="5" t="n">
        <v>2020</v>
      </c>
      <c r="D1467" s="5" t="s">
        <v>77</v>
      </c>
      <c r="E1467" s="5" t="s">
        <v>38</v>
      </c>
      <c r="F1467" s="5" t="s">
        <v>39</v>
      </c>
      <c r="G1467" s="6" t="n">
        <v>553</v>
      </c>
      <c r="H1467" s="6" t="n">
        <v>20</v>
      </c>
      <c r="I1467" s="7" t="n">
        <f aca="false">(G1467-H1467)/G1467</f>
        <v>0.963833634719711</v>
      </c>
      <c r="J1467" s="15" t="n">
        <v>0.846</v>
      </c>
      <c r="K1467" s="11" t="str">
        <f aca="false">IF(I1467&lt;J1467,"TAK","NIE")</f>
        <v>NIE</v>
      </c>
    </row>
    <row r="1468" customFormat="false" ht="15" hidden="false" customHeight="false" outlineLevel="0" collapsed="false">
      <c r="A1468" s="5" t="s">
        <v>421</v>
      </c>
      <c r="B1468" s="5" t="s">
        <v>76</v>
      </c>
      <c r="C1468" s="5" t="n">
        <v>2020</v>
      </c>
      <c r="D1468" s="5" t="s">
        <v>77</v>
      </c>
      <c r="E1468" s="5" t="s">
        <v>38</v>
      </c>
      <c r="F1468" s="5" t="s">
        <v>39</v>
      </c>
      <c r="G1468" s="6" t="n">
        <v>553</v>
      </c>
      <c r="H1468" s="6" t="n">
        <v>89</v>
      </c>
      <c r="I1468" s="7" t="n">
        <f aca="false">(G1468-H1468)/G1468</f>
        <v>0.839059674502713</v>
      </c>
      <c r="J1468" s="15" t="n">
        <v>0.846</v>
      </c>
      <c r="K1468" s="11" t="str">
        <f aca="false">IF(I1468&lt;J1468,"TAK","NIE")</f>
        <v>TAK</v>
      </c>
    </row>
    <row r="1469" customFormat="false" ht="15" hidden="false" customHeight="false" outlineLevel="0" collapsed="false">
      <c r="A1469" s="5" t="s">
        <v>422</v>
      </c>
      <c r="B1469" s="5" t="s">
        <v>76</v>
      </c>
      <c r="C1469" s="5" t="n">
        <v>2020</v>
      </c>
      <c r="D1469" s="5" t="s">
        <v>77</v>
      </c>
      <c r="E1469" s="5" t="s">
        <v>38</v>
      </c>
      <c r="F1469" s="5" t="s">
        <v>39</v>
      </c>
      <c r="G1469" s="6" t="n">
        <v>553</v>
      </c>
      <c r="H1469" s="6" t="n">
        <v>0</v>
      </c>
      <c r="I1469" s="7" t="n">
        <f aca="false">(G1469-H1469)/G1469</f>
        <v>1</v>
      </c>
      <c r="J1469" s="15" t="n">
        <v>0.846</v>
      </c>
      <c r="K1469" s="11" t="str">
        <f aca="false">IF(I1469&lt;J1469,"TAK","NIE")</f>
        <v>NIE</v>
      </c>
    </row>
    <row r="1470" customFormat="false" ht="15" hidden="false" customHeight="false" outlineLevel="0" collapsed="false">
      <c r="A1470" s="5" t="s">
        <v>423</v>
      </c>
      <c r="B1470" s="5" t="s">
        <v>76</v>
      </c>
      <c r="C1470" s="5" t="n">
        <v>2020</v>
      </c>
      <c r="D1470" s="5" t="s">
        <v>77</v>
      </c>
      <c r="E1470" s="5" t="s">
        <v>38</v>
      </c>
      <c r="F1470" s="5" t="s">
        <v>39</v>
      </c>
      <c r="G1470" s="6" t="n">
        <v>553</v>
      </c>
      <c r="H1470" s="6" t="n">
        <v>14</v>
      </c>
      <c r="I1470" s="7" t="n">
        <f aca="false">(G1470-H1470)/G1470</f>
        <v>0.974683544303797</v>
      </c>
      <c r="J1470" s="15" t="n">
        <v>0.846</v>
      </c>
      <c r="K1470" s="11" t="str">
        <f aca="false">IF(I1470&lt;J1470,"TAK","NIE")</f>
        <v>NIE</v>
      </c>
    </row>
    <row r="1471" customFormat="false" ht="15" hidden="false" customHeight="false" outlineLevel="0" collapsed="false">
      <c r="A1471" s="5" t="s">
        <v>424</v>
      </c>
      <c r="B1471" s="5" t="s">
        <v>76</v>
      </c>
      <c r="C1471" s="5" t="n">
        <v>2020</v>
      </c>
      <c r="D1471" s="5" t="s">
        <v>77</v>
      </c>
      <c r="E1471" s="5" t="s">
        <v>38</v>
      </c>
      <c r="F1471" s="5" t="s">
        <v>39</v>
      </c>
      <c r="G1471" s="6" t="n">
        <v>553</v>
      </c>
      <c r="H1471" s="6" t="n">
        <v>11</v>
      </c>
      <c r="I1471" s="7" t="n">
        <f aca="false">(G1471-H1471)/G1471</f>
        <v>0.980108499095841</v>
      </c>
      <c r="J1471" s="15" t="n">
        <v>0.846</v>
      </c>
      <c r="K1471" s="11" t="str">
        <f aca="false">IF(I1471&lt;J1471,"TAK","NIE")</f>
        <v>NIE</v>
      </c>
    </row>
    <row r="1472" customFormat="false" ht="15" hidden="false" customHeight="false" outlineLevel="0" collapsed="false">
      <c r="A1472" s="5" t="s">
        <v>425</v>
      </c>
      <c r="B1472" s="5" t="s">
        <v>76</v>
      </c>
      <c r="C1472" s="5" t="n">
        <v>2020</v>
      </c>
      <c r="D1472" s="5" t="s">
        <v>77</v>
      </c>
      <c r="E1472" s="5" t="s">
        <v>38</v>
      </c>
      <c r="F1472" s="5" t="s">
        <v>39</v>
      </c>
      <c r="G1472" s="6" t="n">
        <v>553</v>
      </c>
      <c r="H1472" s="6" t="n">
        <v>20</v>
      </c>
      <c r="I1472" s="7" t="n">
        <f aca="false">(G1472-H1472)/G1472</f>
        <v>0.963833634719711</v>
      </c>
      <c r="J1472" s="15" t="n">
        <v>0.846</v>
      </c>
      <c r="K1472" s="11" t="str">
        <f aca="false">IF(I1472&lt;J1472,"TAK","NIE")</f>
        <v>NIE</v>
      </c>
    </row>
    <row r="1473" customFormat="false" ht="15" hidden="false" customHeight="false" outlineLevel="0" collapsed="false">
      <c r="A1473" s="5" t="s">
        <v>426</v>
      </c>
      <c r="B1473" s="5" t="s">
        <v>76</v>
      </c>
      <c r="C1473" s="5" t="n">
        <v>2020</v>
      </c>
      <c r="D1473" s="5" t="s">
        <v>77</v>
      </c>
      <c r="E1473" s="5" t="s">
        <v>38</v>
      </c>
      <c r="F1473" s="5" t="s">
        <v>39</v>
      </c>
      <c r="G1473" s="6" t="n">
        <v>553</v>
      </c>
      <c r="H1473" s="6" t="n">
        <v>46</v>
      </c>
      <c r="I1473" s="7" t="n">
        <f aca="false">(G1473-H1473)/G1473</f>
        <v>0.916817359855335</v>
      </c>
      <c r="J1473" s="15" t="n">
        <v>0.846</v>
      </c>
      <c r="K1473" s="11" t="str">
        <f aca="false">IF(I1473&lt;J1473,"TAK","NIE")</f>
        <v>NIE</v>
      </c>
    </row>
    <row r="1474" customFormat="false" ht="15" hidden="false" customHeight="false" outlineLevel="0" collapsed="false">
      <c r="A1474" s="5" t="s">
        <v>427</v>
      </c>
      <c r="B1474" s="5" t="s">
        <v>76</v>
      </c>
      <c r="C1474" s="5" t="n">
        <v>2020</v>
      </c>
      <c r="D1474" s="5" t="s">
        <v>77</v>
      </c>
      <c r="E1474" s="5" t="s">
        <v>38</v>
      </c>
      <c r="F1474" s="5" t="s">
        <v>39</v>
      </c>
      <c r="G1474" s="6" t="n">
        <v>553</v>
      </c>
      <c r="H1474" s="6" t="n">
        <v>22</v>
      </c>
      <c r="I1474" s="7" t="n">
        <f aca="false">(G1474-H1474)/G1474</f>
        <v>0.960216998191682</v>
      </c>
      <c r="J1474" s="15" t="n">
        <v>0.846</v>
      </c>
      <c r="K1474" s="11" t="str">
        <f aca="false">IF(I1474&lt;J1474,"TAK","NIE")</f>
        <v>NIE</v>
      </c>
    </row>
    <row r="1475" customFormat="false" ht="15" hidden="false" customHeight="false" outlineLevel="0" collapsed="false">
      <c r="A1475" s="5" t="s">
        <v>428</v>
      </c>
      <c r="B1475" s="5" t="s">
        <v>76</v>
      </c>
      <c r="C1475" s="5" t="n">
        <v>2020</v>
      </c>
      <c r="D1475" s="5" t="s">
        <v>77</v>
      </c>
      <c r="E1475" s="5" t="s">
        <v>38</v>
      </c>
      <c r="F1475" s="5" t="s">
        <v>39</v>
      </c>
      <c r="G1475" s="6" t="n">
        <v>553</v>
      </c>
      <c r="H1475" s="6" t="n">
        <v>110</v>
      </c>
      <c r="I1475" s="7" t="n">
        <f aca="false">(G1475-H1475)/G1475</f>
        <v>0.801084990958409</v>
      </c>
      <c r="J1475" s="15" t="n">
        <v>0.846</v>
      </c>
      <c r="K1475" s="11" t="str">
        <f aca="false">IF(I1475&lt;J1475,"TAK","NIE")</f>
        <v>TAK</v>
      </c>
    </row>
    <row r="1476" customFormat="false" ht="15" hidden="false" customHeight="false" outlineLevel="0" collapsed="false">
      <c r="A1476" s="5" t="s">
        <v>429</v>
      </c>
      <c r="B1476" s="5" t="s">
        <v>76</v>
      </c>
      <c r="C1476" s="5" t="n">
        <v>2020</v>
      </c>
      <c r="D1476" s="5" t="s">
        <v>77</v>
      </c>
      <c r="E1476" s="5" t="s">
        <v>38</v>
      </c>
      <c r="F1476" s="5" t="s">
        <v>39</v>
      </c>
      <c r="G1476" s="6" t="n">
        <v>553</v>
      </c>
      <c r="H1476" s="6" t="n">
        <v>25</v>
      </c>
      <c r="I1476" s="7" t="n">
        <f aca="false">(G1476-H1476)/G1476</f>
        <v>0.954792043399638</v>
      </c>
      <c r="J1476" s="15" t="n">
        <v>0.846</v>
      </c>
      <c r="K1476" s="11" t="str">
        <f aca="false">IF(I1476&lt;J1476,"TAK","NIE")</f>
        <v>NIE</v>
      </c>
    </row>
    <row r="1477" customFormat="false" ht="15" hidden="false" customHeight="false" outlineLevel="0" collapsed="false">
      <c r="A1477" s="5" t="s">
        <v>416</v>
      </c>
      <c r="B1477" s="5" t="s">
        <v>76</v>
      </c>
      <c r="C1477" s="5" t="n">
        <v>2020</v>
      </c>
      <c r="D1477" s="5" t="s">
        <v>77</v>
      </c>
      <c r="E1477" s="5" t="s">
        <v>38</v>
      </c>
      <c r="F1477" s="5" t="s">
        <v>40</v>
      </c>
      <c r="G1477" s="6" t="n">
        <v>64</v>
      </c>
      <c r="H1477" s="6" t="n">
        <v>11</v>
      </c>
      <c r="I1477" s="7" t="n">
        <f aca="false">(G1477-H1477)/G1477</f>
        <v>0.828125</v>
      </c>
      <c r="J1477" s="15" t="n">
        <v>0.6353</v>
      </c>
      <c r="K1477" s="11" t="str">
        <f aca="false">IF(I1477&lt;J1477,"TAK","NIE")</f>
        <v>NIE</v>
      </c>
    </row>
    <row r="1478" customFormat="false" ht="15" hidden="false" customHeight="false" outlineLevel="0" collapsed="false">
      <c r="A1478" s="5" t="s">
        <v>417</v>
      </c>
      <c r="B1478" s="5" t="s">
        <v>76</v>
      </c>
      <c r="C1478" s="5" t="n">
        <v>2020</v>
      </c>
      <c r="D1478" s="5" t="s">
        <v>77</v>
      </c>
      <c r="E1478" s="5" t="s">
        <v>38</v>
      </c>
      <c r="F1478" s="5" t="s">
        <v>40</v>
      </c>
      <c r="G1478" s="6" t="n">
        <v>712</v>
      </c>
      <c r="H1478" s="6" t="n">
        <v>8</v>
      </c>
      <c r="I1478" s="7" t="n">
        <f aca="false">(G1478-H1478)/G1478</f>
        <v>0.98876404494382</v>
      </c>
      <c r="J1478" s="15" t="n">
        <v>0.6353</v>
      </c>
      <c r="K1478" s="11" t="str">
        <f aca="false">IF(I1478&lt;J1478,"TAK","NIE")</f>
        <v>NIE</v>
      </c>
    </row>
    <row r="1479" customFormat="false" ht="15" hidden="false" customHeight="false" outlineLevel="0" collapsed="false">
      <c r="A1479" s="5" t="s">
        <v>418</v>
      </c>
      <c r="B1479" s="5" t="s">
        <v>76</v>
      </c>
      <c r="C1479" s="5" t="n">
        <v>2020</v>
      </c>
      <c r="D1479" s="5" t="s">
        <v>77</v>
      </c>
      <c r="E1479" s="5" t="s">
        <v>38</v>
      </c>
      <c r="F1479" s="5" t="s">
        <v>40</v>
      </c>
      <c r="G1479" s="6" t="n">
        <v>712</v>
      </c>
      <c r="H1479" s="6" t="n">
        <v>142</v>
      </c>
      <c r="I1479" s="7" t="n">
        <f aca="false">(G1479-H1479)/G1479</f>
        <v>0.800561797752809</v>
      </c>
      <c r="J1479" s="15" t="n">
        <v>0.6353</v>
      </c>
      <c r="K1479" s="11" t="str">
        <f aca="false">IF(I1479&lt;J1479,"TAK","NIE")</f>
        <v>NIE</v>
      </c>
    </row>
    <row r="1480" customFormat="false" ht="15" hidden="false" customHeight="false" outlineLevel="0" collapsed="false">
      <c r="A1480" s="5" t="s">
        <v>419</v>
      </c>
      <c r="B1480" s="5" t="s">
        <v>76</v>
      </c>
      <c r="C1480" s="5" t="n">
        <v>2020</v>
      </c>
      <c r="D1480" s="5" t="s">
        <v>77</v>
      </c>
      <c r="E1480" s="5" t="s">
        <v>38</v>
      </c>
      <c r="F1480" s="5" t="s">
        <v>40</v>
      </c>
      <c r="G1480" s="6" t="n">
        <v>712</v>
      </c>
      <c r="H1480" s="6" t="n">
        <v>28</v>
      </c>
      <c r="I1480" s="7" t="n">
        <f aca="false">(G1480-H1480)/G1480</f>
        <v>0.960674157303371</v>
      </c>
      <c r="J1480" s="15" t="n">
        <v>0.6353</v>
      </c>
      <c r="K1480" s="11" t="str">
        <f aca="false">IF(I1480&lt;J1480,"TAK","NIE")</f>
        <v>NIE</v>
      </c>
    </row>
    <row r="1481" customFormat="false" ht="15" hidden="false" customHeight="false" outlineLevel="0" collapsed="false">
      <c r="A1481" s="5" t="s">
        <v>420</v>
      </c>
      <c r="B1481" s="5" t="s">
        <v>76</v>
      </c>
      <c r="C1481" s="5" t="n">
        <v>2020</v>
      </c>
      <c r="D1481" s="5" t="s">
        <v>77</v>
      </c>
      <c r="E1481" s="5" t="s">
        <v>38</v>
      </c>
      <c r="F1481" s="5" t="s">
        <v>40</v>
      </c>
      <c r="G1481" s="6" t="n">
        <v>712</v>
      </c>
      <c r="H1481" s="6" t="n">
        <v>116</v>
      </c>
      <c r="I1481" s="7" t="n">
        <f aca="false">(G1481-H1481)/G1481</f>
        <v>0.837078651685393</v>
      </c>
      <c r="J1481" s="15" t="n">
        <v>0.6353</v>
      </c>
      <c r="K1481" s="11" t="str">
        <f aca="false">IF(I1481&lt;J1481,"TAK","NIE")</f>
        <v>NIE</v>
      </c>
    </row>
    <row r="1482" customFormat="false" ht="15" hidden="false" customHeight="false" outlineLevel="0" collapsed="false">
      <c r="A1482" s="5" t="s">
        <v>421</v>
      </c>
      <c r="B1482" s="5" t="s">
        <v>76</v>
      </c>
      <c r="C1482" s="5" t="n">
        <v>2020</v>
      </c>
      <c r="D1482" s="5" t="s">
        <v>77</v>
      </c>
      <c r="E1482" s="5" t="s">
        <v>38</v>
      </c>
      <c r="F1482" s="5" t="s">
        <v>40</v>
      </c>
      <c r="G1482" s="6" t="n">
        <v>712</v>
      </c>
      <c r="H1482" s="6" t="n">
        <v>60</v>
      </c>
      <c r="I1482" s="7" t="n">
        <f aca="false">(G1482-H1482)/G1482</f>
        <v>0.915730337078652</v>
      </c>
      <c r="J1482" s="15" t="n">
        <v>0.6353</v>
      </c>
      <c r="K1482" s="11" t="str">
        <f aca="false">IF(I1482&lt;J1482,"TAK","NIE")</f>
        <v>NIE</v>
      </c>
    </row>
    <row r="1483" customFormat="false" ht="15" hidden="false" customHeight="false" outlineLevel="0" collapsed="false">
      <c r="A1483" s="5" t="s">
        <v>422</v>
      </c>
      <c r="B1483" s="5" t="s">
        <v>76</v>
      </c>
      <c r="C1483" s="5" t="n">
        <v>2020</v>
      </c>
      <c r="D1483" s="5" t="s">
        <v>77</v>
      </c>
      <c r="E1483" s="5" t="s">
        <v>38</v>
      </c>
      <c r="F1483" s="5" t="s">
        <v>40</v>
      </c>
      <c r="G1483" s="6" t="n">
        <v>712</v>
      </c>
      <c r="H1483" s="6" t="n">
        <v>10</v>
      </c>
      <c r="I1483" s="7" t="n">
        <f aca="false">(G1483-H1483)/G1483</f>
        <v>0.985955056179775</v>
      </c>
      <c r="J1483" s="15" t="n">
        <v>0.6353</v>
      </c>
      <c r="K1483" s="11" t="str">
        <f aca="false">IF(I1483&lt;J1483,"TAK","NIE")</f>
        <v>NIE</v>
      </c>
    </row>
    <row r="1484" customFormat="false" ht="15" hidden="false" customHeight="false" outlineLevel="0" collapsed="false">
      <c r="A1484" s="5" t="s">
        <v>423</v>
      </c>
      <c r="B1484" s="5" t="s">
        <v>76</v>
      </c>
      <c r="C1484" s="5" t="n">
        <v>2020</v>
      </c>
      <c r="D1484" s="5" t="s">
        <v>77</v>
      </c>
      <c r="E1484" s="5" t="s">
        <v>38</v>
      </c>
      <c r="F1484" s="5" t="s">
        <v>40</v>
      </c>
      <c r="G1484" s="6" t="n">
        <v>712</v>
      </c>
      <c r="H1484" s="6" t="n">
        <v>30</v>
      </c>
      <c r="I1484" s="7" t="n">
        <f aca="false">(G1484-H1484)/G1484</f>
        <v>0.957865168539326</v>
      </c>
      <c r="J1484" s="15" t="n">
        <v>0.6353</v>
      </c>
      <c r="K1484" s="11" t="str">
        <f aca="false">IF(I1484&lt;J1484,"TAK","NIE")</f>
        <v>NIE</v>
      </c>
    </row>
    <row r="1485" customFormat="false" ht="15" hidden="false" customHeight="false" outlineLevel="0" collapsed="false">
      <c r="A1485" s="5" t="s">
        <v>424</v>
      </c>
      <c r="B1485" s="5" t="s">
        <v>76</v>
      </c>
      <c r="C1485" s="5" t="n">
        <v>2020</v>
      </c>
      <c r="D1485" s="5" t="s">
        <v>77</v>
      </c>
      <c r="E1485" s="5" t="s">
        <v>38</v>
      </c>
      <c r="F1485" s="5" t="s">
        <v>40</v>
      </c>
      <c r="G1485" s="6" t="n">
        <v>712</v>
      </c>
      <c r="H1485" s="6" t="n">
        <v>52</v>
      </c>
      <c r="I1485" s="7" t="n">
        <f aca="false">(G1485-H1485)/G1485</f>
        <v>0.926966292134832</v>
      </c>
      <c r="J1485" s="15" t="n">
        <v>0.6353</v>
      </c>
      <c r="K1485" s="11" t="str">
        <f aca="false">IF(I1485&lt;J1485,"TAK","NIE")</f>
        <v>NIE</v>
      </c>
    </row>
    <row r="1486" customFormat="false" ht="15" hidden="false" customHeight="false" outlineLevel="0" collapsed="false">
      <c r="A1486" s="5" t="s">
        <v>425</v>
      </c>
      <c r="B1486" s="5" t="s">
        <v>76</v>
      </c>
      <c r="C1486" s="5" t="n">
        <v>2020</v>
      </c>
      <c r="D1486" s="5" t="s">
        <v>77</v>
      </c>
      <c r="E1486" s="5" t="s">
        <v>38</v>
      </c>
      <c r="F1486" s="5" t="s">
        <v>40</v>
      </c>
      <c r="G1486" s="6" t="n">
        <v>712</v>
      </c>
      <c r="H1486" s="6" t="n">
        <v>131</v>
      </c>
      <c r="I1486" s="7" t="n">
        <f aca="false">(G1486-H1486)/G1486</f>
        <v>0.816011235955056</v>
      </c>
      <c r="J1486" s="15" t="n">
        <v>0.6353</v>
      </c>
      <c r="K1486" s="11" t="str">
        <f aca="false">IF(I1486&lt;J1486,"TAK","NIE")</f>
        <v>NIE</v>
      </c>
    </row>
    <row r="1487" customFormat="false" ht="15" hidden="false" customHeight="false" outlineLevel="0" collapsed="false">
      <c r="A1487" s="5" t="s">
        <v>426</v>
      </c>
      <c r="B1487" s="5" t="s">
        <v>76</v>
      </c>
      <c r="C1487" s="5" t="n">
        <v>2020</v>
      </c>
      <c r="D1487" s="5" t="s">
        <v>77</v>
      </c>
      <c r="E1487" s="5" t="s">
        <v>38</v>
      </c>
      <c r="F1487" s="5" t="s">
        <v>40</v>
      </c>
      <c r="G1487" s="6" t="n">
        <v>712</v>
      </c>
      <c r="H1487" s="6" t="n">
        <v>9</v>
      </c>
      <c r="I1487" s="7" t="n">
        <f aca="false">(G1487-H1487)/G1487</f>
        <v>0.987359550561798</v>
      </c>
      <c r="J1487" s="15" t="n">
        <v>0.6353</v>
      </c>
      <c r="K1487" s="11" t="str">
        <f aca="false">IF(I1487&lt;J1487,"TAK","NIE")</f>
        <v>NIE</v>
      </c>
    </row>
    <row r="1488" customFormat="false" ht="15" hidden="false" customHeight="false" outlineLevel="0" collapsed="false">
      <c r="A1488" s="5" t="s">
        <v>427</v>
      </c>
      <c r="B1488" s="5" t="s">
        <v>76</v>
      </c>
      <c r="C1488" s="5" t="n">
        <v>2020</v>
      </c>
      <c r="D1488" s="5" t="s">
        <v>77</v>
      </c>
      <c r="E1488" s="5" t="s">
        <v>38</v>
      </c>
      <c r="F1488" s="5" t="s">
        <v>40</v>
      </c>
      <c r="G1488" s="6" t="n">
        <v>712</v>
      </c>
      <c r="H1488" s="6" t="n">
        <v>61</v>
      </c>
      <c r="I1488" s="7" t="n">
        <f aca="false">(G1488-H1488)/G1488</f>
        <v>0.914325842696629</v>
      </c>
      <c r="J1488" s="15" t="n">
        <v>0.6353</v>
      </c>
      <c r="K1488" s="11" t="str">
        <f aca="false">IF(I1488&lt;J1488,"TAK","NIE")</f>
        <v>NIE</v>
      </c>
    </row>
    <row r="1489" customFormat="false" ht="15" hidden="false" customHeight="false" outlineLevel="0" collapsed="false">
      <c r="A1489" s="5" t="s">
        <v>428</v>
      </c>
      <c r="B1489" s="5" t="s">
        <v>76</v>
      </c>
      <c r="C1489" s="5" t="n">
        <v>2020</v>
      </c>
      <c r="D1489" s="5" t="s">
        <v>77</v>
      </c>
      <c r="E1489" s="5" t="s">
        <v>38</v>
      </c>
      <c r="F1489" s="5" t="s">
        <v>40</v>
      </c>
      <c r="G1489" s="6" t="n">
        <v>712</v>
      </c>
      <c r="H1489" s="6" t="n">
        <v>249</v>
      </c>
      <c r="I1489" s="7" t="n">
        <f aca="false">(G1489-H1489)/G1489</f>
        <v>0.650280898876405</v>
      </c>
      <c r="J1489" s="15" t="n">
        <v>0.6353</v>
      </c>
      <c r="K1489" s="11" t="str">
        <f aca="false">IF(I1489&lt;J1489,"TAK","NIE")</f>
        <v>NIE</v>
      </c>
    </row>
    <row r="1490" customFormat="false" ht="15" hidden="false" customHeight="false" outlineLevel="0" collapsed="false">
      <c r="A1490" s="5" t="s">
        <v>429</v>
      </c>
      <c r="B1490" s="5" t="s">
        <v>76</v>
      </c>
      <c r="C1490" s="5" t="n">
        <v>2020</v>
      </c>
      <c r="D1490" s="5" t="s">
        <v>77</v>
      </c>
      <c r="E1490" s="5" t="s">
        <v>38</v>
      </c>
      <c r="F1490" s="5" t="s">
        <v>40</v>
      </c>
      <c r="G1490" s="6" t="n">
        <v>712</v>
      </c>
      <c r="H1490" s="6" t="n">
        <v>79</v>
      </c>
      <c r="I1490" s="7" t="n">
        <f aca="false">(G1490-H1490)/G1490</f>
        <v>0.889044943820225</v>
      </c>
      <c r="J1490" s="15" t="n">
        <v>0.6353</v>
      </c>
      <c r="K1490" s="11" t="str">
        <f aca="false">IF(I1490&lt;J1490,"TAK","NIE")</f>
        <v>NIE</v>
      </c>
    </row>
    <row r="1491" customFormat="false" ht="15" hidden="false" customHeight="false" outlineLevel="0" collapsed="false">
      <c r="A1491" s="5" t="s">
        <v>417</v>
      </c>
      <c r="B1491" s="5" t="s">
        <v>78</v>
      </c>
      <c r="C1491" s="5" t="n">
        <v>2020</v>
      </c>
      <c r="D1491" s="5" t="s">
        <v>77</v>
      </c>
      <c r="E1491" s="5" t="s">
        <v>46</v>
      </c>
      <c r="F1491" s="5" t="s">
        <v>39</v>
      </c>
      <c r="G1491" s="6" t="n">
        <v>681</v>
      </c>
      <c r="H1491" s="6" t="n">
        <v>131</v>
      </c>
      <c r="I1491" s="7" t="n">
        <f aca="false">(G1491-H1491)/G1491</f>
        <v>0.807635829662261</v>
      </c>
      <c r="J1491" s="15" t="n">
        <v>0.661</v>
      </c>
      <c r="K1491" s="11" t="str">
        <f aca="false">IF(I1491&lt;J1491,"TAK","NIE")</f>
        <v>NIE</v>
      </c>
    </row>
    <row r="1492" customFormat="false" ht="15" hidden="false" customHeight="false" outlineLevel="0" collapsed="false">
      <c r="A1492" s="5" t="s">
        <v>418</v>
      </c>
      <c r="B1492" s="5" t="s">
        <v>78</v>
      </c>
      <c r="C1492" s="5" t="n">
        <v>2020</v>
      </c>
      <c r="D1492" s="5" t="s">
        <v>77</v>
      </c>
      <c r="E1492" s="5" t="s">
        <v>46</v>
      </c>
      <c r="F1492" s="5" t="s">
        <v>39</v>
      </c>
      <c r="G1492" s="6" t="n">
        <v>683</v>
      </c>
      <c r="H1492" s="6" t="n">
        <v>209</v>
      </c>
      <c r="I1492" s="7" t="n">
        <f aca="false">(G1492-H1492)/G1492</f>
        <v>0.693997071742313</v>
      </c>
      <c r="J1492" s="15" t="n">
        <v>0.661</v>
      </c>
      <c r="K1492" s="11" t="str">
        <f aca="false">IF(I1492&lt;J1492,"TAK","NIE")</f>
        <v>NIE</v>
      </c>
    </row>
    <row r="1493" customFormat="false" ht="15" hidden="false" customHeight="false" outlineLevel="0" collapsed="false">
      <c r="A1493" s="5" t="s">
        <v>419</v>
      </c>
      <c r="B1493" s="5" t="s">
        <v>78</v>
      </c>
      <c r="C1493" s="5" t="n">
        <v>2020</v>
      </c>
      <c r="D1493" s="5" t="s">
        <v>77</v>
      </c>
      <c r="E1493" s="5" t="s">
        <v>46</v>
      </c>
      <c r="F1493" s="5" t="s">
        <v>39</v>
      </c>
      <c r="G1493" s="6" t="n">
        <v>683</v>
      </c>
      <c r="H1493" s="6" t="n">
        <v>112</v>
      </c>
      <c r="I1493" s="7" t="n">
        <f aca="false">(G1493-H1493)/G1493</f>
        <v>0.83601756954612</v>
      </c>
      <c r="J1493" s="15" t="n">
        <v>0.661</v>
      </c>
      <c r="K1493" s="11" t="str">
        <f aca="false">IF(I1493&lt;J1493,"TAK","NIE")</f>
        <v>NIE</v>
      </c>
    </row>
    <row r="1494" customFormat="false" ht="15" hidden="false" customHeight="false" outlineLevel="0" collapsed="false">
      <c r="A1494" s="5" t="s">
        <v>420</v>
      </c>
      <c r="B1494" s="5" t="s">
        <v>78</v>
      </c>
      <c r="C1494" s="5" t="n">
        <v>2020</v>
      </c>
      <c r="D1494" s="5" t="s">
        <v>77</v>
      </c>
      <c r="E1494" s="5" t="s">
        <v>46</v>
      </c>
      <c r="F1494" s="5" t="s">
        <v>39</v>
      </c>
      <c r="G1494" s="6" t="n">
        <v>683</v>
      </c>
      <c r="H1494" s="6" t="n">
        <v>160</v>
      </c>
      <c r="I1494" s="7" t="n">
        <f aca="false">(G1494-H1494)/G1494</f>
        <v>0.765739385065886</v>
      </c>
      <c r="J1494" s="15" t="n">
        <v>0.661</v>
      </c>
      <c r="K1494" s="11" t="str">
        <f aca="false">IF(I1494&lt;J1494,"TAK","NIE")</f>
        <v>NIE</v>
      </c>
    </row>
    <row r="1495" customFormat="false" ht="15" hidden="false" customHeight="false" outlineLevel="0" collapsed="false">
      <c r="A1495" s="5" t="s">
        <v>421</v>
      </c>
      <c r="B1495" s="5" t="s">
        <v>78</v>
      </c>
      <c r="C1495" s="5" t="n">
        <v>2020</v>
      </c>
      <c r="D1495" s="5" t="s">
        <v>77</v>
      </c>
      <c r="E1495" s="5" t="s">
        <v>46</v>
      </c>
      <c r="F1495" s="5" t="s">
        <v>39</v>
      </c>
      <c r="G1495" s="6" t="n">
        <v>683</v>
      </c>
      <c r="H1495" s="6" t="n">
        <v>128</v>
      </c>
      <c r="I1495" s="7" t="n">
        <f aca="false">(G1495-H1495)/G1495</f>
        <v>0.812591508052709</v>
      </c>
      <c r="J1495" s="15" t="n">
        <v>0.661</v>
      </c>
      <c r="K1495" s="11" t="str">
        <f aca="false">IF(I1495&lt;J1495,"TAK","NIE")</f>
        <v>NIE</v>
      </c>
    </row>
    <row r="1496" customFormat="false" ht="15" hidden="false" customHeight="false" outlineLevel="0" collapsed="false">
      <c r="A1496" s="5" t="s">
        <v>422</v>
      </c>
      <c r="B1496" s="5" t="s">
        <v>78</v>
      </c>
      <c r="C1496" s="5" t="n">
        <v>2020</v>
      </c>
      <c r="D1496" s="5" t="s">
        <v>77</v>
      </c>
      <c r="E1496" s="5" t="s">
        <v>46</v>
      </c>
      <c r="F1496" s="5" t="s">
        <v>39</v>
      </c>
      <c r="G1496" s="6" t="n">
        <v>683</v>
      </c>
      <c r="H1496" s="6" t="n">
        <v>85</v>
      </c>
      <c r="I1496" s="7" t="n">
        <f aca="false">(G1496-H1496)/G1496</f>
        <v>0.875549048316252</v>
      </c>
      <c r="J1496" s="15" t="n">
        <v>0.661</v>
      </c>
      <c r="K1496" s="11" t="str">
        <f aca="false">IF(I1496&lt;J1496,"TAK","NIE")</f>
        <v>NIE</v>
      </c>
    </row>
    <row r="1497" customFormat="false" ht="15" hidden="false" customHeight="false" outlineLevel="0" collapsed="false">
      <c r="A1497" s="5" t="s">
        <v>423</v>
      </c>
      <c r="B1497" s="5" t="s">
        <v>78</v>
      </c>
      <c r="C1497" s="5" t="n">
        <v>2020</v>
      </c>
      <c r="D1497" s="5" t="s">
        <v>77</v>
      </c>
      <c r="E1497" s="5" t="s">
        <v>46</v>
      </c>
      <c r="F1497" s="5" t="s">
        <v>39</v>
      </c>
      <c r="G1497" s="6" t="n">
        <v>683</v>
      </c>
      <c r="H1497" s="6" t="n">
        <v>86</v>
      </c>
      <c r="I1497" s="7" t="n">
        <f aca="false">(G1497-H1497)/G1497</f>
        <v>0.874084919472914</v>
      </c>
      <c r="J1497" s="15" t="n">
        <v>0.661</v>
      </c>
      <c r="K1497" s="11" t="str">
        <f aca="false">IF(I1497&lt;J1497,"TAK","NIE")</f>
        <v>NIE</v>
      </c>
    </row>
    <row r="1498" customFormat="false" ht="15" hidden="false" customHeight="false" outlineLevel="0" collapsed="false">
      <c r="A1498" s="5" t="s">
        <v>424</v>
      </c>
      <c r="B1498" s="5" t="s">
        <v>78</v>
      </c>
      <c r="C1498" s="5" t="n">
        <v>2020</v>
      </c>
      <c r="D1498" s="5" t="s">
        <v>77</v>
      </c>
      <c r="E1498" s="5" t="s">
        <v>46</v>
      </c>
      <c r="F1498" s="5" t="s">
        <v>39</v>
      </c>
      <c r="G1498" s="6" t="n">
        <v>683</v>
      </c>
      <c r="H1498" s="6" t="n">
        <v>118</v>
      </c>
      <c r="I1498" s="7" t="n">
        <f aca="false">(G1498-H1498)/G1498</f>
        <v>0.827232796486091</v>
      </c>
      <c r="J1498" s="15" t="n">
        <v>0.661</v>
      </c>
      <c r="K1498" s="11" t="str">
        <f aca="false">IF(I1498&lt;J1498,"TAK","NIE")</f>
        <v>NIE</v>
      </c>
    </row>
    <row r="1499" customFormat="false" ht="15" hidden="false" customHeight="false" outlineLevel="0" collapsed="false">
      <c r="A1499" s="5" t="s">
        <v>425</v>
      </c>
      <c r="B1499" s="5" t="s">
        <v>78</v>
      </c>
      <c r="C1499" s="5" t="n">
        <v>2020</v>
      </c>
      <c r="D1499" s="5" t="s">
        <v>77</v>
      </c>
      <c r="E1499" s="5" t="s">
        <v>46</v>
      </c>
      <c r="F1499" s="5" t="s">
        <v>39</v>
      </c>
      <c r="G1499" s="6" t="n">
        <v>683</v>
      </c>
      <c r="H1499" s="6" t="n">
        <v>145</v>
      </c>
      <c r="I1499" s="7" t="n">
        <f aca="false">(G1499-H1499)/G1499</f>
        <v>0.787701317715959</v>
      </c>
      <c r="J1499" s="15" t="n">
        <v>0.661</v>
      </c>
      <c r="K1499" s="11" t="str">
        <f aca="false">IF(I1499&lt;J1499,"TAK","NIE")</f>
        <v>NIE</v>
      </c>
    </row>
    <row r="1500" customFormat="false" ht="15" hidden="false" customHeight="false" outlineLevel="0" collapsed="false">
      <c r="A1500" s="5" t="s">
        <v>426</v>
      </c>
      <c r="B1500" s="5" t="s">
        <v>78</v>
      </c>
      <c r="C1500" s="5" t="n">
        <v>2020</v>
      </c>
      <c r="D1500" s="5" t="s">
        <v>77</v>
      </c>
      <c r="E1500" s="5" t="s">
        <v>46</v>
      </c>
      <c r="F1500" s="5" t="s">
        <v>39</v>
      </c>
      <c r="G1500" s="6" t="n">
        <v>683</v>
      </c>
      <c r="H1500" s="6" t="n">
        <v>94</v>
      </c>
      <c r="I1500" s="7" t="n">
        <f aca="false">(G1500-H1500)/G1500</f>
        <v>0.862371888726208</v>
      </c>
      <c r="J1500" s="15" t="n">
        <v>0.661</v>
      </c>
      <c r="K1500" s="11" t="str">
        <f aca="false">IF(I1500&lt;J1500,"TAK","NIE")</f>
        <v>NIE</v>
      </c>
    </row>
    <row r="1501" customFormat="false" ht="15" hidden="false" customHeight="false" outlineLevel="0" collapsed="false">
      <c r="A1501" s="5" t="s">
        <v>427</v>
      </c>
      <c r="B1501" s="5" t="s">
        <v>78</v>
      </c>
      <c r="C1501" s="5" t="n">
        <v>2020</v>
      </c>
      <c r="D1501" s="5" t="s">
        <v>77</v>
      </c>
      <c r="E1501" s="5" t="s">
        <v>46</v>
      </c>
      <c r="F1501" s="5" t="s">
        <v>39</v>
      </c>
      <c r="G1501" s="6" t="n">
        <v>683</v>
      </c>
      <c r="H1501" s="6" t="n">
        <v>137</v>
      </c>
      <c r="I1501" s="7" t="n">
        <f aca="false">(G1501-H1501)/G1501</f>
        <v>0.799414348462665</v>
      </c>
      <c r="J1501" s="15" t="n">
        <v>0.661</v>
      </c>
      <c r="K1501" s="11" t="str">
        <f aca="false">IF(I1501&lt;J1501,"TAK","NIE")</f>
        <v>NIE</v>
      </c>
    </row>
    <row r="1502" customFormat="false" ht="15" hidden="false" customHeight="false" outlineLevel="0" collapsed="false">
      <c r="A1502" s="5" t="s">
        <v>428</v>
      </c>
      <c r="B1502" s="5" t="s">
        <v>78</v>
      </c>
      <c r="C1502" s="5" t="n">
        <v>2020</v>
      </c>
      <c r="D1502" s="5" t="s">
        <v>77</v>
      </c>
      <c r="E1502" s="5" t="s">
        <v>46</v>
      </c>
      <c r="F1502" s="5" t="s">
        <v>39</v>
      </c>
      <c r="G1502" s="6" t="n">
        <v>683</v>
      </c>
      <c r="H1502" s="6" t="n">
        <v>190</v>
      </c>
      <c r="I1502" s="7" t="n">
        <f aca="false">(G1502-H1502)/G1502</f>
        <v>0.721815519765739</v>
      </c>
      <c r="J1502" s="15" t="n">
        <v>0.661</v>
      </c>
      <c r="K1502" s="11" t="str">
        <f aca="false">IF(I1502&lt;J1502,"TAK","NIE")</f>
        <v>NIE</v>
      </c>
    </row>
    <row r="1503" customFormat="false" ht="15" hidden="false" customHeight="false" outlineLevel="0" collapsed="false">
      <c r="A1503" s="5" t="s">
        <v>429</v>
      </c>
      <c r="B1503" s="5" t="s">
        <v>78</v>
      </c>
      <c r="C1503" s="5" t="n">
        <v>2020</v>
      </c>
      <c r="D1503" s="5" t="s">
        <v>77</v>
      </c>
      <c r="E1503" s="5" t="s">
        <v>46</v>
      </c>
      <c r="F1503" s="5" t="s">
        <v>39</v>
      </c>
      <c r="G1503" s="6" t="n">
        <v>683</v>
      </c>
      <c r="H1503" s="6" t="n">
        <v>214</v>
      </c>
      <c r="I1503" s="7" t="n">
        <f aca="false">(G1503-H1503)/G1503</f>
        <v>0.686676427525622</v>
      </c>
      <c r="J1503" s="15" t="n">
        <v>0.661</v>
      </c>
      <c r="K1503" s="11" t="str">
        <f aca="false">IF(I1503&lt;J1503,"TAK","NIE")</f>
        <v>NIE</v>
      </c>
    </row>
    <row r="1504" customFormat="false" ht="15" hidden="false" customHeight="false" outlineLevel="0" collapsed="false">
      <c r="A1504" s="5" t="s">
        <v>417</v>
      </c>
      <c r="B1504" s="5" t="s">
        <v>78</v>
      </c>
      <c r="C1504" s="5" t="n">
        <v>2020</v>
      </c>
      <c r="D1504" s="5" t="s">
        <v>77</v>
      </c>
      <c r="E1504" s="5" t="s">
        <v>46</v>
      </c>
      <c r="F1504" s="5" t="s">
        <v>40</v>
      </c>
      <c r="G1504" s="6" t="n">
        <v>472</v>
      </c>
      <c r="H1504" s="6" t="n">
        <v>159</v>
      </c>
      <c r="I1504" s="7" t="n">
        <f aca="false">(G1504-H1504)/G1504</f>
        <v>0.663135593220339</v>
      </c>
      <c r="J1504" s="15" t="n">
        <v>0.5015</v>
      </c>
      <c r="K1504" s="11" t="str">
        <f aca="false">IF(I1504&lt;J1504,"TAK","NIE")</f>
        <v>NIE</v>
      </c>
    </row>
    <row r="1505" customFormat="false" ht="15" hidden="false" customHeight="false" outlineLevel="0" collapsed="false">
      <c r="A1505" s="5" t="s">
        <v>418</v>
      </c>
      <c r="B1505" s="5" t="s">
        <v>78</v>
      </c>
      <c r="C1505" s="5" t="n">
        <v>2020</v>
      </c>
      <c r="D1505" s="5" t="s">
        <v>77</v>
      </c>
      <c r="E1505" s="5" t="s">
        <v>46</v>
      </c>
      <c r="F1505" s="5" t="s">
        <v>40</v>
      </c>
      <c r="G1505" s="6" t="n">
        <v>474</v>
      </c>
      <c r="H1505" s="6" t="n">
        <v>139</v>
      </c>
      <c r="I1505" s="7" t="n">
        <f aca="false">(G1505-H1505)/G1505</f>
        <v>0.706751054852321</v>
      </c>
      <c r="J1505" s="15" t="n">
        <v>0.5015</v>
      </c>
      <c r="K1505" s="11" t="str">
        <f aca="false">IF(I1505&lt;J1505,"TAK","NIE")</f>
        <v>NIE</v>
      </c>
    </row>
    <row r="1506" customFormat="false" ht="15" hidden="false" customHeight="false" outlineLevel="0" collapsed="false">
      <c r="A1506" s="5" t="s">
        <v>419</v>
      </c>
      <c r="B1506" s="5" t="s">
        <v>78</v>
      </c>
      <c r="C1506" s="5" t="n">
        <v>2020</v>
      </c>
      <c r="D1506" s="5" t="s">
        <v>77</v>
      </c>
      <c r="E1506" s="5" t="s">
        <v>46</v>
      </c>
      <c r="F1506" s="5" t="s">
        <v>40</v>
      </c>
      <c r="G1506" s="6" t="n">
        <v>474</v>
      </c>
      <c r="H1506" s="6" t="n">
        <v>20</v>
      </c>
      <c r="I1506" s="7" t="n">
        <f aca="false">(G1506-H1506)/G1506</f>
        <v>0.957805907172996</v>
      </c>
      <c r="J1506" s="15" t="n">
        <v>0.5015</v>
      </c>
      <c r="K1506" s="11" t="str">
        <f aca="false">IF(I1506&lt;J1506,"TAK","NIE")</f>
        <v>NIE</v>
      </c>
    </row>
    <row r="1507" customFormat="false" ht="15" hidden="false" customHeight="false" outlineLevel="0" collapsed="false">
      <c r="A1507" s="5" t="s">
        <v>420</v>
      </c>
      <c r="B1507" s="5" t="s">
        <v>78</v>
      </c>
      <c r="C1507" s="5" t="n">
        <v>2020</v>
      </c>
      <c r="D1507" s="5" t="s">
        <v>77</v>
      </c>
      <c r="E1507" s="5" t="s">
        <v>46</v>
      </c>
      <c r="F1507" s="5" t="s">
        <v>40</v>
      </c>
      <c r="G1507" s="6" t="n">
        <v>474</v>
      </c>
      <c r="H1507" s="6" t="n">
        <v>167</v>
      </c>
      <c r="I1507" s="7" t="n">
        <f aca="false">(G1507-H1507)/G1507</f>
        <v>0.647679324894515</v>
      </c>
      <c r="J1507" s="15" t="n">
        <v>0.5015</v>
      </c>
      <c r="K1507" s="11" t="str">
        <f aca="false">IF(I1507&lt;J1507,"TAK","NIE")</f>
        <v>NIE</v>
      </c>
    </row>
    <row r="1508" customFormat="false" ht="15" hidden="false" customHeight="false" outlineLevel="0" collapsed="false">
      <c r="A1508" s="5" t="s">
        <v>421</v>
      </c>
      <c r="B1508" s="5" t="s">
        <v>78</v>
      </c>
      <c r="C1508" s="5" t="n">
        <v>2020</v>
      </c>
      <c r="D1508" s="5" t="s">
        <v>77</v>
      </c>
      <c r="E1508" s="5" t="s">
        <v>46</v>
      </c>
      <c r="F1508" s="5" t="s">
        <v>40</v>
      </c>
      <c r="G1508" s="6" t="n">
        <v>474</v>
      </c>
      <c r="H1508" s="6" t="n">
        <v>109</v>
      </c>
      <c r="I1508" s="7" t="n">
        <f aca="false">(G1508-H1508)/G1508</f>
        <v>0.770042194092827</v>
      </c>
      <c r="J1508" s="15" t="n">
        <v>0.5015</v>
      </c>
      <c r="K1508" s="11" t="str">
        <f aca="false">IF(I1508&lt;J1508,"TAK","NIE")</f>
        <v>NIE</v>
      </c>
    </row>
    <row r="1509" customFormat="false" ht="15" hidden="false" customHeight="false" outlineLevel="0" collapsed="false">
      <c r="A1509" s="5" t="s">
        <v>422</v>
      </c>
      <c r="B1509" s="5" t="s">
        <v>78</v>
      </c>
      <c r="C1509" s="5" t="n">
        <v>2020</v>
      </c>
      <c r="D1509" s="5" t="s">
        <v>77</v>
      </c>
      <c r="E1509" s="5" t="s">
        <v>46</v>
      </c>
      <c r="F1509" s="5" t="s">
        <v>40</v>
      </c>
      <c r="G1509" s="6" t="n">
        <v>474</v>
      </c>
      <c r="H1509" s="6" t="n">
        <v>105</v>
      </c>
      <c r="I1509" s="7" t="n">
        <f aca="false">(G1509-H1509)/G1509</f>
        <v>0.778481012658228</v>
      </c>
      <c r="J1509" s="15" t="n">
        <v>0.5015</v>
      </c>
      <c r="K1509" s="11" t="str">
        <f aca="false">IF(I1509&lt;J1509,"TAK","NIE")</f>
        <v>NIE</v>
      </c>
    </row>
    <row r="1510" customFormat="false" ht="15" hidden="false" customHeight="false" outlineLevel="0" collapsed="false">
      <c r="A1510" s="5" t="s">
        <v>423</v>
      </c>
      <c r="B1510" s="5" t="s">
        <v>78</v>
      </c>
      <c r="C1510" s="5" t="n">
        <v>2020</v>
      </c>
      <c r="D1510" s="5" t="s">
        <v>77</v>
      </c>
      <c r="E1510" s="5" t="s">
        <v>46</v>
      </c>
      <c r="F1510" s="5" t="s">
        <v>40</v>
      </c>
      <c r="G1510" s="6" t="n">
        <v>474</v>
      </c>
      <c r="H1510" s="6" t="n">
        <v>97</v>
      </c>
      <c r="I1510" s="7" t="n">
        <f aca="false">(G1510-H1510)/G1510</f>
        <v>0.79535864978903</v>
      </c>
      <c r="J1510" s="15" t="n">
        <v>0.5015</v>
      </c>
      <c r="K1510" s="11" t="str">
        <f aca="false">IF(I1510&lt;J1510,"TAK","NIE")</f>
        <v>NIE</v>
      </c>
    </row>
    <row r="1511" customFormat="false" ht="15" hidden="false" customHeight="false" outlineLevel="0" collapsed="false">
      <c r="A1511" s="5" t="s">
        <v>424</v>
      </c>
      <c r="B1511" s="5" t="s">
        <v>78</v>
      </c>
      <c r="C1511" s="5" t="n">
        <v>2020</v>
      </c>
      <c r="D1511" s="5" t="s">
        <v>77</v>
      </c>
      <c r="E1511" s="5" t="s">
        <v>46</v>
      </c>
      <c r="F1511" s="5" t="s">
        <v>40</v>
      </c>
      <c r="G1511" s="6" t="n">
        <v>474</v>
      </c>
      <c r="H1511" s="6" t="n">
        <v>116</v>
      </c>
      <c r="I1511" s="7" t="n">
        <f aca="false">(G1511-H1511)/G1511</f>
        <v>0.755274261603376</v>
      </c>
      <c r="J1511" s="15" t="n">
        <v>0.5015</v>
      </c>
      <c r="K1511" s="11" t="str">
        <f aca="false">IF(I1511&lt;J1511,"TAK","NIE")</f>
        <v>NIE</v>
      </c>
    </row>
    <row r="1512" customFormat="false" ht="15" hidden="false" customHeight="false" outlineLevel="0" collapsed="false">
      <c r="A1512" s="5" t="s">
        <v>425</v>
      </c>
      <c r="B1512" s="5" t="s">
        <v>78</v>
      </c>
      <c r="C1512" s="5" t="n">
        <v>2020</v>
      </c>
      <c r="D1512" s="5" t="s">
        <v>77</v>
      </c>
      <c r="E1512" s="5" t="s">
        <v>46</v>
      </c>
      <c r="F1512" s="5" t="s">
        <v>40</v>
      </c>
      <c r="G1512" s="6" t="n">
        <v>474</v>
      </c>
      <c r="H1512" s="6" t="n">
        <v>74</v>
      </c>
      <c r="I1512" s="7" t="n">
        <f aca="false">(G1512-H1512)/G1512</f>
        <v>0.843881856540084</v>
      </c>
      <c r="J1512" s="15" t="n">
        <v>0.5015</v>
      </c>
      <c r="K1512" s="11" t="str">
        <f aca="false">IF(I1512&lt;J1512,"TAK","NIE")</f>
        <v>NIE</v>
      </c>
    </row>
    <row r="1513" customFormat="false" ht="15" hidden="false" customHeight="false" outlineLevel="0" collapsed="false">
      <c r="A1513" s="5" t="s">
        <v>426</v>
      </c>
      <c r="B1513" s="5" t="s">
        <v>78</v>
      </c>
      <c r="C1513" s="5" t="n">
        <v>2020</v>
      </c>
      <c r="D1513" s="5" t="s">
        <v>77</v>
      </c>
      <c r="E1513" s="5" t="s">
        <v>46</v>
      </c>
      <c r="F1513" s="5" t="s">
        <v>40</v>
      </c>
      <c r="G1513" s="6" t="n">
        <v>474</v>
      </c>
      <c r="H1513" s="6" t="n">
        <v>70</v>
      </c>
      <c r="I1513" s="7" t="n">
        <f aca="false">(G1513-H1513)/G1513</f>
        <v>0.852320675105485</v>
      </c>
      <c r="J1513" s="15" t="n">
        <v>0.5015</v>
      </c>
      <c r="K1513" s="11" t="str">
        <f aca="false">IF(I1513&lt;J1513,"TAK","NIE")</f>
        <v>NIE</v>
      </c>
    </row>
    <row r="1514" customFormat="false" ht="15" hidden="false" customHeight="false" outlineLevel="0" collapsed="false">
      <c r="A1514" s="5" t="s">
        <v>427</v>
      </c>
      <c r="B1514" s="5" t="s">
        <v>78</v>
      </c>
      <c r="C1514" s="5" t="n">
        <v>2020</v>
      </c>
      <c r="D1514" s="5" t="s">
        <v>77</v>
      </c>
      <c r="E1514" s="5" t="s">
        <v>46</v>
      </c>
      <c r="F1514" s="5" t="s">
        <v>40</v>
      </c>
      <c r="G1514" s="6" t="n">
        <v>474</v>
      </c>
      <c r="H1514" s="6" t="n">
        <v>60</v>
      </c>
      <c r="I1514" s="7" t="n">
        <f aca="false">(G1514-H1514)/G1514</f>
        <v>0.873417721518987</v>
      </c>
      <c r="J1514" s="15" t="n">
        <v>0.5015</v>
      </c>
      <c r="K1514" s="11" t="str">
        <f aca="false">IF(I1514&lt;J1514,"TAK","NIE")</f>
        <v>NIE</v>
      </c>
    </row>
    <row r="1515" customFormat="false" ht="15" hidden="false" customHeight="false" outlineLevel="0" collapsed="false">
      <c r="A1515" s="5" t="s">
        <v>428</v>
      </c>
      <c r="B1515" s="5" t="s">
        <v>78</v>
      </c>
      <c r="C1515" s="5" t="n">
        <v>2020</v>
      </c>
      <c r="D1515" s="5" t="s">
        <v>77</v>
      </c>
      <c r="E1515" s="5" t="s">
        <v>46</v>
      </c>
      <c r="F1515" s="5" t="s">
        <v>40</v>
      </c>
      <c r="G1515" s="6" t="n">
        <v>474</v>
      </c>
      <c r="H1515" s="6" t="n">
        <v>123</v>
      </c>
      <c r="I1515" s="7" t="n">
        <f aca="false">(G1515-H1515)/G1515</f>
        <v>0.740506329113924</v>
      </c>
      <c r="J1515" s="15" t="n">
        <v>0.5015</v>
      </c>
      <c r="K1515" s="11" t="str">
        <f aca="false">IF(I1515&lt;J1515,"TAK","NIE")</f>
        <v>NIE</v>
      </c>
    </row>
    <row r="1516" customFormat="false" ht="15" hidden="false" customHeight="false" outlineLevel="0" collapsed="false">
      <c r="A1516" s="5" t="s">
        <v>429</v>
      </c>
      <c r="B1516" s="5" t="s">
        <v>78</v>
      </c>
      <c r="C1516" s="5" t="n">
        <v>2020</v>
      </c>
      <c r="D1516" s="5" t="s">
        <v>77</v>
      </c>
      <c r="E1516" s="5" t="s">
        <v>46</v>
      </c>
      <c r="F1516" s="5" t="s">
        <v>40</v>
      </c>
      <c r="G1516" s="6" t="n">
        <v>474</v>
      </c>
      <c r="H1516" s="6" t="n">
        <v>171</v>
      </c>
      <c r="I1516" s="7" t="n">
        <f aca="false">(G1516-H1516)/G1516</f>
        <v>0.639240506329114</v>
      </c>
      <c r="J1516" s="15" t="n">
        <v>0.5015</v>
      </c>
      <c r="K1516" s="11" t="str">
        <f aca="false">IF(I1516&lt;J1516,"TAK","NIE")</f>
        <v>NIE</v>
      </c>
    </row>
    <row r="1517" customFormat="false" ht="15" hidden="false" customHeight="false" outlineLevel="0" collapsed="false">
      <c r="A1517" s="5" t="s">
        <v>417</v>
      </c>
      <c r="B1517" s="5" t="s">
        <v>79</v>
      </c>
      <c r="C1517" s="5" t="n">
        <v>2020</v>
      </c>
      <c r="D1517" s="5" t="s">
        <v>77</v>
      </c>
      <c r="E1517" s="5" t="s">
        <v>55</v>
      </c>
      <c r="F1517" s="5" t="s">
        <v>39</v>
      </c>
      <c r="G1517" s="6" t="n">
        <v>802</v>
      </c>
      <c r="H1517" s="6" t="n">
        <v>75</v>
      </c>
      <c r="I1517" s="7" t="n">
        <f aca="false">(G1517-H1517)/G1517</f>
        <v>0.906483790523691</v>
      </c>
      <c r="J1517" s="15" t="n">
        <v>0.5125</v>
      </c>
      <c r="K1517" s="11" t="str">
        <f aca="false">IF(I1517&lt;J1517,"TAK","NIE")</f>
        <v>NIE</v>
      </c>
    </row>
    <row r="1518" customFormat="false" ht="15" hidden="false" customHeight="false" outlineLevel="0" collapsed="false">
      <c r="A1518" s="5" t="s">
        <v>418</v>
      </c>
      <c r="B1518" s="5" t="s">
        <v>79</v>
      </c>
      <c r="C1518" s="5" t="n">
        <v>2020</v>
      </c>
      <c r="D1518" s="5" t="s">
        <v>77</v>
      </c>
      <c r="E1518" s="5" t="s">
        <v>55</v>
      </c>
      <c r="F1518" s="5" t="s">
        <v>39</v>
      </c>
      <c r="G1518" s="6" t="n">
        <v>802</v>
      </c>
      <c r="H1518" s="6" t="n">
        <v>209</v>
      </c>
      <c r="I1518" s="7" t="n">
        <f aca="false">(G1518-H1518)/G1518</f>
        <v>0.739401496259352</v>
      </c>
      <c r="J1518" s="15" t="n">
        <v>0.5125</v>
      </c>
      <c r="K1518" s="11" t="str">
        <f aca="false">IF(I1518&lt;J1518,"TAK","NIE")</f>
        <v>NIE</v>
      </c>
    </row>
    <row r="1519" customFormat="false" ht="15" hidden="false" customHeight="false" outlineLevel="0" collapsed="false">
      <c r="A1519" s="5" t="s">
        <v>419</v>
      </c>
      <c r="B1519" s="5" t="s">
        <v>79</v>
      </c>
      <c r="C1519" s="5" t="n">
        <v>2020</v>
      </c>
      <c r="D1519" s="5" t="s">
        <v>77</v>
      </c>
      <c r="E1519" s="5" t="s">
        <v>55</v>
      </c>
      <c r="F1519" s="5" t="s">
        <v>39</v>
      </c>
      <c r="G1519" s="6" t="n">
        <v>802</v>
      </c>
      <c r="H1519" s="6" t="n">
        <v>88</v>
      </c>
      <c r="I1519" s="7" t="n">
        <f aca="false">(G1519-H1519)/G1519</f>
        <v>0.890274314214464</v>
      </c>
      <c r="J1519" s="15" t="n">
        <v>0.5125</v>
      </c>
      <c r="K1519" s="11" t="str">
        <f aca="false">IF(I1519&lt;J1519,"TAK","NIE")</f>
        <v>NIE</v>
      </c>
    </row>
    <row r="1520" customFormat="false" ht="15" hidden="false" customHeight="false" outlineLevel="0" collapsed="false">
      <c r="A1520" s="5" t="s">
        <v>420</v>
      </c>
      <c r="B1520" s="5" t="s">
        <v>79</v>
      </c>
      <c r="C1520" s="5" t="n">
        <v>2020</v>
      </c>
      <c r="D1520" s="5" t="s">
        <v>77</v>
      </c>
      <c r="E1520" s="5" t="s">
        <v>55</v>
      </c>
      <c r="F1520" s="5" t="s">
        <v>39</v>
      </c>
      <c r="G1520" s="6" t="n">
        <v>802</v>
      </c>
      <c r="H1520" s="6" t="n">
        <v>211</v>
      </c>
      <c r="I1520" s="7" t="n">
        <f aca="false">(G1520-H1520)/G1520</f>
        <v>0.736907730673317</v>
      </c>
      <c r="J1520" s="15" t="n">
        <v>0.5125</v>
      </c>
      <c r="K1520" s="11" t="str">
        <f aca="false">IF(I1520&lt;J1520,"TAK","NIE")</f>
        <v>NIE</v>
      </c>
    </row>
    <row r="1521" customFormat="false" ht="15" hidden="false" customHeight="false" outlineLevel="0" collapsed="false">
      <c r="A1521" s="5" t="s">
        <v>421</v>
      </c>
      <c r="B1521" s="5" t="s">
        <v>79</v>
      </c>
      <c r="C1521" s="5" t="n">
        <v>2020</v>
      </c>
      <c r="D1521" s="5" t="s">
        <v>77</v>
      </c>
      <c r="E1521" s="5" t="s">
        <v>55</v>
      </c>
      <c r="F1521" s="5" t="s">
        <v>39</v>
      </c>
      <c r="G1521" s="6" t="n">
        <v>802</v>
      </c>
      <c r="H1521" s="6" t="n">
        <v>110</v>
      </c>
      <c r="I1521" s="7" t="n">
        <f aca="false">(G1521-H1521)/G1521</f>
        <v>0.86284289276808</v>
      </c>
      <c r="J1521" s="15" t="n">
        <v>0.5125</v>
      </c>
      <c r="K1521" s="11" t="str">
        <f aca="false">IF(I1521&lt;J1521,"TAK","NIE")</f>
        <v>NIE</v>
      </c>
    </row>
    <row r="1522" customFormat="false" ht="15" hidden="false" customHeight="false" outlineLevel="0" collapsed="false">
      <c r="A1522" s="5" t="s">
        <v>422</v>
      </c>
      <c r="B1522" s="5" t="s">
        <v>79</v>
      </c>
      <c r="C1522" s="5" t="n">
        <v>2020</v>
      </c>
      <c r="D1522" s="5" t="s">
        <v>77</v>
      </c>
      <c r="E1522" s="5" t="s">
        <v>55</v>
      </c>
      <c r="F1522" s="5" t="s">
        <v>39</v>
      </c>
      <c r="G1522" s="6" t="n">
        <v>802</v>
      </c>
      <c r="H1522" s="6" t="n">
        <v>63</v>
      </c>
      <c r="I1522" s="7" t="n">
        <f aca="false">(G1522-H1522)/G1522</f>
        <v>0.9214463840399</v>
      </c>
      <c r="J1522" s="15" t="n">
        <v>0.5125</v>
      </c>
      <c r="K1522" s="11" t="str">
        <f aca="false">IF(I1522&lt;J1522,"TAK","NIE")</f>
        <v>NIE</v>
      </c>
    </row>
    <row r="1523" customFormat="false" ht="15" hidden="false" customHeight="false" outlineLevel="0" collapsed="false">
      <c r="A1523" s="5" t="s">
        <v>423</v>
      </c>
      <c r="B1523" s="5" t="s">
        <v>79</v>
      </c>
      <c r="C1523" s="5" t="n">
        <v>2020</v>
      </c>
      <c r="D1523" s="5" t="s">
        <v>77</v>
      </c>
      <c r="E1523" s="5" t="s">
        <v>55</v>
      </c>
      <c r="F1523" s="5" t="s">
        <v>39</v>
      </c>
      <c r="G1523" s="6" t="n">
        <v>802</v>
      </c>
      <c r="H1523" s="6" t="n">
        <v>94</v>
      </c>
      <c r="I1523" s="7" t="n">
        <f aca="false">(G1523-H1523)/G1523</f>
        <v>0.882793017456359</v>
      </c>
      <c r="J1523" s="15" t="n">
        <v>0.5125</v>
      </c>
      <c r="K1523" s="11" t="str">
        <f aca="false">IF(I1523&lt;J1523,"TAK","NIE")</f>
        <v>NIE</v>
      </c>
    </row>
    <row r="1524" customFormat="false" ht="15" hidden="false" customHeight="false" outlineLevel="0" collapsed="false">
      <c r="A1524" s="5" t="s">
        <v>424</v>
      </c>
      <c r="B1524" s="5" t="s">
        <v>79</v>
      </c>
      <c r="C1524" s="5" t="n">
        <v>2020</v>
      </c>
      <c r="D1524" s="5" t="s">
        <v>77</v>
      </c>
      <c r="E1524" s="5" t="s">
        <v>55</v>
      </c>
      <c r="F1524" s="5" t="s">
        <v>39</v>
      </c>
      <c r="G1524" s="6" t="n">
        <v>802</v>
      </c>
      <c r="H1524" s="6" t="n">
        <v>105</v>
      </c>
      <c r="I1524" s="7" t="n">
        <f aca="false">(G1524-H1524)/G1524</f>
        <v>0.869077306733167</v>
      </c>
      <c r="J1524" s="15" t="n">
        <v>0.5125</v>
      </c>
      <c r="K1524" s="11" t="str">
        <f aca="false">IF(I1524&lt;J1524,"TAK","NIE")</f>
        <v>NIE</v>
      </c>
    </row>
    <row r="1525" customFormat="false" ht="15" hidden="false" customHeight="false" outlineLevel="0" collapsed="false">
      <c r="A1525" s="5" t="s">
        <v>425</v>
      </c>
      <c r="B1525" s="5" t="s">
        <v>79</v>
      </c>
      <c r="C1525" s="5" t="n">
        <v>2020</v>
      </c>
      <c r="D1525" s="5" t="s">
        <v>77</v>
      </c>
      <c r="E1525" s="5" t="s">
        <v>55</v>
      </c>
      <c r="F1525" s="5" t="s">
        <v>39</v>
      </c>
      <c r="G1525" s="6" t="n">
        <v>802</v>
      </c>
      <c r="H1525" s="6" t="n">
        <v>126</v>
      </c>
      <c r="I1525" s="7" t="n">
        <f aca="false">(G1525-H1525)/G1525</f>
        <v>0.842892768079801</v>
      </c>
      <c r="J1525" s="15" t="n">
        <v>0.5125</v>
      </c>
      <c r="K1525" s="11" t="str">
        <f aca="false">IF(I1525&lt;J1525,"TAK","NIE")</f>
        <v>NIE</v>
      </c>
    </row>
    <row r="1526" customFormat="false" ht="15" hidden="false" customHeight="false" outlineLevel="0" collapsed="false">
      <c r="A1526" s="5" t="s">
        <v>426</v>
      </c>
      <c r="B1526" s="5" t="s">
        <v>79</v>
      </c>
      <c r="C1526" s="5" t="n">
        <v>2020</v>
      </c>
      <c r="D1526" s="5" t="s">
        <v>77</v>
      </c>
      <c r="E1526" s="5" t="s">
        <v>55</v>
      </c>
      <c r="F1526" s="5" t="s">
        <v>39</v>
      </c>
      <c r="G1526" s="6" t="n">
        <v>802</v>
      </c>
      <c r="H1526" s="6" t="n">
        <v>11</v>
      </c>
      <c r="I1526" s="7" t="n">
        <f aca="false">(G1526-H1526)/G1526</f>
        <v>0.986284289276808</v>
      </c>
      <c r="J1526" s="15" t="n">
        <v>0.5125</v>
      </c>
      <c r="K1526" s="11" t="str">
        <f aca="false">IF(I1526&lt;J1526,"TAK","NIE")</f>
        <v>NIE</v>
      </c>
    </row>
    <row r="1527" customFormat="false" ht="15" hidden="false" customHeight="false" outlineLevel="0" collapsed="false">
      <c r="A1527" s="5" t="s">
        <v>427</v>
      </c>
      <c r="B1527" s="5" t="s">
        <v>79</v>
      </c>
      <c r="C1527" s="5" t="n">
        <v>2020</v>
      </c>
      <c r="D1527" s="5" t="s">
        <v>77</v>
      </c>
      <c r="E1527" s="5" t="s">
        <v>55</v>
      </c>
      <c r="F1527" s="5" t="s">
        <v>39</v>
      </c>
      <c r="G1527" s="6" t="n">
        <v>802</v>
      </c>
      <c r="H1527" s="6" t="n">
        <v>90</v>
      </c>
      <c r="I1527" s="7" t="n">
        <f aca="false">(G1527-H1527)/G1527</f>
        <v>0.887780548628429</v>
      </c>
      <c r="J1527" s="15" t="n">
        <v>0.5125</v>
      </c>
      <c r="K1527" s="11" t="str">
        <f aca="false">IF(I1527&lt;J1527,"TAK","NIE")</f>
        <v>NIE</v>
      </c>
    </row>
    <row r="1528" customFormat="false" ht="15" hidden="false" customHeight="false" outlineLevel="0" collapsed="false">
      <c r="A1528" s="5" t="s">
        <v>428</v>
      </c>
      <c r="B1528" s="5" t="s">
        <v>79</v>
      </c>
      <c r="C1528" s="5" t="n">
        <v>2020</v>
      </c>
      <c r="D1528" s="5" t="s">
        <v>77</v>
      </c>
      <c r="E1528" s="5" t="s">
        <v>55</v>
      </c>
      <c r="F1528" s="5" t="s">
        <v>39</v>
      </c>
      <c r="G1528" s="6" t="n">
        <v>802</v>
      </c>
      <c r="H1528" s="6" t="n">
        <v>244</v>
      </c>
      <c r="I1528" s="7" t="n">
        <f aca="false">(G1528-H1528)/G1528</f>
        <v>0.695760598503741</v>
      </c>
      <c r="J1528" s="15" t="n">
        <v>0.5125</v>
      </c>
      <c r="K1528" s="11" t="str">
        <f aca="false">IF(I1528&lt;J1528,"TAK","NIE")</f>
        <v>NIE</v>
      </c>
    </row>
    <row r="1529" customFormat="false" ht="15" hidden="false" customHeight="false" outlineLevel="0" collapsed="false">
      <c r="A1529" s="5" t="s">
        <v>429</v>
      </c>
      <c r="B1529" s="5" t="s">
        <v>79</v>
      </c>
      <c r="C1529" s="5" t="n">
        <v>2020</v>
      </c>
      <c r="D1529" s="5" t="s">
        <v>77</v>
      </c>
      <c r="E1529" s="5" t="s">
        <v>55</v>
      </c>
      <c r="F1529" s="5" t="s">
        <v>39</v>
      </c>
      <c r="G1529" s="6" t="n">
        <v>802</v>
      </c>
      <c r="H1529" s="6" t="n">
        <v>214</v>
      </c>
      <c r="I1529" s="7" t="n">
        <f aca="false">(G1529-H1529)/G1529</f>
        <v>0.733167082294264</v>
      </c>
      <c r="J1529" s="15" t="n">
        <v>0.5125</v>
      </c>
      <c r="K1529" s="11" t="str">
        <f aca="false">IF(I1529&lt;J1529,"TAK","NIE")</f>
        <v>NIE</v>
      </c>
    </row>
    <row r="1530" customFormat="false" ht="15" hidden="false" customHeight="false" outlineLevel="0" collapsed="false">
      <c r="A1530" s="5" t="s">
        <v>417</v>
      </c>
      <c r="B1530" s="5" t="s">
        <v>79</v>
      </c>
      <c r="C1530" s="5" t="n">
        <v>2020</v>
      </c>
      <c r="D1530" s="5" t="s">
        <v>77</v>
      </c>
      <c r="E1530" s="5" t="s">
        <v>55</v>
      </c>
      <c r="F1530" s="5" t="s">
        <v>40</v>
      </c>
      <c r="G1530" s="6" t="n">
        <v>539</v>
      </c>
      <c r="H1530" s="6" t="n">
        <v>111</v>
      </c>
      <c r="I1530" s="7" t="n">
        <f aca="false">(G1530-H1530)/G1530</f>
        <v>0.794063079777366</v>
      </c>
      <c r="J1530" s="15" t="n">
        <v>0.4225</v>
      </c>
      <c r="K1530" s="11" t="str">
        <f aca="false">IF(I1530&lt;J1530,"TAK","NIE")</f>
        <v>NIE</v>
      </c>
    </row>
    <row r="1531" customFormat="false" ht="15" hidden="false" customHeight="false" outlineLevel="0" collapsed="false">
      <c r="A1531" s="5" t="s">
        <v>418</v>
      </c>
      <c r="B1531" s="5" t="s">
        <v>79</v>
      </c>
      <c r="C1531" s="5" t="n">
        <v>2020</v>
      </c>
      <c r="D1531" s="5" t="s">
        <v>77</v>
      </c>
      <c r="E1531" s="5" t="s">
        <v>55</v>
      </c>
      <c r="F1531" s="5" t="s">
        <v>40</v>
      </c>
      <c r="G1531" s="6" t="n">
        <v>539</v>
      </c>
      <c r="H1531" s="6" t="n">
        <v>273</v>
      </c>
      <c r="I1531" s="7" t="n">
        <f aca="false">(G1531-H1531)/G1531</f>
        <v>0.493506493506494</v>
      </c>
      <c r="J1531" s="15" t="n">
        <v>0.4225</v>
      </c>
      <c r="K1531" s="11" t="str">
        <f aca="false">IF(I1531&lt;J1531,"TAK","NIE")</f>
        <v>NIE</v>
      </c>
    </row>
    <row r="1532" customFormat="false" ht="15" hidden="false" customHeight="false" outlineLevel="0" collapsed="false">
      <c r="A1532" s="5" t="s">
        <v>419</v>
      </c>
      <c r="B1532" s="5" t="s">
        <v>79</v>
      </c>
      <c r="C1532" s="5" t="n">
        <v>2020</v>
      </c>
      <c r="D1532" s="5" t="s">
        <v>77</v>
      </c>
      <c r="E1532" s="5" t="s">
        <v>55</v>
      </c>
      <c r="F1532" s="5" t="s">
        <v>40</v>
      </c>
      <c r="G1532" s="6" t="n">
        <v>539</v>
      </c>
      <c r="H1532" s="6" t="n">
        <v>194</v>
      </c>
      <c r="I1532" s="7" t="n">
        <f aca="false">(G1532-H1532)/G1532</f>
        <v>0.640074211502783</v>
      </c>
      <c r="J1532" s="15" t="n">
        <v>0.4225</v>
      </c>
      <c r="K1532" s="11" t="str">
        <f aca="false">IF(I1532&lt;J1532,"TAK","NIE")</f>
        <v>NIE</v>
      </c>
    </row>
    <row r="1533" customFormat="false" ht="15" hidden="false" customHeight="false" outlineLevel="0" collapsed="false">
      <c r="A1533" s="5" t="s">
        <v>420</v>
      </c>
      <c r="B1533" s="5" t="s">
        <v>79</v>
      </c>
      <c r="C1533" s="5" t="n">
        <v>2020</v>
      </c>
      <c r="D1533" s="5" t="s">
        <v>77</v>
      </c>
      <c r="E1533" s="5" t="s">
        <v>55</v>
      </c>
      <c r="F1533" s="5" t="s">
        <v>40</v>
      </c>
      <c r="G1533" s="6" t="n">
        <v>539</v>
      </c>
      <c r="H1533" s="6" t="n">
        <v>151</v>
      </c>
      <c r="I1533" s="7" t="n">
        <f aca="false">(G1533-H1533)/G1533</f>
        <v>0.719851576994434</v>
      </c>
      <c r="J1533" s="15" t="n">
        <v>0.4225</v>
      </c>
      <c r="K1533" s="11" t="str">
        <f aca="false">IF(I1533&lt;J1533,"TAK","NIE")</f>
        <v>NIE</v>
      </c>
    </row>
    <row r="1534" customFormat="false" ht="15" hidden="false" customHeight="false" outlineLevel="0" collapsed="false">
      <c r="A1534" s="5" t="s">
        <v>421</v>
      </c>
      <c r="B1534" s="5" t="s">
        <v>79</v>
      </c>
      <c r="C1534" s="5" t="n">
        <v>2020</v>
      </c>
      <c r="D1534" s="5" t="s">
        <v>77</v>
      </c>
      <c r="E1534" s="5" t="s">
        <v>55</v>
      </c>
      <c r="F1534" s="5" t="s">
        <v>40</v>
      </c>
      <c r="G1534" s="6" t="n">
        <v>539</v>
      </c>
      <c r="H1534" s="6" t="n">
        <v>190</v>
      </c>
      <c r="I1534" s="7" t="n">
        <f aca="false">(G1534-H1534)/G1534</f>
        <v>0.647495361781076</v>
      </c>
      <c r="J1534" s="15" t="n">
        <v>0.4225</v>
      </c>
      <c r="K1534" s="11" t="str">
        <f aca="false">IF(I1534&lt;J1534,"TAK","NIE")</f>
        <v>NIE</v>
      </c>
    </row>
    <row r="1535" customFormat="false" ht="15" hidden="false" customHeight="false" outlineLevel="0" collapsed="false">
      <c r="A1535" s="5" t="s">
        <v>422</v>
      </c>
      <c r="B1535" s="5" t="s">
        <v>79</v>
      </c>
      <c r="C1535" s="5" t="n">
        <v>2020</v>
      </c>
      <c r="D1535" s="5" t="s">
        <v>77</v>
      </c>
      <c r="E1535" s="5" t="s">
        <v>55</v>
      </c>
      <c r="F1535" s="5" t="s">
        <v>40</v>
      </c>
      <c r="G1535" s="6" t="n">
        <v>539</v>
      </c>
      <c r="H1535" s="6" t="n">
        <v>219</v>
      </c>
      <c r="I1535" s="7" t="n">
        <f aca="false">(G1535-H1535)/G1535</f>
        <v>0.593692022263451</v>
      </c>
      <c r="J1535" s="15" t="n">
        <v>0.4225</v>
      </c>
      <c r="K1535" s="11" t="str">
        <f aca="false">IF(I1535&lt;J1535,"TAK","NIE")</f>
        <v>NIE</v>
      </c>
    </row>
    <row r="1536" customFormat="false" ht="15" hidden="false" customHeight="false" outlineLevel="0" collapsed="false">
      <c r="A1536" s="5" t="s">
        <v>423</v>
      </c>
      <c r="B1536" s="5" t="s">
        <v>79</v>
      </c>
      <c r="C1536" s="5" t="n">
        <v>2020</v>
      </c>
      <c r="D1536" s="5" t="s">
        <v>77</v>
      </c>
      <c r="E1536" s="5" t="s">
        <v>55</v>
      </c>
      <c r="F1536" s="5" t="s">
        <v>40</v>
      </c>
      <c r="G1536" s="6" t="n">
        <v>539</v>
      </c>
      <c r="H1536" s="6" t="n">
        <v>247</v>
      </c>
      <c r="I1536" s="7" t="n">
        <f aca="false">(G1536-H1536)/G1536</f>
        <v>0.541743970315399</v>
      </c>
      <c r="J1536" s="15" t="n">
        <v>0.4225</v>
      </c>
      <c r="K1536" s="11" t="str">
        <f aca="false">IF(I1536&lt;J1536,"TAK","NIE")</f>
        <v>NIE</v>
      </c>
    </row>
    <row r="1537" customFormat="false" ht="15" hidden="false" customHeight="false" outlineLevel="0" collapsed="false">
      <c r="A1537" s="5" t="s">
        <v>424</v>
      </c>
      <c r="B1537" s="5" t="s">
        <v>79</v>
      </c>
      <c r="C1537" s="5" t="n">
        <v>2020</v>
      </c>
      <c r="D1537" s="5" t="s">
        <v>77</v>
      </c>
      <c r="E1537" s="5" t="s">
        <v>55</v>
      </c>
      <c r="F1537" s="5" t="s">
        <v>40</v>
      </c>
      <c r="G1537" s="6" t="n">
        <v>539</v>
      </c>
      <c r="H1537" s="6" t="n">
        <v>215</v>
      </c>
      <c r="I1537" s="7" t="n">
        <f aca="false">(G1537-H1537)/G1537</f>
        <v>0.601113172541744</v>
      </c>
      <c r="J1537" s="15" t="n">
        <v>0.4225</v>
      </c>
      <c r="K1537" s="11" t="str">
        <f aca="false">IF(I1537&lt;J1537,"TAK","NIE")</f>
        <v>NIE</v>
      </c>
    </row>
    <row r="1538" customFormat="false" ht="15" hidden="false" customHeight="false" outlineLevel="0" collapsed="false">
      <c r="A1538" s="5" t="s">
        <v>425</v>
      </c>
      <c r="B1538" s="5" t="s">
        <v>79</v>
      </c>
      <c r="C1538" s="5" t="n">
        <v>2020</v>
      </c>
      <c r="D1538" s="5" t="s">
        <v>77</v>
      </c>
      <c r="E1538" s="5" t="s">
        <v>55</v>
      </c>
      <c r="F1538" s="5" t="s">
        <v>40</v>
      </c>
      <c r="G1538" s="6" t="n">
        <v>539</v>
      </c>
      <c r="H1538" s="6" t="n">
        <v>142</v>
      </c>
      <c r="I1538" s="7" t="n">
        <f aca="false">(G1538-H1538)/G1538</f>
        <v>0.736549165120594</v>
      </c>
      <c r="J1538" s="15" t="n">
        <v>0.4225</v>
      </c>
      <c r="K1538" s="11" t="str">
        <f aca="false">IF(I1538&lt;J1538,"TAK","NIE")</f>
        <v>NIE</v>
      </c>
    </row>
    <row r="1539" customFormat="false" ht="15" hidden="false" customHeight="false" outlineLevel="0" collapsed="false">
      <c r="A1539" s="5" t="s">
        <v>426</v>
      </c>
      <c r="B1539" s="5" t="s">
        <v>79</v>
      </c>
      <c r="C1539" s="5" t="n">
        <v>2020</v>
      </c>
      <c r="D1539" s="5" t="s">
        <v>77</v>
      </c>
      <c r="E1539" s="5" t="s">
        <v>55</v>
      </c>
      <c r="F1539" s="5" t="s">
        <v>40</v>
      </c>
      <c r="G1539" s="6" t="n">
        <v>539</v>
      </c>
      <c r="H1539" s="6" t="n">
        <v>82</v>
      </c>
      <c r="I1539" s="7" t="n">
        <f aca="false">(G1539-H1539)/G1539</f>
        <v>0.847866419294991</v>
      </c>
      <c r="J1539" s="15" t="n">
        <v>0.4225</v>
      </c>
      <c r="K1539" s="11" t="str">
        <f aca="false">IF(I1539&lt;J1539,"TAK","NIE")</f>
        <v>NIE</v>
      </c>
    </row>
    <row r="1540" customFormat="false" ht="15" hidden="false" customHeight="false" outlineLevel="0" collapsed="false">
      <c r="A1540" s="5" t="s">
        <v>427</v>
      </c>
      <c r="B1540" s="5" t="s">
        <v>79</v>
      </c>
      <c r="C1540" s="5" t="n">
        <v>2020</v>
      </c>
      <c r="D1540" s="5" t="s">
        <v>77</v>
      </c>
      <c r="E1540" s="5" t="s">
        <v>55</v>
      </c>
      <c r="F1540" s="5" t="s">
        <v>40</v>
      </c>
      <c r="G1540" s="6" t="n">
        <v>539</v>
      </c>
      <c r="H1540" s="6" t="n">
        <v>152</v>
      </c>
      <c r="I1540" s="7" t="n">
        <f aca="false">(G1540-H1540)/G1540</f>
        <v>0.717996289424861</v>
      </c>
      <c r="J1540" s="15" t="n">
        <v>0.4225</v>
      </c>
      <c r="K1540" s="11" t="str">
        <f aca="false">IF(I1540&lt;J1540,"TAK","NIE")</f>
        <v>NIE</v>
      </c>
    </row>
    <row r="1541" customFormat="false" ht="15" hidden="false" customHeight="false" outlineLevel="0" collapsed="false">
      <c r="A1541" s="5" t="s">
        <v>428</v>
      </c>
      <c r="B1541" s="5" t="s">
        <v>79</v>
      </c>
      <c r="C1541" s="5" t="n">
        <v>2020</v>
      </c>
      <c r="D1541" s="5" t="s">
        <v>77</v>
      </c>
      <c r="E1541" s="5" t="s">
        <v>55</v>
      </c>
      <c r="F1541" s="5" t="s">
        <v>40</v>
      </c>
      <c r="G1541" s="6" t="n">
        <v>539</v>
      </c>
      <c r="H1541" s="6" t="n">
        <v>161</v>
      </c>
      <c r="I1541" s="7" t="n">
        <f aca="false">(G1541-H1541)/G1541</f>
        <v>0.701298701298701</v>
      </c>
      <c r="J1541" s="15" t="n">
        <v>0.4225</v>
      </c>
      <c r="K1541" s="11" t="str">
        <f aca="false">IF(I1541&lt;J1541,"TAK","NIE")</f>
        <v>NIE</v>
      </c>
    </row>
    <row r="1542" customFormat="false" ht="15" hidden="false" customHeight="false" outlineLevel="0" collapsed="false">
      <c r="A1542" s="5" t="s">
        <v>429</v>
      </c>
      <c r="B1542" s="5" t="s">
        <v>79</v>
      </c>
      <c r="C1542" s="5" t="n">
        <v>2020</v>
      </c>
      <c r="D1542" s="5" t="s">
        <v>77</v>
      </c>
      <c r="E1542" s="5" t="s">
        <v>55</v>
      </c>
      <c r="F1542" s="5" t="s">
        <v>40</v>
      </c>
      <c r="G1542" s="6" t="n">
        <v>539</v>
      </c>
      <c r="H1542" s="6" t="n">
        <v>206</v>
      </c>
      <c r="I1542" s="7" t="n">
        <f aca="false">(G1542-H1542)/G1542</f>
        <v>0.617810760667904</v>
      </c>
      <c r="J1542" s="15" t="n">
        <v>0.4225</v>
      </c>
      <c r="K1542" s="11" t="str">
        <f aca="false">IF(I1542&lt;J1542,"TAK","NIE")</f>
        <v>NIE</v>
      </c>
    </row>
    <row r="1543" customFormat="false" ht="15" hidden="false" customHeight="false" outlineLevel="0" collapsed="false">
      <c r="A1543" s="5" t="s">
        <v>417</v>
      </c>
      <c r="B1543" s="5" t="s">
        <v>80</v>
      </c>
      <c r="C1543" s="5" t="n">
        <v>2020</v>
      </c>
      <c r="D1543" s="5" t="s">
        <v>77</v>
      </c>
      <c r="E1543" s="5" t="s">
        <v>57</v>
      </c>
      <c r="F1543" s="5" t="s">
        <v>39</v>
      </c>
      <c r="G1543" s="6" t="n">
        <v>475</v>
      </c>
      <c r="H1543" s="6" t="n">
        <v>117</v>
      </c>
      <c r="I1543" s="7" t="n">
        <f aca="false">(G1543-H1543)/G1543</f>
        <v>0.753684210526316</v>
      </c>
      <c r="J1543" s="15" t="n">
        <v>0.511</v>
      </c>
      <c r="K1543" s="11" t="str">
        <f aca="false">IF(I1543&lt;J1543,"TAK","NIE")</f>
        <v>NIE</v>
      </c>
    </row>
    <row r="1544" customFormat="false" ht="15" hidden="false" customHeight="false" outlineLevel="0" collapsed="false">
      <c r="A1544" s="5" t="s">
        <v>418</v>
      </c>
      <c r="B1544" s="5" t="s">
        <v>80</v>
      </c>
      <c r="C1544" s="5" t="n">
        <v>2020</v>
      </c>
      <c r="D1544" s="5" t="s">
        <v>77</v>
      </c>
      <c r="E1544" s="5" t="s">
        <v>57</v>
      </c>
      <c r="F1544" s="5" t="s">
        <v>39</v>
      </c>
      <c r="G1544" s="6" t="n">
        <v>475</v>
      </c>
      <c r="H1544" s="6" t="n">
        <v>169</v>
      </c>
      <c r="I1544" s="7" t="n">
        <f aca="false">(G1544-H1544)/G1544</f>
        <v>0.64421052631579</v>
      </c>
      <c r="J1544" s="15" t="n">
        <v>0.511</v>
      </c>
      <c r="K1544" s="11" t="str">
        <f aca="false">IF(I1544&lt;J1544,"TAK","NIE")</f>
        <v>NIE</v>
      </c>
    </row>
    <row r="1545" customFormat="false" ht="15" hidden="false" customHeight="false" outlineLevel="0" collapsed="false">
      <c r="A1545" s="5" t="s">
        <v>419</v>
      </c>
      <c r="B1545" s="5" t="s">
        <v>80</v>
      </c>
      <c r="C1545" s="5" t="n">
        <v>2020</v>
      </c>
      <c r="D1545" s="5" t="s">
        <v>77</v>
      </c>
      <c r="E1545" s="5" t="s">
        <v>57</v>
      </c>
      <c r="F1545" s="5" t="s">
        <v>39</v>
      </c>
      <c r="G1545" s="6" t="n">
        <v>475</v>
      </c>
      <c r="H1545" s="6" t="n">
        <v>26</v>
      </c>
      <c r="I1545" s="7" t="n">
        <f aca="false">(G1545-H1545)/G1545</f>
        <v>0.945263157894737</v>
      </c>
      <c r="J1545" s="15" t="n">
        <v>0.511</v>
      </c>
      <c r="K1545" s="11" t="str">
        <f aca="false">IF(I1545&lt;J1545,"TAK","NIE")</f>
        <v>NIE</v>
      </c>
    </row>
    <row r="1546" customFormat="false" ht="15" hidden="false" customHeight="false" outlineLevel="0" collapsed="false">
      <c r="A1546" s="5" t="s">
        <v>420</v>
      </c>
      <c r="B1546" s="5" t="s">
        <v>80</v>
      </c>
      <c r="C1546" s="5" t="n">
        <v>2020</v>
      </c>
      <c r="D1546" s="5" t="s">
        <v>77</v>
      </c>
      <c r="E1546" s="5" t="s">
        <v>57</v>
      </c>
      <c r="F1546" s="5" t="s">
        <v>39</v>
      </c>
      <c r="G1546" s="6" t="n">
        <v>475</v>
      </c>
      <c r="H1546" s="6" t="n">
        <v>76</v>
      </c>
      <c r="I1546" s="7" t="n">
        <f aca="false">(G1546-H1546)/G1546</f>
        <v>0.84</v>
      </c>
      <c r="J1546" s="15" t="n">
        <v>0.511</v>
      </c>
      <c r="K1546" s="11" t="str">
        <f aca="false">IF(I1546&lt;J1546,"TAK","NIE")</f>
        <v>NIE</v>
      </c>
    </row>
    <row r="1547" customFormat="false" ht="15" hidden="false" customHeight="false" outlineLevel="0" collapsed="false">
      <c r="A1547" s="5" t="s">
        <v>421</v>
      </c>
      <c r="B1547" s="5" t="s">
        <v>80</v>
      </c>
      <c r="C1547" s="5" t="n">
        <v>2020</v>
      </c>
      <c r="D1547" s="5" t="s">
        <v>77</v>
      </c>
      <c r="E1547" s="5" t="s">
        <v>57</v>
      </c>
      <c r="F1547" s="5" t="s">
        <v>39</v>
      </c>
      <c r="G1547" s="6" t="n">
        <v>475</v>
      </c>
      <c r="H1547" s="6" t="n">
        <v>83</v>
      </c>
      <c r="I1547" s="7" t="n">
        <f aca="false">(G1547-H1547)/G1547</f>
        <v>0.825263157894737</v>
      </c>
      <c r="J1547" s="15" t="n">
        <v>0.511</v>
      </c>
      <c r="K1547" s="11" t="str">
        <f aca="false">IF(I1547&lt;J1547,"TAK","NIE")</f>
        <v>NIE</v>
      </c>
    </row>
    <row r="1548" customFormat="false" ht="15" hidden="false" customHeight="false" outlineLevel="0" collapsed="false">
      <c r="A1548" s="5" t="s">
        <v>422</v>
      </c>
      <c r="B1548" s="5" t="s">
        <v>80</v>
      </c>
      <c r="C1548" s="5" t="n">
        <v>2020</v>
      </c>
      <c r="D1548" s="5" t="s">
        <v>77</v>
      </c>
      <c r="E1548" s="5" t="s">
        <v>57</v>
      </c>
      <c r="F1548" s="5" t="s">
        <v>39</v>
      </c>
      <c r="G1548" s="6" t="n">
        <v>475</v>
      </c>
      <c r="H1548" s="6" t="n">
        <v>8</v>
      </c>
      <c r="I1548" s="7" t="n">
        <f aca="false">(G1548-H1548)/G1548</f>
        <v>0.983157894736842</v>
      </c>
      <c r="J1548" s="15" t="n">
        <v>0.511</v>
      </c>
      <c r="K1548" s="11" t="str">
        <f aca="false">IF(I1548&lt;J1548,"TAK","NIE")</f>
        <v>NIE</v>
      </c>
    </row>
    <row r="1549" customFormat="false" ht="15" hidden="false" customHeight="false" outlineLevel="0" collapsed="false">
      <c r="A1549" s="5" t="s">
        <v>423</v>
      </c>
      <c r="B1549" s="5" t="s">
        <v>80</v>
      </c>
      <c r="C1549" s="5" t="n">
        <v>2020</v>
      </c>
      <c r="D1549" s="5" t="s">
        <v>77</v>
      </c>
      <c r="E1549" s="5" t="s">
        <v>57</v>
      </c>
      <c r="F1549" s="5" t="s">
        <v>39</v>
      </c>
      <c r="G1549" s="6" t="n">
        <v>475</v>
      </c>
      <c r="H1549" s="6" t="n">
        <v>68</v>
      </c>
      <c r="I1549" s="7" t="n">
        <f aca="false">(G1549-H1549)/G1549</f>
        <v>0.856842105263158</v>
      </c>
      <c r="J1549" s="15" t="n">
        <v>0.511</v>
      </c>
      <c r="K1549" s="11" t="str">
        <f aca="false">IF(I1549&lt;J1549,"TAK","NIE")</f>
        <v>NIE</v>
      </c>
    </row>
    <row r="1550" customFormat="false" ht="15" hidden="false" customHeight="false" outlineLevel="0" collapsed="false">
      <c r="A1550" s="5" t="s">
        <v>424</v>
      </c>
      <c r="B1550" s="5" t="s">
        <v>80</v>
      </c>
      <c r="C1550" s="5" t="n">
        <v>2020</v>
      </c>
      <c r="D1550" s="5" t="s">
        <v>77</v>
      </c>
      <c r="E1550" s="5" t="s">
        <v>57</v>
      </c>
      <c r="F1550" s="5" t="s">
        <v>39</v>
      </c>
      <c r="G1550" s="6" t="n">
        <v>475</v>
      </c>
      <c r="H1550" s="6" t="n">
        <v>40</v>
      </c>
      <c r="I1550" s="7" t="n">
        <f aca="false">(G1550-H1550)/G1550</f>
        <v>0.915789473684211</v>
      </c>
      <c r="J1550" s="15" t="n">
        <v>0.511</v>
      </c>
      <c r="K1550" s="11" t="str">
        <f aca="false">IF(I1550&lt;J1550,"TAK","NIE")</f>
        <v>NIE</v>
      </c>
    </row>
    <row r="1551" customFormat="false" ht="15" hidden="false" customHeight="false" outlineLevel="0" collapsed="false">
      <c r="A1551" s="5" t="s">
        <v>425</v>
      </c>
      <c r="B1551" s="5" t="s">
        <v>80</v>
      </c>
      <c r="C1551" s="5" t="n">
        <v>2020</v>
      </c>
      <c r="D1551" s="5" t="s">
        <v>77</v>
      </c>
      <c r="E1551" s="5" t="s">
        <v>57</v>
      </c>
      <c r="F1551" s="5" t="s">
        <v>39</v>
      </c>
      <c r="G1551" s="6" t="n">
        <v>475</v>
      </c>
      <c r="H1551" s="6" t="n">
        <v>52</v>
      </c>
      <c r="I1551" s="7" t="n">
        <f aca="false">(G1551-H1551)/G1551</f>
        <v>0.890526315789474</v>
      </c>
      <c r="J1551" s="15" t="n">
        <v>0.511</v>
      </c>
      <c r="K1551" s="11" t="str">
        <f aca="false">IF(I1551&lt;J1551,"TAK","NIE")</f>
        <v>NIE</v>
      </c>
    </row>
    <row r="1552" customFormat="false" ht="15" hidden="false" customHeight="false" outlineLevel="0" collapsed="false">
      <c r="A1552" s="5" t="s">
        <v>426</v>
      </c>
      <c r="B1552" s="5" t="s">
        <v>80</v>
      </c>
      <c r="C1552" s="5" t="n">
        <v>2020</v>
      </c>
      <c r="D1552" s="5" t="s">
        <v>77</v>
      </c>
      <c r="E1552" s="5" t="s">
        <v>57</v>
      </c>
      <c r="F1552" s="5" t="s">
        <v>39</v>
      </c>
      <c r="G1552" s="6" t="n">
        <v>475</v>
      </c>
      <c r="H1552" s="6" t="n">
        <v>25</v>
      </c>
      <c r="I1552" s="7" t="n">
        <f aca="false">(G1552-H1552)/G1552</f>
        <v>0.947368421052632</v>
      </c>
      <c r="J1552" s="15" t="n">
        <v>0.511</v>
      </c>
      <c r="K1552" s="11" t="str">
        <f aca="false">IF(I1552&lt;J1552,"TAK","NIE")</f>
        <v>NIE</v>
      </c>
    </row>
    <row r="1553" customFormat="false" ht="15" hidden="false" customHeight="false" outlineLevel="0" collapsed="false">
      <c r="A1553" s="5" t="s">
        <v>427</v>
      </c>
      <c r="B1553" s="5" t="s">
        <v>80</v>
      </c>
      <c r="C1553" s="5" t="n">
        <v>2020</v>
      </c>
      <c r="D1553" s="5" t="s">
        <v>77</v>
      </c>
      <c r="E1553" s="5" t="s">
        <v>57</v>
      </c>
      <c r="F1553" s="5" t="s">
        <v>39</v>
      </c>
      <c r="G1553" s="6" t="n">
        <v>475</v>
      </c>
      <c r="H1553" s="6" t="n">
        <v>108</v>
      </c>
      <c r="I1553" s="7" t="n">
        <f aca="false">(G1553-H1553)/G1553</f>
        <v>0.772631578947368</v>
      </c>
      <c r="J1553" s="15" t="n">
        <v>0.511</v>
      </c>
      <c r="K1553" s="11" t="str">
        <f aca="false">IF(I1553&lt;J1553,"TAK","NIE")</f>
        <v>NIE</v>
      </c>
    </row>
    <row r="1554" customFormat="false" ht="15" hidden="false" customHeight="false" outlineLevel="0" collapsed="false">
      <c r="A1554" s="5" t="s">
        <v>428</v>
      </c>
      <c r="B1554" s="5" t="s">
        <v>80</v>
      </c>
      <c r="C1554" s="5" t="n">
        <v>2020</v>
      </c>
      <c r="D1554" s="5" t="s">
        <v>77</v>
      </c>
      <c r="E1554" s="5" t="s">
        <v>57</v>
      </c>
      <c r="F1554" s="5" t="s">
        <v>39</v>
      </c>
      <c r="G1554" s="6" t="n">
        <v>475</v>
      </c>
      <c r="H1554" s="6" t="n">
        <v>177</v>
      </c>
      <c r="I1554" s="7" t="n">
        <f aca="false">(G1554-H1554)/G1554</f>
        <v>0.627368421052632</v>
      </c>
      <c r="J1554" s="15" t="n">
        <v>0.511</v>
      </c>
      <c r="K1554" s="11" t="str">
        <f aca="false">IF(I1554&lt;J1554,"TAK","NIE")</f>
        <v>NIE</v>
      </c>
    </row>
    <row r="1555" customFormat="false" ht="15" hidden="false" customHeight="false" outlineLevel="0" collapsed="false">
      <c r="A1555" s="5" t="s">
        <v>429</v>
      </c>
      <c r="B1555" s="5" t="s">
        <v>80</v>
      </c>
      <c r="C1555" s="5" t="n">
        <v>2020</v>
      </c>
      <c r="D1555" s="5" t="s">
        <v>77</v>
      </c>
      <c r="E1555" s="5" t="s">
        <v>57</v>
      </c>
      <c r="F1555" s="5" t="s">
        <v>39</v>
      </c>
      <c r="G1555" s="6" t="n">
        <v>475</v>
      </c>
      <c r="H1555" s="6" t="n">
        <v>210</v>
      </c>
      <c r="I1555" s="7" t="n">
        <f aca="false">(G1555-H1555)/G1555</f>
        <v>0.557894736842105</v>
      </c>
      <c r="J1555" s="15" t="n">
        <v>0.511</v>
      </c>
      <c r="K1555" s="11" t="str">
        <f aca="false">IF(I1555&lt;J1555,"TAK","NIE")</f>
        <v>NIE</v>
      </c>
    </row>
    <row r="1556" customFormat="false" ht="15" hidden="false" customHeight="false" outlineLevel="0" collapsed="false">
      <c r="A1556" s="5" t="s">
        <v>417</v>
      </c>
      <c r="B1556" s="5" t="s">
        <v>80</v>
      </c>
      <c r="C1556" s="5" t="n">
        <v>2020</v>
      </c>
      <c r="D1556" s="5" t="s">
        <v>77</v>
      </c>
      <c r="E1556" s="5" t="s">
        <v>57</v>
      </c>
      <c r="F1556" s="5" t="s">
        <v>40</v>
      </c>
      <c r="G1556" s="6" t="n">
        <v>652</v>
      </c>
      <c r="H1556" s="6" t="n">
        <v>117</v>
      </c>
      <c r="I1556" s="7" t="n">
        <f aca="false">(G1556-H1556)/G1556</f>
        <v>0.820552147239264</v>
      </c>
      <c r="J1556" s="15" t="n">
        <v>0.6135</v>
      </c>
      <c r="K1556" s="11" t="str">
        <f aca="false">IF(I1556&lt;J1556,"TAK","NIE")</f>
        <v>NIE</v>
      </c>
    </row>
    <row r="1557" customFormat="false" ht="15" hidden="false" customHeight="false" outlineLevel="0" collapsed="false">
      <c r="A1557" s="5" t="s">
        <v>418</v>
      </c>
      <c r="B1557" s="5" t="s">
        <v>80</v>
      </c>
      <c r="C1557" s="5" t="n">
        <v>2020</v>
      </c>
      <c r="D1557" s="5" t="s">
        <v>77</v>
      </c>
      <c r="E1557" s="5" t="s">
        <v>57</v>
      </c>
      <c r="F1557" s="5" t="s">
        <v>40</v>
      </c>
      <c r="G1557" s="6" t="n">
        <v>652</v>
      </c>
      <c r="H1557" s="6" t="n">
        <v>276</v>
      </c>
      <c r="I1557" s="7" t="n">
        <f aca="false">(G1557-H1557)/G1557</f>
        <v>0.576687116564417</v>
      </c>
      <c r="J1557" s="15" t="n">
        <v>0.6135</v>
      </c>
      <c r="K1557" s="11" t="str">
        <f aca="false">IF(I1557&lt;J1557,"TAK","NIE")</f>
        <v>TAK</v>
      </c>
    </row>
    <row r="1558" customFormat="false" ht="15" hidden="false" customHeight="false" outlineLevel="0" collapsed="false">
      <c r="A1558" s="5" t="s">
        <v>419</v>
      </c>
      <c r="B1558" s="5" t="s">
        <v>80</v>
      </c>
      <c r="C1558" s="5" t="n">
        <v>2020</v>
      </c>
      <c r="D1558" s="5" t="s">
        <v>77</v>
      </c>
      <c r="E1558" s="5" t="s">
        <v>57</v>
      </c>
      <c r="F1558" s="5" t="s">
        <v>40</v>
      </c>
      <c r="G1558" s="6" t="n">
        <v>652</v>
      </c>
      <c r="H1558" s="6" t="n">
        <v>67</v>
      </c>
      <c r="I1558" s="7" t="n">
        <f aca="false">(G1558-H1558)/G1558</f>
        <v>0.897239263803681</v>
      </c>
      <c r="J1558" s="15" t="n">
        <v>0.6135</v>
      </c>
      <c r="K1558" s="11" t="str">
        <f aca="false">IF(I1558&lt;J1558,"TAK","NIE")</f>
        <v>NIE</v>
      </c>
    </row>
    <row r="1559" customFormat="false" ht="15" hidden="false" customHeight="false" outlineLevel="0" collapsed="false">
      <c r="A1559" s="5" t="s">
        <v>420</v>
      </c>
      <c r="B1559" s="5" t="s">
        <v>80</v>
      </c>
      <c r="C1559" s="5" t="n">
        <v>2020</v>
      </c>
      <c r="D1559" s="5" t="s">
        <v>77</v>
      </c>
      <c r="E1559" s="5" t="s">
        <v>57</v>
      </c>
      <c r="F1559" s="5" t="s">
        <v>40</v>
      </c>
      <c r="G1559" s="6" t="n">
        <v>652</v>
      </c>
      <c r="H1559" s="6" t="n">
        <v>157</v>
      </c>
      <c r="I1559" s="7" t="n">
        <f aca="false">(G1559-H1559)/G1559</f>
        <v>0.75920245398773</v>
      </c>
      <c r="J1559" s="15" t="n">
        <v>0.6135</v>
      </c>
      <c r="K1559" s="11" t="str">
        <f aca="false">IF(I1559&lt;J1559,"TAK","NIE")</f>
        <v>NIE</v>
      </c>
    </row>
    <row r="1560" customFormat="false" ht="15" hidden="false" customHeight="false" outlineLevel="0" collapsed="false">
      <c r="A1560" s="5" t="s">
        <v>421</v>
      </c>
      <c r="B1560" s="5" t="s">
        <v>80</v>
      </c>
      <c r="C1560" s="5" t="n">
        <v>2020</v>
      </c>
      <c r="D1560" s="5" t="s">
        <v>77</v>
      </c>
      <c r="E1560" s="5" t="s">
        <v>57</v>
      </c>
      <c r="F1560" s="5" t="s">
        <v>40</v>
      </c>
      <c r="G1560" s="6" t="n">
        <v>652</v>
      </c>
      <c r="H1560" s="6" t="n">
        <v>122</v>
      </c>
      <c r="I1560" s="7" t="n">
        <f aca="false">(G1560-H1560)/G1560</f>
        <v>0.812883435582822</v>
      </c>
      <c r="J1560" s="15" t="n">
        <v>0.6135</v>
      </c>
      <c r="K1560" s="11" t="str">
        <f aca="false">IF(I1560&lt;J1560,"TAK","NIE")</f>
        <v>NIE</v>
      </c>
    </row>
    <row r="1561" customFormat="false" ht="15" hidden="false" customHeight="false" outlineLevel="0" collapsed="false">
      <c r="A1561" s="5" t="s">
        <v>422</v>
      </c>
      <c r="B1561" s="5" t="s">
        <v>80</v>
      </c>
      <c r="C1561" s="5" t="n">
        <v>2020</v>
      </c>
      <c r="D1561" s="5" t="s">
        <v>77</v>
      </c>
      <c r="E1561" s="5" t="s">
        <v>57</v>
      </c>
      <c r="F1561" s="5" t="s">
        <v>40</v>
      </c>
      <c r="G1561" s="6" t="n">
        <v>652</v>
      </c>
      <c r="H1561" s="6" t="n">
        <v>94</v>
      </c>
      <c r="I1561" s="7" t="n">
        <f aca="false">(G1561-H1561)/G1561</f>
        <v>0.855828220858896</v>
      </c>
      <c r="J1561" s="15" t="n">
        <v>0.6135</v>
      </c>
      <c r="K1561" s="11" t="str">
        <f aca="false">IF(I1561&lt;J1561,"TAK","NIE")</f>
        <v>NIE</v>
      </c>
    </row>
    <row r="1562" customFormat="false" ht="15" hidden="false" customHeight="false" outlineLevel="0" collapsed="false">
      <c r="A1562" s="5" t="s">
        <v>423</v>
      </c>
      <c r="B1562" s="5" t="s">
        <v>80</v>
      </c>
      <c r="C1562" s="5" t="n">
        <v>2020</v>
      </c>
      <c r="D1562" s="5" t="s">
        <v>77</v>
      </c>
      <c r="E1562" s="5" t="s">
        <v>57</v>
      </c>
      <c r="F1562" s="5" t="s">
        <v>40</v>
      </c>
      <c r="G1562" s="6" t="n">
        <v>655</v>
      </c>
      <c r="H1562" s="6" t="n">
        <v>175</v>
      </c>
      <c r="I1562" s="7" t="n">
        <f aca="false">(G1562-H1562)/G1562</f>
        <v>0.732824427480916</v>
      </c>
      <c r="J1562" s="15" t="n">
        <v>0.6135</v>
      </c>
      <c r="K1562" s="11" t="str">
        <f aca="false">IF(I1562&lt;J1562,"TAK","NIE")</f>
        <v>NIE</v>
      </c>
    </row>
    <row r="1563" customFormat="false" ht="15" hidden="false" customHeight="false" outlineLevel="0" collapsed="false">
      <c r="A1563" s="5" t="s">
        <v>424</v>
      </c>
      <c r="B1563" s="5" t="s">
        <v>80</v>
      </c>
      <c r="C1563" s="5" t="n">
        <v>2020</v>
      </c>
      <c r="D1563" s="5" t="s">
        <v>77</v>
      </c>
      <c r="E1563" s="5" t="s">
        <v>57</v>
      </c>
      <c r="F1563" s="5" t="s">
        <v>40</v>
      </c>
      <c r="G1563" s="6" t="n">
        <v>652</v>
      </c>
      <c r="H1563" s="6" t="n">
        <v>97</v>
      </c>
      <c r="I1563" s="7" t="n">
        <f aca="false">(G1563-H1563)/G1563</f>
        <v>0.851226993865031</v>
      </c>
      <c r="J1563" s="15" t="n">
        <v>0.6135</v>
      </c>
      <c r="K1563" s="11" t="str">
        <f aca="false">IF(I1563&lt;J1563,"TAK","NIE")</f>
        <v>NIE</v>
      </c>
    </row>
    <row r="1564" customFormat="false" ht="15" hidden="false" customHeight="false" outlineLevel="0" collapsed="false">
      <c r="A1564" s="5" t="s">
        <v>425</v>
      </c>
      <c r="B1564" s="5" t="s">
        <v>80</v>
      </c>
      <c r="C1564" s="5" t="n">
        <v>2020</v>
      </c>
      <c r="D1564" s="5" t="s">
        <v>77</v>
      </c>
      <c r="E1564" s="5" t="s">
        <v>57</v>
      </c>
      <c r="F1564" s="5" t="s">
        <v>40</v>
      </c>
      <c r="G1564" s="6" t="n">
        <v>652</v>
      </c>
      <c r="H1564" s="6" t="n">
        <v>92</v>
      </c>
      <c r="I1564" s="7" t="n">
        <f aca="false">(G1564-H1564)/G1564</f>
        <v>0.858895705521472</v>
      </c>
      <c r="J1564" s="15" t="n">
        <v>0.6135</v>
      </c>
      <c r="K1564" s="11" t="str">
        <f aca="false">IF(I1564&lt;J1564,"TAK","NIE")</f>
        <v>NIE</v>
      </c>
    </row>
    <row r="1565" customFormat="false" ht="15" hidden="false" customHeight="false" outlineLevel="0" collapsed="false">
      <c r="A1565" s="5" t="s">
        <v>426</v>
      </c>
      <c r="B1565" s="5" t="s">
        <v>80</v>
      </c>
      <c r="C1565" s="5" t="n">
        <v>2020</v>
      </c>
      <c r="D1565" s="5" t="s">
        <v>77</v>
      </c>
      <c r="E1565" s="5" t="s">
        <v>57</v>
      </c>
      <c r="F1565" s="5" t="s">
        <v>40</v>
      </c>
      <c r="G1565" s="6" t="n">
        <v>652</v>
      </c>
      <c r="H1565" s="6" t="n">
        <v>42</v>
      </c>
      <c r="I1565" s="7" t="n">
        <f aca="false">(G1565-H1565)/G1565</f>
        <v>0.93558282208589</v>
      </c>
      <c r="J1565" s="15" t="n">
        <v>0.6135</v>
      </c>
      <c r="K1565" s="11" t="str">
        <f aca="false">IF(I1565&lt;J1565,"TAK","NIE")</f>
        <v>NIE</v>
      </c>
    </row>
    <row r="1566" customFormat="false" ht="15" hidden="false" customHeight="false" outlineLevel="0" collapsed="false">
      <c r="A1566" s="5" t="s">
        <v>427</v>
      </c>
      <c r="B1566" s="5" t="s">
        <v>80</v>
      </c>
      <c r="C1566" s="5" t="n">
        <v>2020</v>
      </c>
      <c r="D1566" s="5" t="s">
        <v>77</v>
      </c>
      <c r="E1566" s="5" t="s">
        <v>57</v>
      </c>
      <c r="F1566" s="5" t="s">
        <v>40</v>
      </c>
      <c r="G1566" s="6" t="n">
        <v>652</v>
      </c>
      <c r="H1566" s="6" t="n">
        <v>149</v>
      </c>
      <c r="I1566" s="7" t="n">
        <f aca="false">(G1566-H1566)/G1566</f>
        <v>0.771472392638037</v>
      </c>
      <c r="J1566" s="15" t="n">
        <v>0.6135</v>
      </c>
      <c r="K1566" s="11" t="str">
        <f aca="false">IF(I1566&lt;J1566,"TAK","NIE")</f>
        <v>NIE</v>
      </c>
    </row>
    <row r="1567" customFormat="false" ht="15" hidden="false" customHeight="false" outlineLevel="0" collapsed="false">
      <c r="A1567" s="5" t="s">
        <v>428</v>
      </c>
      <c r="B1567" s="5" t="s">
        <v>80</v>
      </c>
      <c r="C1567" s="5" t="n">
        <v>2020</v>
      </c>
      <c r="D1567" s="5" t="s">
        <v>77</v>
      </c>
      <c r="E1567" s="5" t="s">
        <v>57</v>
      </c>
      <c r="F1567" s="5" t="s">
        <v>40</v>
      </c>
      <c r="G1567" s="6" t="n">
        <v>652</v>
      </c>
      <c r="H1567" s="6" t="n">
        <v>155</v>
      </c>
      <c r="I1567" s="7" t="n">
        <f aca="false">(G1567-H1567)/G1567</f>
        <v>0.762269938650307</v>
      </c>
      <c r="J1567" s="15" t="n">
        <v>0.6135</v>
      </c>
      <c r="K1567" s="11" t="str">
        <f aca="false">IF(I1567&lt;J1567,"TAK","NIE")</f>
        <v>NIE</v>
      </c>
    </row>
    <row r="1568" customFormat="false" ht="15" hidden="false" customHeight="false" outlineLevel="0" collapsed="false">
      <c r="A1568" s="5" t="s">
        <v>429</v>
      </c>
      <c r="B1568" s="5" t="s">
        <v>80</v>
      </c>
      <c r="C1568" s="5" t="n">
        <v>2020</v>
      </c>
      <c r="D1568" s="5" t="s">
        <v>77</v>
      </c>
      <c r="E1568" s="5" t="s">
        <v>57</v>
      </c>
      <c r="F1568" s="5" t="s">
        <v>40</v>
      </c>
      <c r="G1568" s="6" t="n">
        <v>660</v>
      </c>
      <c r="H1568" s="6" t="n">
        <v>590</v>
      </c>
      <c r="I1568" s="7" t="n">
        <f aca="false">(G1568-H1568)/G1568</f>
        <v>0.106060606060606</v>
      </c>
      <c r="J1568" s="15" t="n">
        <v>0.6135</v>
      </c>
      <c r="K1568" s="11" t="str">
        <f aca="false">IF(I1568&lt;J1568,"TAK","NIE")</f>
        <v>TAK</v>
      </c>
    </row>
    <row r="1569" customFormat="false" ht="15" hidden="false" customHeight="false" outlineLevel="0" collapsed="false">
      <c r="A1569" s="5" t="s">
        <v>417</v>
      </c>
      <c r="B1569" s="5" t="s">
        <v>81</v>
      </c>
      <c r="C1569" s="5" t="n">
        <v>2020</v>
      </c>
      <c r="D1569" s="5" t="s">
        <v>77</v>
      </c>
      <c r="E1569" s="5" t="s">
        <v>75</v>
      </c>
      <c r="F1569" s="5" t="s">
        <v>39</v>
      </c>
      <c r="G1569" s="6" t="n">
        <v>418</v>
      </c>
      <c r="H1569" s="6" t="n">
        <v>71</v>
      </c>
      <c r="I1569" s="7" t="n">
        <f aca="false">(G1569-H1569)/G1569</f>
        <v>0.830143540669856</v>
      </c>
      <c r="J1569" s="15" t="n">
        <v>0.4875</v>
      </c>
      <c r="K1569" s="11" t="str">
        <f aca="false">IF(I1569&lt;J1569,"TAK","NIE")</f>
        <v>NIE</v>
      </c>
    </row>
    <row r="1570" customFormat="false" ht="15" hidden="false" customHeight="false" outlineLevel="0" collapsed="false">
      <c r="A1570" s="5" t="s">
        <v>418</v>
      </c>
      <c r="B1570" s="5" t="s">
        <v>81</v>
      </c>
      <c r="C1570" s="5" t="n">
        <v>2020</v>
      </c>
      <c r="D1570" s="5" t="s">
        <v>77</v>
      </c>
      <c r="E1570" s="5" t="s">
        <v>75</v>
      </c>
      <c r="F1570" s="5" t="s">
        <v>39</v>
      </c>
      <c r="G1570" s="6" t="n">
        <v>438</v>
      </c>
      <c r="H1570" s="6" t="n">
        <v>196</v>
      </c>
      <c r="I1570" s="7" t="n">
        <f aca="false">(G1570-H1570)/G1570</f>
        <v>0.552511415525114</v>
      </c>
      <c r="J1570" s="15" t="n">
        <v>0.4875</v>
      </c>
      <c r="K1570" s="11" t="str">
        <f aca="false">IF(I1570&lt;J1570,"TAK","NIE")</f>
        <v>NIE</v>
      </c>
    </row>
    <row r="1571" customFormat="false" ht="15" hidden="false" customHeight="false" outlineLevel="0" collapsed="false">
      <c r="A1571" s="5" t="s">
        <v>419</v>
      </c>
      <c r="B1571" s="5" t="s">
        <v>81</v>
      </c>
      <c r="C1571" s="5" t="n">
        <v>2020</v>
      </c>
      <c r="D1571" s="5" t="s">
        <v>77</v>
      </c>
      <c r="E1571" s="5" t="s">
        <v>75</v>
      </c>
      <c r="F1571" s="5" t="s">
        <v>39</v>
      </c>
      <c r="G1571" s="6" t="n">
        <v>438</v>
      </c>
      <c r="H1571" s="6" t="n">
        <v>58</v>
      </c>
      <c r="I1571" s="7" t="n">
        <f aca="false">(G1571-H1571)/G1571</f>
        <v>0.867579908675799</v>
      </c>
      <c r="J1571" s="15" t="n">
        <v>0.4875</v>
      </c>
      <c r="K1571" s="11" t="str">
        <f aca="false">IF(I1571&lt;J1571,"TAK","NIE")</f>
        <v>NIE</v>
      </c>
    </row>
    <row r="1572" customFormat="false" ht="15" hidden="false" customHeight="false" outlineLevel="0" collapsed="false">
      <c r="A1572" s="5" t="s">
        <v>420</v>
      </c>
      <c r="B1572" s="5" t="s">
        <v>81</v>
      </c>
      <c r="C1572" s="5" t="n">
        <v>2020</v>
      </c>
      <c r="D1572" s="5" t="s">
        <v>77</v>
      </c>
      <c r="E1572" s="5" t="s">
        <v>75</v>
      </c>
      <c r="F1572" s="5" t="s">
        <v>39</v>
      </c>
      <c r="G1572" s="6" t="n">
        <v>438</v>
      </c>
      <c r="H1572" s="6" t="n">
        <v>121</v>
      </c>
      <c r="I1572" s="7" t="n">
        <f aca="false">(G1572-H1572)/G1572</f>
        <v>0.723744292237443</v>
      </c>
      <c r="J1572" s="15" t="n">
        <v>0.4875</v>
      </c>
      <c r="K1572" s="11" t="str">
        <f aca="false">IF(I1572&lt;J1572,"TAK","NIE")</f>
        <v>NIE</v>
      </c>
    </row>
    <row r="1573" customFormat="false" ht="15" hidden="false" customHeight="false" outlineLevel="0" collapsed="false">
      <c r="A1573" s="5" t="s">
        <v>421</v>
      </c>
      <c r="B1573" s="5" t="s">
        <v>81</v>
      </c>
      <c r="C1573" s="5" t="n">
        <v>2020</v>
      </c>
      <c r="D1573" s="5" t="s">
        <v>77</v>
      </c>
      <c r="E1573" s="5" t="s">
        <v>75</v>
      </c>
      <c r="F1573" s="5" t="s">
        <v>39</v>
      </c>
      <c r="G1573" s="6" t="n">
        <v>438</v>
      </c>
      <c r="H1573" s="6" t="n">
        <v>55</v>
      </c>
      <c r="I1573" s="7" t="n">
        <f aca="false">(G1573-H1573)/G1573</f>
        <v>0.874429223744292</v>
      </c>
      <c r="J1573" s="15" t="n">
        <v>0.4875</v>
      </c>
      <c r="K1573" s="11" t="str">
        <f aca="false">IF(I1573&lt;J1573,"TAK","NIE")</f>
        <v>NIE</v>
      </c>
    </row>
    <row r="1574" customFormat="false" ht="15" hidden="false" customHeight="false" outlineLevel="0" collapsed="false">
      <c r="A1574" s="5" t="s">
        <v>422</v>
      </c>
      <c r="B1574" s="5" t="s">
        <v>81</v>
      </c>
      <c r="C1574" s="5" t="n">
        <v>2020</v>
      </c>
      <c r="D1574" s="5" t="s">
        <v>77</v>
      </c>
      <c r="E1574" s="5" t="s">
        <v>75</v>
      </c>
      <c r="F1574" s="5" t="s">
        <v>39</v>
      </c>
      <c r="G1574" s="6" t="n">
        <v>438</v>
      </c>
      <c r="H1574" s="6" t="n">
        <v>70</v>
      </c>
      <c r="I1574" s="7" t="n">
        <f aca="false">(G1574-H1574)/G1574</f>
        <v>0.840182648401826</v>
      </c>
      <c r="J1574" s="15" t="n">
        <v>0.4875</v>
      </c>
      <c r="K1574" s="11" t="str">
        <f aca="false">IF(I1574&lt;J1574,"TAK","NIE")</f>
        <v>NIE</v>
      </c>
    </row>
    <row r="1575" customFormat="false" ht="15" hidden="false" customHeight="false" outlineLevel="0" collapsed="false">
      <c r="A1575" s="5" t="s">
        <v>423</v>
      </c>
      <c r="B1575" s="5" t="s">
        <v>81</v>
      </c>
      <c r="C1575" s="5" t="n">
        <v>2020</v>
      </c>
      <c r="D1575" s="5" t="s">
        <v>77</v>
      </c>
      <c r="E1575" s="5" t="s">
        <v>75</v>
      </c>
      <c r="F1575" s="5" t="s">
        <v>39</v>
      </c>
      <c r="G1575" s="6" t="n">
        <v>438</v>
      </c>
      <c r="H1575" s="6" t="n">
        <v>120</v>
      </c>
      <c r="I1575" s="7" t="n">
        <f aca="false">(G1575-H1575)/G1575</f>
        <v>0.726027397260274</v>
      </c>
      <c r="J1575" s="15" t="n">
        <v>0.4875</v>
      </c>
      <c r="K1575" s="11" t="str">
        <f aca="false">IF(I1575&lt;J1575,"TAK","NIE")</f>
        <v>NIE</v>
      </c>
    </row>
    <row r="1576" customFormat="false" ht="15" hidden="false" customHeight="false" outlineLevel="0" collapsed="false">
      <c r="A1576" s="5" t="s">
        <v>424</v>
      </c>
      <c r="B1576" s="5" t="s">
        <v>81</v>
      </c>
      <c r="C1576" s="5" t="n">
        <v>2020</v>
      </c>
      <c r="D1576" s="5" t="s">
        <v>77</v>
      </c>
      <c r="E1576" s="5" t="s">
        <v>75</v>
      </c>
      <c r="F1576" s="5" t="s">
        <v>39</v>
      </c>
      <c r="G1576" s="6" t="n">
        <v>438</v>
      </c>
      <c r="H1576" s="6" t="n">
        <v>83</v>
      </c>
      <c r="I1576" s="7" t="n">
        <f aca="false">(G1576-H1576)/G1576</f>
        <v>0.810502283105023</v>
      </c>
      <c r="J1576" s="15" t="n">
        <v>0.4875</v>
      </c>
      <c r="K1576" s="11" t="str">
        <f aca="false">IF(I1576&lt;J1576,"TAK","NIE")</f>
        <v>NIE</v>
      </c>
    </row>
    <row r="1577" customFormat="false" ht="15" hidden="false" customHeight="false" outlineLevel="0" collapsed="false">
      <c r="A1577" s="5" t="s">
        <v>425</v>
      </c>
      <c r="B1577" s="5" t="s">
        <v>81</v>
      </c>
      <c r="C1577" s="5" t="n">
        <v>2020</v>
      </c>
      <c r="D1577" s="5" t="s">
        <v>77</v>
      </c>
      <c r="E1577" s="5" t="s">
        <v>75</v>
      </c>
      <c r="F1577" s="5" t="s">
        <v>39</v>
      </c>
      <c r="G1577" s="6" t="n">
        <v>438</v>
      </c>
      <c r="H1577" s="6" t="n">
        <v>93</v>
      </c>
      <c r="I1577" s="7" t="n">
        <f aca="false">(G1577-H1577)/G1577</f>
        <v>0.787671232876712</v>
      </c>
      <c r="J1577" s="15" t="n">
        <v>0.4875</v>
      </c>
      <c r="K1577" s="11" t="str">
        <f aca="false">IF(I1577&lt;J1577,"TAK","NIE")</f>
        <v>NIE</v>
      </c>
    </row>
    <row r="1578" customFormat="false" ht="15" hidden="false" customHeight="false" outlineLevel="0" collapsed="false">
      <c r="A1578" s="5" t="s">
        <v>426</v>
      </c>
      <c r="B1578" s="5" t="s">
        <v>81</v>
      </c>
      <c r="C1578" s="5" t="n">
        <v>2020</v>
      </c>
      <c r="D1578" s="5" t="s">
        <v>77</v>
      </c>
      <c r="E1578" s="5" t="s">
        <v>75</v>
      </c>
      <c r="F1578" s="5" t="s">
        <v>39</v>
      </c>
      <c r="G1578" s="6" t="n">
        <v>438</v>
      </c>
      <c r="H1578" s="6" t="n">
        <v>31</v>
      </c>
      <c r="I1578" s="7" t="n">
        <f aca="false">(G1578-H1578)/G1578</f>
        <v>0.929223744292237</v>
      </c>
      <c r="J1578" s="15" t="n">
        <v>0.4875</v>
      </c>
      <c r="K1578" s="11" t="str">
        <f aca="false">IF(I1578&lt;J1578,"TAK","NIE")</f>
        <v>NIE</v>
      </c>
    </row>
    <row r="1579" customFormat="false" ht="15" hidden="false" customHeight="false" outlineLevel="0" collapsed="false">
      <c r="A1579" s="5" t="s">
        <v>427</v>
      </c>
      <c r="B1579" s="5" t="s">
        <v>81</v>
      </c>
      <c r="C1579" s="5" t="n">
        <v>2020</v>
      </c>
      <c r="D1579" s="5" t="s">
        <v>77</v>
      </c>
      <c r="E1579" s="5" t="s">
        <v>75</v>
      </c>
      <c r="F1579" s="5" t="s">
        <v>39</v>
      </c>
      <c r="G1579" s="6" t="n">
        <v>438</v>
      </c>
      <c r="H1579" s="6" t="n">
        <v>132</v>
      </c>
      <c r="I1579" s="7" t="n">
        <f aca="false">(G1579-H1579)/G1579</f>
        <v>0.698630136986301</v>
      </c>
      <c r="J1579" s="15" t="n">
        <v>0.4875</v>
      </c>
      <c r="K1579" s="11" t="str">
        <f aca="false">IF(I1579&lt;J1579,"TAK","NIE")</f>
        <v>NIE</v>
      </c>
    </row>
    <row r="1580" customFormat="false" ht="15" hidden="false" customHeight="false" outlineLevel="0" collapsed="false">
      <c r="A1580" s="5" t="s">
        <v>428</v>
      </c>
      <c r="B1580" s="5" t="s">
        <v>81</v>
      </c>
      <c r="C1580" s="5" t="n">
        <v>2020</v>
      </c>
      <c r="D1580" s="5" t="s">
        <v>77</v>
      </c>
      <c r="E1580" s="5" t="s">
        <v>75</v>
      </c>
      <c r="F1580" s="5" t="s">
        <v>39</v>
      </c>
      <c r="G1580" s="6" t="n">
        <v>438</v>
      </c>
      <c r="H1580" s="6" t="n">
        <v>159</v>
      </c>
      <c r="I1580" s="7" t="n">
        <f aca="false">(G1580-H1580)/G1580</f>
        <v>0.636986301369863</v>
      </c>
      <c r="J1580" s="15" t="n">
        <v>0.4875</v>
      </c>
      <c r="K1580" s="11" t="str">
        <f aca="false">IF(I1580&lt;J1580,"TAK","NIE")</f>
        <v>NIE</v>
      </c>
    </row>
    <row r="1581" customFormat="false" ht="15" hidden="false" customHeight="false" outlineLevel="0" collapsed="false">
      <c r="A1581" s="5" t="s">
        <v>429</v>
      </c>
      <c r="B1581" s="5" t="s">
        <v>81</v>
      </c>
      <c r="C1581" s="5" t="n">
        <v>2020</v>
      </c>
      <c r="D1581" s="5" t="s">
        <v>77</v>
      </c>
      <c r="E1581" s="5" t="s">
        <v>75</v>
      </c>
      <c r="F1581" s="5" t="s">
        <v>39</v>
      </c>
      <c r="G1581" s="6" t="n">
        <v>438</v>
      </c>
      <c r="H1581" s="6" t="n">
        <v>412</v>
      </c>
      <c r="I1581" s="7" t="n">
        <f aca="false">(G1581-H1581)/G1581</f>
        <v>0.0593607305936073</v>
      </c>
      <c r="J1581" s="15" t="n">
        <v>0.4875</v>
      </c>
      <c r="K1581" s="11" t="str">
        <f aca="false">IF(I1581&lt;J1581,"TAK","NIE")</f>
        <v>TAK</v>
      </c>
    </row>
    <row r="1582" customFormat="false" ht="15" hidden="false" customHeight="false" outlineLevel="0" collapsed="false">
      <c r="A1582" s="5" t="s">
        <v>417</v>
      </c>
      <c r="B1582" s="5" t="s">
        <v>81</v>
      </c>
      <c r="C1582" s="5" t="n">
        <v>2020</v>
      </c>
      <c r="D1582" s="5" t="s">
        <v>77</v>
      </c>
      <c r="E1582" s="5" t="s">
        <v>75</v>
      </c>
      <c r="F1582" s="5" t="s">
        <v>40</v>
      </c>
      <c r="G1582" s="6" t="n">
        <v>324</v>
      </c>
      <c r="H1582" s="6" t="n">
        <v>71</v>
      </c>
      <c r="I1582" s="7" t="n">
        <f aca="false">(G1582-H1582)/G1582</f>
        <v>0.780864197530864</v>
      </c>
      <c r="J1582" s="15" t="n">
        <v>0.4095</v>
      </c>
      <c r="K1582" s="11" t="str">
        <f aca="false">IF(I1582&lt;J1582,"TAK","NIE")</f>
        <v>NIE</v>
      </c>
    </row>
    <row r="1583" customFormat="false" ht="15" hidden="false" customHeight="false" outlineLevel="0" collapsed="false">
      <c r="A1583" s="5" t="s">
        <v>418</v>
      </c>
      <c r="B1583" s="5" t="s">
        <v>81</v>
      </c>
      <c r="C1583" s="5" t="n">
        <v>2020</v>
      </c>
      <c r="D1583" s="5" t="s">
        <v>77</v>
      </c>
      <c r="E1583" s="5" t="s">
        <v>75</v>
      </c>
      <c r="F1583" s="5" t="s">
        <v>40</v>
      </c>
      <c r="G1583" s="6" t="n">
        <v>346</v>
      </c>
      <c r="H1583" s="6" t="n">
        <v>264</v>
      </c>
      <c r="I1583" s="7" t="n">
        <f aca="false">(G1583-H1583)/G1583</f>
        <v>0.236994219653179</v>
      </c>
      <c r="J1583" s="15" t="n">
        <v>0.4095</v>
      </c>
      <c r="K1583" s="11" t="str">
        <f aca="false">IF(I1583&lt;J1583,"TAK","NIE")</f>
        <v>TAK</v>
      </c>
    </row>
    <row r="1584" customFormat="false" ht="15" hidden="false" customHeight="false" outlineLevel="0" collapsed="false">
      <c r="A1584" s="5" t="s">
        <v>419</v>
      </c>
      <c r="B1584" s="5" t="s">
        <v>81</v>
      </c>
      <c r="C1584" s="5" t="n">
        <v>2020</v>
      </c>
      <c r="D1584" s="5" t="s">
        <v>77</v>
      </c>
      <c r="E1584" s="5" t="s">
        <v>75</v>
      </c>
      <c r="F1584" s="5" t="s">
        <v>40</v>
      </c>
      <c r="G1584" s="6" t="n">
        <v>346</v>
      </c>
      <c r="H1584" s="6" t="n">
        <v>92</v>
      </c>
      <c r="I1584" s="7" t="n">
        <f aca="false">(G1584-H1584)/G1584</f>
        <v>0.734104046242775</v>
      </c>
      <c r="J1584" s="15" t="n">
        <v>0.4095</v>
      </c>
      <c r="K1584" s="11" t="str">
        <f aca="false">IF(I1584&lt;J1584,"TAK","NIE")</f>
        <v>NIE</v>
      </c>
    </row>
    <row r="1585" customFormat="false" ht="15" hidden="false" customHeight="false" outlineLevel="0" collapsed="false">
      <c r="A1585" s="5" t="s">
        <v>420</v>
      </c>
      <c r="B1585" s="5" t="s">
        <v>81</v>
      </c>
      <c r="C1585" s="5" t="n">
        <v>2020</v>
      </c>
      <c r="D1585" s="5" t="s">
        <v>77</v>
      </c>
      <c r="E1585" s="5" t="s">
        <v>75</v>
      </c>
      <c r="F1585" s="5" t="s">
        <v>40</v>
      </c>
      <c r="G1585" s="6" t="n">
        <v>346</v>
      </c>
      <c r="H1585" s="6" t="n">
        <v>129</v>
      </c>
      <c r="I1585" s="7" t="n">
        <f aca="false">(G1585-H1585)/G1585</f>
        <v>0.627167630057804</v>
      </c>
      <c r="J1585" s="15" t="n">
        <v>0.4095</v>
      </c>
      <c r="K1585" s="11" t="str">
        <f aca="false">IF(I1585&lt;J1585,"TAK","NIE")</f>
        <v>NIE</v>
      </c>
    </row>
    <row r="1586" customFormat="false" ht="15" hidden="false" customHeight="false" outlineLevel="0" collapsed="false">
      <c r="A1586" s="5" t="s">
        <v>421</v>
      </c>
      <c r="B1586" s="5" t="s">
        <v>81</v>
      </c>
      <c r="C1586" s="5" t="n">
        <v>2020</v>
      </c>
      <c r="D1586" s="5" t="s">
        <v>77</v>
      </c>
      <c r="E1586" s="5" t="s">
        <v>75</v>
      </c>
      <c r="F1586" s="5" t="s">
        <v>40</v>
      </c>
      <c r="G1586" s="6" t="n">
        <v>346</v>
      </c>
      <c r="H1586" s="6" t="n">
        <v>79</v>
      </c>
      <c r="I1586" s="7" t="n">
        <f aca="false">(G1586-H1586)/G1586</f>
        <v>0.771676300578035</v>
      </c>
      <c r="J1586" s="15" t="n">
        <v>0.4095</v>
      </c>
      <c r="K1586" s="11" t="str">
        <f aca="false">IF(I1586&lt;J1586,"TAK","NIE")</f>
        <v>NIE</v>
      </c>
    </row>
    <row r="1587" customFormat="false" ht="15" hidden="false" customHeight="false" outlineLevel="0" collapsed="false">
      <c r="A1587" s="5" t="s">
        <v>422</v>
      </c>
      <c r="B1587" s="5" t="s">
        <v>81</v>
      </c>
      <c r="C1587" s="5" t="n">
        <v>2020</v>
      </c>
      <c r="D1587" s="5" t="s">
        <v>77</v>
      </c>
      <c r="E1587" s="5" t="s">
        <v>75</v>
      </c>
      <c r="F1587" s="5" t="s">
        <v>40</v>
      </c>
      <c r="G1587" s="6" t="n">
        <v>346</v>
      </c>
      <c r="H1587" s="6" t="n">
        <v>79</v>
      </c>
      <c r="I1587" s="7" t="n">
        <f aca="false">(G1587-H1587)/G1587</f>
        <v>0.771676300578035</v>
      </c>
      <c r="J1587" s="15" t="n">
        <v>0.4095</v>
      </c>
      <c r="K1587" s="11" t="str">
        <f aca="false">IF(I1587&lt;J1587,"TAK","NIE")</f>
        <v>NIE</v>
      </c>
    </row>
    <row r="1588" customFormat="false" ht="15" hidden="false" customHeight="false" outlineLevel="0" collapsed="false">
      <c r="A1588" s="5" t="s">
        <v>423</v>
      </c>
      <c r="B1588" s="5" t="s">
        <v>81</v>
      </c>
      <c r="C1588" s="5" t="n">
        <v>2020</v>
      </c>
      <c r="D1588" s="5" t="s">
        <v>77</v>
      </c>
      <c r="E1588" s="5" t="s">
        <v>75</v>
      </c>
      <c r="F1588" s="5" t="s">
        <v>40</v>
      </c>
      <c r="G1588" s="6" t="n">
        <v>346</v>
      </c>
      <c r="H1588" s="6" t="n">
        <v>96</v>
      </c>
      <c r="I1588" s="7" t="n">
        <f aca="false">(G1588-H1588)/G1588</f>
        <v>0.722543352601156</v>
      </c>
      <c r="J1588" s="15" t="n">
        <v>0.4095</v>
      </c>
      <c r="K1588" s="11" t="str">
        <f aca="false">IF(I1588&lt;J1588,"TAK","NIE")</f>
        <v>NIE</v>
      </c>
    </row>
    <row r="1589" customFormat="false" ht="15" hidden="false" customHeight="false" outlineLevel="0" collapsed="false">
      <c r="A1589" s="5" t="s">
        <v>424</v>
      </c>
      <c r="B1589" s="5" t="s">
        <v>81</v>
      </c>
      <c r="C1589" s="5" t="n">
        <v>2020</v>
      </c>
      <c r="D1589" s="5" t="s">
        <v>77</v>
      </c>
      <c r="E1589" s="5" t="s">
        <v>75</v>
      </c>
      <c r="F1589" s="5" t="s">
        <v>40</v>
      </c>
      <c r="G1589" s="6" t="n">
        <v>346</v>
      </c>
      <c r="H1589" s="6" t="n">
        <v>62</v>
      </c>
      <c r="I1589" s="7" t="n">
        <f aca="false">(G1589-H1589)/G1589</f>
        <v>0.820809248554913</v>
      </c>
      <c r="J1589" s="15" t="n">
        <v>0.4095</v>
      </c>
      <c r="K1589" s="11" t="str">
        <f aca="false">IF(I1589&lt;J1589,"TAK","NIE")</f>
        <v>NIE</v>
      </c>
    </row>
    <row r="1590" customFormat="false" ht="15" hidden="false" customHeight="false" outlineLevel="0" collapsed="false">
      <c r="A1590" s="5" t="s">
        <v>425</v>
      </c>
      <c r="B1590" s="5" t="s">
        <v>81</v>
      </c>
      <c r="C1590" s="5" t="n">
        <v>2020</v>
      </c>
      <c r="D1590" s="5" t="s">
        <v>77</v>
      </c>
      <c r="E1590" s="5" t="s">
        <v>75</v>
      </c>
      <c r="F1590" s="5" t="s">
        <v>40</v>
      </c>
      <c r="G1590" s="6" t="n">
        <v>346</v>
      </c>
      <c r="H1590" s="6" t="n">
        <v>121</v>
      </c>
      <c r="I1590" s="7" t="n">
        <f aca="false">(G1590-H1590)/G1590</f>
        <v>0.650289017341041</v>
      </c>
      <c r="J1590" s="15" t="n">
        <v>0.4095</v>
      </c>
      <c r="K1590" s="11" t="str">
        <f aca="false">IF(I1590&lt;J1590,"TAK","NIE")</f>
        <v>NIE</v>
      </c>
    </row>
    <row r="1591" customFormat="false" ht="15" hidden="false" customHeight="false" outlineLevel="0" collapsed="false">
      <c r="A1591" s="5" t="s">
        <v>426</v>
      </c>
      <c r="B1591" s="5" t="s">
        <v>81</v>
      </c>
      <c r="C1591" s="5" t="n">
        <v>2020</v>
      </c>
      <c r="D1591" s="5" t="s">
        <v>77</v>
      </c>
      <c r="E1591" s="5" t="s">
        <v>75</v>
      </c>
      <c r="F1591" s="5" t="s">
        <v>40</v>
      </c>
      <c r="G1591" s="6" t="n">
        <v>346</v>
      </c>
      <c r="H1591" s="6" t="n">
        <v>52</v>
      </c>
      <c r="I1591" s="7" t="n">
        <f aca="false">(G1591-H1591)/G1591</f>
        <v>0.84971098265896</v>
      </c>
      <c r="J1591" s="15" t="n">
        <v>0.4095</v>
      </c>
      <c r="K1591" s="11" t="str">
        <f aca="false">IF(I1591&lt;J1591,"TAK","NIE")</f>
        <v>NIE</v>
      </c>
    </row>
    <row r="1592" customFormat="false" ht="15" hidden="false" customHeight="false" outlineLevel="0" collapsed="false">
      <c r="A1592" s="5" t="s">
        <v>427</v>
      </c>
      <c r="B1592" s="5" t="s">
        <v>81</v>
      </c>
      <c r="C1592" s="5" t="n">
        <v>2020</v>
      </c>
      <c r="D1592" s="5" t="s">
        <v>77</v>
      </c>
      <c r="E1592" s="5" t="s">
        <v>75</v>
      </c>
      <c r="F1592" s="5" t="s">
        <v>40</v>
      </c>
      <c r="G1592" s="6" t="n">
        <v>346</v>
      </c>
      <c r="H1592" s="6" t="n">
        <v>123</v>
      </c>
      <c r="I1592" s="7" t="n">
        <f aca="false">(G1592-H1592)/G1592</f>
        <v>0.644508670520231</v>
      </c>
      <c r="J1592" s="15" t="n">
        <v>0.4095</v>
      </c>
      <c r="K1592" s="11" t="str">
        <f aca="false">IF(I1592&lt;J1592,"TAK","NIE")</f>
        <v>NIE</v>
      </c>
    </row>
    <row r="1593" customFormat="false" ht="15" hidden="false" customHeight="false" outlineLevel="0" collapsed="false">
      <c r="A1593" s="5" t="s">
        <v>428</v>
      </c>
      <c r="B1593" s="5" t="s">
        <v>81</v>
      </c>
      <c r="C1593" s="5" t="n">
        <v>2020</v>
      </c>
      <c r="D1593" s="5" t="s">
        <v>77</v>
      </c>
      <c r="E1593" s="5" t="s">
        <v>75</v>
      </c>
      <c r="F1593" s="5" t="s">
        <v>40</v>
      </c>
      <c r="G1593" s="6" t="n">
        <v>346</v>
      </c>
      <c r="H1593" s="6" t="n">
        <v>145</v>
      </c>
      <c r="I1593" s="7" t="n">
        <f aca="false">(G1593-H1593)/G1593</f>
        <v>0.580924855491329</v>
      </c>
      <c r="J1593" s="15" t="n">
        <v>0.4095</v>
      </c>
      <c r="K1593" s="11" t="str">
        <f aca="false">IF(I1593&lt;J1593,"TAK","NIE")</f>
        <v>NIE</v>
      </c>
    </row>
    <row r="1594" customFormat="false" ht="15" hidden="false" customHeight="false" outlineLevel="0" collapsed="false">
      <c r="A1594" s="5" t="s">
        <v>429</v>
      </c>
      <c r="B1594" s="5" t="s">
        <v>81</v>
      </c>
      <c r="C1594" s="5" t="n">
        <v>2020</v>
      </c>
      <c r="D1594" s="5" t="s">
        <v>77</v>
      </c>
      <c r="E1594" s="5" t="s">
        <v>75</v>
      </c>
      <c r="F1594" s="5" t="s">
        <v>40</v>
      </c>
      <c r="G1594" s="6" t="n">
        <v>346</v>
      </c>
      <c r="H1594" s="6" t="n">
        <v>338</v>
      </c>
      <c r="I1594" s="7" t="n">
        <f aca="false">(G1594-H1594)/G1594</f>
        <v>0.023121387283237</v>
      </c>
      <c r="J1594" s="15" t="n">
        <v>0.4095</v>
      </c>
      <c r="K1594" s="11" t="str">
        <f aca="false">IF(I1594&lt;J1594,"TAK","NIE")</f>
        <v>TAK</v>
      </c>
    </row>
    <row r="1595" customFormat="false" ht="15" hidden="false" customHeight="false" outlineLevel="0" collapsed="false">
      <c r="A1595" s="5" t="s">
        <v>430</v>
      </c>
      <c r="B1595" s="5" t="s">
        <v>82</v>
      </c>
      <c r="C1595" s="5" t="n">
        <v>2020</v>
      </c>
      <c r="D1595" s="5" t="s">
        <v>83</v>
      </c>
      <c r="E1595" s="5" t="s">
        <v>38</v>
      </c>
      <c r="F1595" s="5" t="s">
        <v>39</v>
      </c>
      <c r="G1595" s="6" t="n">
        <v>567</v>
      </c>
      <c r="H1595" s="6" t="n">
        <v>157</v>
      </c>
      <c r="I1595" s="7" t="n">
        <f aca="false">(G1595-H1595)/G1595</f>
        <v>0.72310405643739</v>
      </c>
      <c r="J1595" s="15" t="n">
        <v>0.4965</v>
      </c>
      <c r="K1595" s="11" t="str">
        <f aca="false">IF(I1595&lt;J1595,"TAK","NIE")</f>
        <v>NIE</v>
      </c>
    </row>
    <row r="1596" customFormat="false" ht="15" hidden="false" customHeight="false" outlineLevel="0" collapsed="false">
      <c r="A1596" s="5" t="s">
        <v>431</v>
      </c>
      <c r="B1596" s="5" t="s">
        <v>82</v>
      </c>
      <c r="C1596" s="5" t="n">
        <v>2020</v>
      </c>
      <c r="D1596" s="5" t="s">
        <v>83</v>
      </c>
      <c r="E1596" s="5" t="s">
        <v>38</v>
      </c>
      <c r="F1596" s="5" t="s">
        <v>39</v>
      </c>
      <c r="G1596" s="6" t="n">
        <v>567</v>
      </c>
      <c r="H1596" s="6" t="n">
        <v>84</v>
      </c>
      <c r="I1596" s="7" t="n">
        <f aca="false">(G1596-H1596)/G1596</f>
        <v>0.851851851851852</v>
      </c>
      <c r="J1596" s="15" t="n">
        <v>0.4965</v>
      </c>
      <c r="K1596" s="11" t="str">
        <f aca="false">IF(I1596&lt;J1596,"TAK","NIE")</f>
        <v>NIE</v>
      </c>
    </row>
    <row r="1597" customFormat="false" ht="15" hidden="false" customHeight="false" outlineLevel="0" collapsed="false">
      <c r="A1597" s="5" t="s">
        <v>432</v>
      </c>
      <c r="B1597" s="5" t="s">
        <v>82</v>
      </c>
      <c r="C1597" s="5" t="n">
        <v>2020</v>
      </c>
      <c r="D1597" s="5" t="s">
        <v>83</v>
      </c>
      <c r="E1597" s="5" t="s">
        <v>38</v>
      </c>
      <c r="F1597" s="5" t="s">
        <v>39</v>
      </c>
      <c r="G1597" s="6" t="n">
        <v>567</v>
      </c>
      <c r="H1597" s="6" t="n">
        <v>63</v>
      </c>
      <c r="I1597" s="7" t="n">
        <f aca="false">(G1597-H1597)/G1597</f>
        <v>0.888888888888889</v>
      </c>
      <c r="J1597" s="15" t="n">
        <v>0.4965</v>
      </c>
      <c r="K1597" s="11" t="str">
        <f aca="false">IF(I1597&lt;J1597,"TAK","NIE")</f>
        <v>NIE</v>
      </c>
    </row>
    <row r="1598" customFormat="false" ht="15" hidden="false" customHeight="false" outlineLevel="0" collapsed="false">
      <c r="A1598" s="5" t="s">
        <v>433</v>
      </c>
      <c r="B1598" s="5" t="s">
        <v>82</v>
      </c>
      <c r="C1598" s="5" t="n">
        <v>2020</v>
      </c>
      <c r="D1598" s="5" t="s">
        <v>83</v>
      </c>
      <c r="E1598" s="5" t="s">
        <v>38</v>
      </c>
      <c r="F1598" s="5" t="s">
        <v>39</v>
      </c>
      <c r="G1598" s="6" t="n">
        <v>567</v>
      </c>
      <c r="H1598" s="6" t="n">
        <v>65</v>
      </c>
      <c r="I1598" s="7" t="n">
        <f aca="false">(G1598-H1598)/G1598</f>
        <v>0.885361552028219</v>
      </c>
      <c r="J1598" s="15" t="n">
        <v>0.4965</v>
      </c>
      <c r="K1598" s="11" t="str">
        <f aca="false">IF(I1598&lt;J1598,"TAK","NIE")</f>
        <v>NIE</v>
      </c>
    </row>
    <row r="1599" customFormat="false" ht="15" hidden="false" customHeight="false" outlineLevel="0" collapsed="false">
      <c r="A1599" s="5" t="s">
        <v>434</v>
      </c>
      <c r="B1599" s="5" t="s">
        <v>82</v>
      </c>
      <c r="C1599" s="5" t="n">
        <v>2020</v>
      </c>
      <c r="D1599" s="5" t="s">
        <v>83</v>
      </c>
      <c r="E1599" s="5" t="s">
        <v>38</v>
      </c>
      <c r="F1599" s="5" t="s">
        <v>39</v>
      </c>
      <c r="G1599" s="6" t="n">
        <v>567</v>
      </c>
      <c r="H1599" s="6" t="n">
        <v>162</v>
      </c>
      <c r="I1599" s="7" t="n">
        <f aca="false">(G1599-H1599)/G1599</f>
        <v>0.714285714285714</v>
      </c>
      <c r="J1599" s="15" t="n">
        <v>0.4965</v>
      </c>
      <c r="K1599" s="11" t="str">
        <f aca="false">IF(I1599&lt;J1599,"TAK","NIE")</f>
        <v>NIE</v>
      </c>
    </row>
    <row r="1600" customFormat="false" ht="15" hidden="false" customHeight="false" outlineLevel="0" collapsed="false">
      <c r="A1600" s="5" t="s">
        <v>435</v>
      </c>
      <c r="B1600" s="5" t="s">
        <v>82</v>
      </c>
      <c r="C1600" s="5" t="n">
        <v>2020</v>
      </c>
      <c r="D1600" s="5" t="s">
        <v>83</v>
      </c>
      <c r="E1600" s="5" t="s">
        <v>38</v>
      </c>
      <c r="F1600" s="5" t="s">
        <v>39</v>
      </c>
      <c r="G1600" s="6" t="n">
        <v>567</v>
      </c>
      <c r="H1600" s="6" t="n">
        <v>89</v>
      </c>
      <c r="I1600" s="7" t="n">
        <f aca="false">(G1600-H1600)/G1600</f>
        <v>0.843033509700176</v>
      </c>
      <c r="J1600" s="15" t="n">
        <v>0.4965</v>
      </c>
      <c r="K1600" s="11" t="str">
        <f aca="false">IF(I1600&lt;J1600,"TAK","NIE")</f>
        <v>NIE</v>
      </c>
    </row>
    <row r="1601" customFormat="false" ht="15" hidden="false" customHeight="false" outlineLevel="0" collapsed="false">
      <c r="A1601" s="5" t="s">
        <v>436</v>
      </c>
      <c r="B1601" s="5" t="s">
        <v>82</v>
      </c>
      <c r="C1601" s="5" t="n">
        <v>2020</v>
      </c>
      <c r="D1601" s="5" t="s">
        <v>83</v>
      </c>
      <c r="E1601" s="5" t="s">
        <v>38</v>
      </c>
      <c r="F1601" s="5" t="s">
        <v>39</v>
      </c>
      <c r="G1601" s="6" t="n">
        <v>567</v>
      </c>
      <c r="H1601" s="6" t="n">
        <v>116</v>
      </c>
      <c r="I1601" s="7" t="n">
        <f aca="false">(G1601-H1601)/G1601</f>
        <v>0.795414462081129</v>
      </c>
      <c r="J1601" s="15" t="n">
        <v>0.4965</v>
      </c>
      <c r="K1601" s="11" t="str">
        <f aca="false">IF(I1601&lt;J1601,"TAK","NIE")</f>
        <v>NIE</v>
      </c>
    </row>
    <row r="1602" customFormat="false" ht="15" hidden="false" customHeight="false" outlineLevel="0" collapsed="false">
      <c r="A1602" s="5" t="s">
        <v>437</v>
      </c>
      <c r="B1602" s="5" t="s">
        <v>82</v>
      </c>
      <c r="C1602" s="5" t="n">
        <v>2020</v>
      </c>
      <c r="D1602" s="5" t="s">
        <v>83</v>
      </c>
      <c r="E1602" s="5" t="s">
        <v>38</v>
      </c>
      <c r="F1602" s="5" t="s">
        <v>39</v>
      </c>
      <c r="G1602" s="6" t="n">
        <v>567</v>
      </c>
      <c r="H1602" s="6" t="n">
        <v>59</v>
      </c>
      <c r="I1602" s="7" t="n">
        <f aca="false">(G1602-H1602)/G1602</f>
        <v>0.895943562610229</v>
      </c>
      <c r="J1602" s="15" t="n">
        <v>0.4965</v>
      </c>
      <c r="K1602" s="11" t="str">
        <f aca="false">IF(I1602&lt;J1602,"TAK","NIE")</f>
        <v>NIE</v>
      </c>
    </row>
    <row r="1603" customFormat="false" ht="15" hidden="false" customHeight="false" outlineLevel="0" collapsed="false">
      <c r="A1603" s="5" t="s">
        <v>438</v>
      </c>
      <c r="B1603" s="5" t="s">
        <v>82</v>
      </c>
      <c r="C1603" s="5" t="n">
        <v>2020</v>
      </c>
      <c r="D1603" s="5" t="s">
        <v>83</v>
      </c>
      <c r="E1603" s="5" t="s">
        <v>38</v>
      </c>
      <c r="F1603" s="5" t="s">
        <v>39</v>
      </c>
      <c r="G1603" s="6" t="n">
        <v>567</v>
      </c>
      <c r="H1603" s="6" t="n">
        <v>0</v>
      </c>
      <c r="I1603" s="7" t="n">
        <f aca="false">(G1603-H1603)/G1603</f>
        <v>1</v>
      </c>
      <c r="J1603" s="15" t="n">
        <v>0.4965</v>
      </c>
      <c r="K1603" s="11" t="str">
        <f aca="false">IF(I1603&lt;J1603,"TAK","NIE")</f>
        <v>NIE</v>
      </c>
    </row>
    <row r="1604" customFormat="false" ht="15" hidden="false" customHeight="false" outlineLevel="0" collapsed="false">
      <c r="A1604" s="5" t="s">
        <v>439</v>
      </c>
      <c r="B1604" s="5" t="s">
        <v>82</v>
      </c>
      <c r="C1604" s="5" t="n">
        <v>2020</v>
      </c>
      <c r="D1604" s="5" t="s">
        <v>83</v>
      </c>
      <c r="E1604" s="5" t="s">
        <v>38</v>
      </c>
      <c r="F1604" s="5" t="s">
        <v>39</v>
      </c>
      <c r="G1604" s="6" t="n">
        <v>567</v>
      </c>
      <c r="H1604" s="6" t="n">
        <v>162</v>
      </c>
      <c r="I1604" s="7" t="n">
        <f aca="false">(G1604-H1604)/G1604</f>
        <v>0.714285714285714</v>
      </c>
      <c r="J1604" s="15" t="n">
        <v>0.4965</v>
      </c>
      <c r="K1604" s="11" t="str">
        <f aca="false">IF(I1604&lt;J1604,"TAK","NIE")</f>
        <v>NIE</v>
      </c>
    </row>
    <row r="1605" customFormat="false" ht="15" hidden="false" customHeight="false" outlineLevel="0" collapsed="false">
      <c r="A1605" s="5" t="s">
        <v>440</v>
      </c>
      <c r="B1605" s="5" t="s">
        <v>82</v>
      </c>
      <c r="C1605" s="5" t="n">
        <v>2020</v>
      </c>
      <c r="D1605" s="5" t="s">
        <v>83</v>
      </c>
      <c r="E1605" s="5" t="s">
        <v>38</v>
      </c>
      <c r="F1605" s="5" t="s">
        <v>39</v>
      </c>
      <c r="G1605" s="6" t="n">
        <v>567</v>
      </c>
      <c r="H1605" s="6" t="n">
        <v>16</v>
      </c>
      <c r="I1605" s="7" t="n">
        <f aca="false">(G1605-H1605)/G1605</f>
        <v>0.971781305114638</v>
      </c>
      <c r="J1605" s="15" t="n">
        <v>0.4965</v>
      </c>
      <c r="K1605" s="11" t="str">
        <f aca="false">IF(I1605&lt;J1605,"TAK","NIE")</f>
        <v>NIE</v>
      </c>
    </row>
    <row r="1606" customFormat="false" ht="15" hidden="false" customHeight="false" outlineLevel="0" collapsed="false">
      <c r="A1606" s="5" t="s">
        <v>441</v>
      </c>
      <c r="B1606" s="5" t="s">
        <v>82</v>
      </c>
      <c r="C1606" s="5" t="n">
        <v>2020</v>
      </c>
      <c r="D1606" s="5" t="s">
        <v>83</v>
      </c>
      <c r="E1606" s="5" t="s">
        <v>38</v>
      </c>
      <c r="F1606" s="5" t="s">
        <v>39</v>
      </c>
      <c r="G1606" s="6" t="n">
        <v>545</v>
      </c>
      <c r="H1606" s="6" t="n">
        <v>0</v>
      </c>
      <c r="I1606" s="7" t="n">
        <f aca="false">(G1606-H1606)/G1606</f>
        <v>1</v>
      </c>
      <c r="J1606" s="15" t="n">
        <v>0.4965</v>
      </c>
      <c r="K1606" s="11" t="str">
        <f aca="false">IF(I1606&lt;J1606,"TAK","NIE")</f>
        <v>NIE</v>
      </c>
    </row>
    <row r="1607" customFormat="false" ht="15" hidden="false" customHeight="false" outlineLevel="0" collapsed="false">
      <c r="A1607" s="5" t="s">
        <v>442</v>
      </c>
      <c r="B1607" s="5" t="s">
        <v>82</v>
      </c>
      <c r="C1607" s="5" t="n">
        <v>2020</v>
      </c>
      <c r="D1607" s="5" t="s">
        <v>83</v>
      </c>
      <c r="E1607" s="5" t="s">
        <v>38</v>
      </c>
      <c r="F1607" s="5" t="s">
        <v>39</v>
      </c>
      <c r="G1607" s="6" t="n">
        <v>567</v>
      </c>
      <c r="H1607" s="6" t="n">
        <v>95</v>
      </c>
      <c r="I1607" s="7" t="n">
        <f aca="false">(G1607-H1607)/G1607</f>
        <v>0.832451499118166</v>
      </c>
      <c r="J1607" s="15" t="n">
        <v>0.4965</v>
      </c>
      <c r="K1607" s="11" t="str">
        <f aca="false">IF(I1607&lt;J1607,"TAK","NIE")</f>
        <v>NIE</v>
      </c>
    </row>
    <row r="1608" customFormat="false" ht="15" hidden="false" customHeight="false" outlineLevel="0" collapsed="false">
      <c r="A1608" s="5" t="s">
        <v>443</v>
      </c>
      <c r="B1608" s="5" t="s">
        <v>82</v>
      </c>
      <c r="C1608" s="5" t="n">
        <v>2020</v>
      </c>
      <c r="D1608" s="5" t="s">
        <v>83</v>
      </c>
      <c r="E1608" s="5" t="s">
        <v>38</v>
      </c>
      <c r="F1608" s="5" t="s">
        <v>39</v>
      </c>
      <c r="G1608" s="6" t="n">
        <v>554</v>
      </c>
      <c r="H1608" s="6" t="n">
        <v>161</v>
      </c>
      <c r="I1608" s="7" t="n">
        <f aca="false">(G1608-H1608)/G1608</f>
        <v>0.709386281588448</v>
      </c>
      <c r="J1608" s="15" t="n">
        <v>0.4965</v>
      </c>
      <c r="K1608" s="11" t="str">
        <f aca="false">IF(I1608&lt;J1608,"TAK","NIE")</f>
        <v>NIE</v>
      </c>
    </row>
    <row r="1609" customFormat="false" ht="15" hidden="false" customHeight="false" outlineLevel="0" collapsed="false">
      <c r="A1609" s="5" t="s">
        <v>444</v>
      </c>
      <c r="B1609" s="5" t="s">
        <v>82</v>
      </c>
      <c r="C1609" s="5" t="n">
        <v>2020</v>
      </c>
      <c r="D1609" s="5" t="s">
        <v>83</v>
      </c>
      <c r="E1609" s="5" t="s">
        <v>38</v>
      </c>
      <c r="F1609" s="5" t="s">
        <v>39</v>
      </c>
      <c r="G1609" s="6" t="n">
        <v>567</v>
      </c>
      <c r="H1609" s="6" t="n">
        <v>8</v>
      </c>
      <c r="I1609" s="7" t="n">
        <f aca="false">(G1609-H1609)/G1609</f>
        <v>0.985890652557319</v>
      </c>
      <c r="J1609" s="15" t="n">
        <v>0.4965</v>
      </c>
      <c r="K1609" s="11" t="str">
        <f aca="false">IF(I1609&lt;J1609,"TAK","NIE")</f>
        <v>NIE</v>
      </c>
    </row>
    <row r="1610" customFormat="false" ht="15" hidden="false" customHeight="false" outlineLevel="0" collapsed="false">
      <c r="A1610" s="5" t="s">
        <v>430</v>
      </c>
      <c r="B1610" s="5" t="s">
        <v>82</v>
      </c>
      <c r="C1610" s="5" t="n">
        <v>2020</v>
      </c>
      <c r="D1610" s="5" t="s">
        <v>83</v>
      </c>
      <c r="E1610" s="5" t="s">
        <v>38</v>
      </c>
      <c r="F1610" s="5" t="s">
        <v>40</v>
      </c>
      <c r="G1610" s="6" t="n">
        <v>736</v>
      </c>
      <c r="H1610" s="6" t="n">
        <v>224</v>
      </c>
      <c r="I1610" s="7" t="n">
        <f aca="false">(G1610-H1610)/G1610</f>
        <v>0.695652173913044</v>
      </c>
      <c r="J1610" s="15" t="n">
        <v>0.636</v>
      </c>
      <c r="K1610" s="11" t="str">
        <f aca="false">IF(I1610&lt;J1610,"TAK","NIE")</f>
        <v>NIE</v>
      </c>
    </row>
    <row r="1611" customFormat="false" ht="15" hidden="false" customHeight="false" outlineLevel="0" collapsed="false">
      <c r="A1611" s="5" t="s">
        <v>431</v>
      </c>
      <c r="B1611" s="5" t="s">
        <v>82</v>
      </c>
      <c r="C1611" s="5" t="n">
        <v>2020</v>
      </c>
      <c r="D1611" s="5" t="s">
        <v>83</v>
      </c>
      <c r="E1611" s="5" t="s">
        <v>38</v>
      </c>
      <c r="F1611" s="5" t="s">
        <v>40</v>
      </c>
      <c r="G1611" s="6" t="n">
        <v>736</v>
      </c>
      <c r="H1611" s="6" t="n">
        <v>143</v>
      </c>
      <c r="I1611" s="7" t="n">
        <f aca="false">(G1611-H1611)/G1611</f>
        <v>0.805706521739131</v>
      </c>
      <c r="J1611" s="15" t="n">
        <v>0.636</v>
      </c>
      <c r="K1611" s="11" t="str">
        <f aca="false">IF(I1611&lt;J1611,"TAK","NIE")</f>
        <v>NIE</v>
      </c>
    </row>
    <row r="1612" customFormat="false" ht="15" hidden="false" customHeight="false" outlineLevel="0" collapsed="false">
      <c r="A1612" s="5" t="s">
        <v>432</v>
      </c>
      <c r="B1612" s="5" t="s">
        <v>82</v>
      </c>
      <c r="C1612" s="5" t="n">
        <v>2020</v>
      </c>
      <c r="D1612" s="5" t="s">
        <v>83</v>
      </c>
      <c r="E1612" s="5" t="s">
        <v>38</v>
      </c>
      <c r="F1612" s="5" t="s">
        <v>40</v>
      </c>
      <c r="G1612" s="6" t="n">
        <v>736</v>
      </c>
      <c r="H1612" s="6" t="n">
        <v>108</v>
      </c>
      <c r="I1612" s="7" t="n">
        <f aca="false">(G1612-H1612)/G1612</f>
        <v>0.853260869565217</v>
      </c>
      <c r="J1612" s="15" t="n">
        <v>0.636</v>
      </c>
      <c r="K1612" s="11" t="str">
        <f aca="false">IF(I1612&lt;J1612,"TAK","NIE")</f>
        <v>NIE</v>
      </c>
    </row>
    <row r="1613" customFormat="false" ht="15" hidden="false" customHeight="false" outlineLevel="0" collapsed="false">
      <c r="A1613" s="5" t="s">
        <v>433</v>
      </c>
      <c r="B1613" s="5" t="s">
        <v>82</v>
      </c>
      <c r="C1613" s="5" t="n">
        <v>2020</v>
      </c>
      <c r="D1613" s="5" t="s">
        <v>83</v>
      </c>
      <c r="E1613" s="5" t="s">
        <v>38</v>
      </c>
      <c r="F1613" s="5" t="s">
        <v>40</v>
      </c>
      <c r="G1613" s="6" t="n">
        <v>736</v>
      </c>
      <c r="H1613" s="6" t="n">
        <v>90</v>
      </c>
      <c r="I1613" s="7" t="n">
        <f aca="false">(G1613-H1613)/G1613</f>
        <v>0.877717391304348</v>
      </c>
      <c r="J1613" s="15" t="n">
        <v>0.636</v>
      </c>
      <c r="K1613" s="11" t="str">
        <f aca="false">IF(I1613&lt;J1613,"TAK","NIE")</f>
        <v>NIE</v>
      </c>
    </row>
    <row r="1614" customFormat="false" ht="15" hidden="false" customHeight="false" outlineLevel="0" collapsed="false">
      <c r="A1614" s="5" t="s">
        <v>434</v>
      </c>
      <c r="B1614" s="5" t="s">
        <v>82</v>
      </c>
      <c r="C1614" s="5" t="n">
        <v>2020</v>
      </c>
      <c r="D1614" s="5" t="s">
        <v>83</v>
      </c>
      <c r="E1614" s="5" t="s">
        <v>38</v>
      </c>
      <c r="F1614" s="5" t="s">
        <v>40</v>
      </c>
      <c r="G1614" s="6" t="n">
        <v>736</v>
      </c>
      <c r="H1614" s="6" t="n">
        <v>218</v>
      </c>
      <c r="I1614" s="7" t="n">
        <f aca="false">(G1614-H1614)/G1614</f>
        <v>0.703804347826087</v>
      </c>
      <c r="J1614" s="15" t="n">
        <v>0.636</v>
      </c>
      <c r="K1614" s="11" t="str">
        <f aca="false">IF(I1614&lt;J1614,"TAK","NIE")</f>
        <v>NIE</v>
      </c>
    </row>
    <row r="1615" customFormat="false" ht="15" hidden="false" customHeight="false" outlineLevel="0" collapsed="false">
      <c r="A1615" s="5" t="s">
        <v>435</v>
      </c>
      <c r="B1615" s="5" t="s">
        <v>82</v>
      </c>
      <c r="C1615" s="5" t="n">
        <v>2020</v>
      </c>
      <c r="D1615" s="5" t="s">
        <v>83</v>
      </c>
      <c r="E1615" s="5" t="s">
        <v>38</v>
      </c>
      <c r="F1615" s="5" t="s">
        <v>40</v>
      </c>
      <c r="G1615" s="6" t="n">
        <v>736</v>
      </c>
      <c r="H1615" s="6" t="n">
        <v>69</v>
      </c>
      <c r="I1615" s="7" t="n">
        <f aca="false">(G1615-H1615)/G1615</f>
        <v>0.90625</v>
      </c>
      <c r="J1615" s="15" t="n">
        <v>0.636</v>
      </c>
      <c r="K1615" s="11" t="str">
        <f aca="false">IF(I1615&lt;J1615,"TAK","NIE")</f>
        <v>NIE</v>
      </c>
    </row>
    <row r="1616" customFormat="false" ht="15" hidden="false" customHeight="false" outlineLevel="0" collapsed="false">
      <c r="A1616" s="5" t="s">
        <v>436</v>
      </c>
      <c r="B1616" s="5" t="s">
        <v>82</v>
      </c>
      <c r="C1616" s="5" t="n">
        <v>2020</v>
      </c>
      <c r="D1616" s="5" t="s">
        <v>83</v>
      </c>
      <c r="E1616" s="5" t="s">
        <v>38</v>
      </c>
      <c r="F1616" s="5" t="s">
        <v>40</v>
      </c>
      <c r="G1616" s="6" t="n">
        <v>736</v>
      </c>
      <c r="H1616" s="6" t="n">
        <v>136</v>
      </c>
      <c r="I1616" s="7" t="n">
        <f aca="false">(G1616-H1616)/G1616</f>
        <v>0.815217391304348</v>
      </c>
      <c r="J1616" s="15" t="n">
        <v>0.636</v>
      </c>
      <c r="K1616" s="11" t="str">
        <f aca="false">IF(I1616&lt;J1616,"TAK","NIE")</f>
        <v>NIE</v>
      </c>
    </row>
    <row r="1617" customFormat="false" ht="15" hidden="false" customHeight="false" outlineLevel="0" collapsed="false">
      <c r="A1617" s="5" t="s">
        <v>437</v>
      </c>
      <c r="B1617" s="5" t="s">
        <v>82</v>
      </c>
      <c r="C1617" s="5" t="n">
        <v>2020</v>
      </c>
      <c r="D1617" s="5" t="s">
        <v>83</v>
      </c>
      <c r="E1617" s="5" t="s">
        <v>38</v>
      </c>
      <c r="F1617" s="5" t="s">
        <v>40</v>
      </c>
      <c r="G1617" s="6" t="n">
        <v>736</v>
      </c>
      <c r="H1617" s="6" t="n">
        <v>93</v>
      </c>
      <c r="I1617" s="7" t="n">
        <f aca="false">(G1617-H1617)/G1617</f>
        <v>0.873641304347826</v>
      </c>
      <c r="J1617" s="15" t="n">
        <v>0.636</v>
      </c>
      <c r="K1617" s="11" t="str">
        <f aca="false">IF(I1617&lt;J1617,"TAK","NIE")</f>
        <v>NIE</v>
      </c>
    </row>
    <row r="1618" customFormat="false" ht="15" hidden="false" customHeight="false" outlineLevel="0" collapsed="false">
      <c r="A1618" s="5" t="s">
        <v>438</v>
      </c>
      <c r="B1618" s="5" t="s">
        <v>82</v>
      </c>
      <c r="C1618" s="5" t="n">
        <v>2020</v>
      </c>
      <c r="D1618" s="5" t="s">
        <v>83</v>
      </c>
      <c r="E1618" s="5" t="s">
        <v>38</v>
      </c>
      <c r="F1618" s="5" t="s">
        <v>40</v>
      </c>
      <c r="G1618" s="6" t="n">
        <v>736</v>
      </c>
      <c r="H1618" s="6" t="n">
        <v>28</v>
      </c>
      <c r="I1618" s="7" t="n">
        <f aca="false">(G1618-H1618)/G1618</f>
        <v>0.961956521739131</v>
      </c>
      <c r="J1618" s="15" t="n">
        <v>0.636</v>
      </c>
      <c r="K1618" s="11" t="str">
        <f aca="false">IF(I1618&lt;J1618,"TAK","NIE")</f>
        <v>NIE</v>
      </c>
    </row>
    <row r="1619" customFormat="false" ht="15" hidden="false" customHeight="false" outlineLevel="0" collapsed="false">
      <c r="A1619" s="5" t="s">
        <v>439</v>
      </c>
      <c r="B1619" s="5" t="s">
        <v>82</v>
      </c>
      <c r="C1619" s="5" t="n">
        <v>2020</v>
      </c>
      <c r="D1619" s="5" t="s">
        <v>83</v>
      </c>
      <c r="E1619" s="5" t="s">
        <v>38</v>
      </c>
      <c r="F1619" s="5" t="s">
        <v>40</v>
      </c>
      <c r="G1619" s="6" t="n">
        <v>736</v>
      </c>
      <c r="H1619" s="6" t="n">
        <v>135</v>
      </c>
      <c r="I1619" s="7" t="n">
        <f aca="false">(G1619-H1619)/G1619</f>
        <v>0.816576086956522</v>
      </c>
      <c r="J1619" s="15" t="n">
        <v>0.636</v>
      </c>
      <c r="K1619" s="11" t="str">
        <f aca="false">IF(I1619&lt;J1619,"TAK","NIE")</f>
        <v>NIE</v>
      </c>
    </row>
    <row r="1620" customFormat="false" ht="15" hidden="false" customHeight="false" outlineLevel="0" collapsed="false">
      <c r="A1620" s="5" t="s">
        <v>440</v>
      </c>
      <c r="B1620" s="5" t="s">
        <v>82</v>
      </c>
      <c r="C1620" s="5" t="n">
        <v>2020</v>
      </c>
      <c r="D1620" s="5" t="s">
        <v>83</v>
      </c>
      <c r="E1620" s="5" t="s">
        <v>38</v>
      </c>
      <c r="F1620" s="5" t="s">
        <v>40</v>
      </c>
      <c r="G1620" s="6" t="n">
        <v>736</v>
      </c>
      <c r="H1620" s="6" t="n">
        <v>62</v>
      </c>
      <c r="I1620" s="7" t="n">
        <f aca="false">(G1620-H1620)/G1620</f>
        <v>0.915760869565217</v>
      </c>
      <c r="J1620" s="15" t="n">
        <v>0.636</v>
      </c>
      <c r="K1620" s="11" t="str">
        <f aca="false">IF(I1620&lt;J1620,"TAK","NIE")</f>
        <v>NIE</v>
      </c>
    </row>
    <row r="1621" customFormat="false" ht="15" hidden="false" customHeight="false" outlineLevel="0" collapsed="false">
      <c r="A1621" s="5" t="s">
        <v>441</v>
      </c>
      <c r="B1621" s="5" t="s">
        <v>82</v>
      </c>
      <c r="C1621" s="5" t="n">
        <v>2020</v>
      </c>
      <c r="D1621" s="5" t="s">
        <v>83</v>
      </c>
      <c r="E1621" s="5" t="s">
        <v>38</v>
      </c>
      <c r="F1621" s="5" t="s">
        <v>40</v>
      </c>
      <c r="G1621" s="6" t="n">
        <v>736</v>
      </c>
      <c r="H1621" s="6" t="n">
        <v>25</v>
      </c>
      <c r="I1621" s="7" t="n">
        <f aca="false">(G1621-H1621)/G1621</f>
        <v>0.966032608695652</v>
      </c>
      <c r="J1621" s="15" t="n">
        <v>0.636</v>
      </c>
      <c r="K1621" s="11" t="str">
        <f aca="false">IF(I1621&lt;J1621,"TAK","NIE")</f>
        <v>NIE</v>
      </c>
    </row>
    <row r="1622" customFormat="false" ht="15" hidden="false" customHeight="false" outlineLevel="0" collapsed="false">
      <c r="A1622" s="5" t="s">
        <v>442</v>
      </c>
      <c r="B1622" s="5" t="s">
        <v>82</v>
      </c>
      <c r="C1622" s="5" t="n">
        <v>2020</v>
      </c>
      <c r="D1622" s="5" t="s">
        <v>83</v>
      </c>
      <c r="E1622" s="5" t="s">
        <v>38</v>
      </c>
      <c r="F1622" s="5" t="s">
        <v>40</v>
      </c>
      <c r="G1622" s="6" t="n">
        <v>736</v>
      </c>
      <c r="H1622" s="6" t="n">
        <v>150</v>
      </c>
      <c r="I1622" s="7" t="n">
        <f aca="false">(G1622-H1622)/G1622</f>
        <v>0.796195652173913</v>
      </c>
      <c r="J1622" s="15" t="n">
        <v>0.636</v>
      </c>
      <c r="K1622" s="11" t="str">
        <f aca="false">IF(I1622&lt;J1622,"TAK","NIE")</f>
        <v>NIE</v>
      </c>
    </row>
    <row r="1623" customFormat="false" ht="15" hidden="false" customHeight="false" outlineLevel="0" collapsed="false">
      <c r="A1623" s="5" t="s">
        <v>443</v>
      </c>
      <c r="B1623" s="5" t="s">
        <v>82</v>
      </c>
      <c r="C1623" s="5" t="n">
        <v>2020</v>
      </c>
      <c r="D1623" s="5" t="s">
        <v>83</v>
      </c>
      <c r="E1623" s="5" t="s">
        <v>38</v>
      </c>
      <c r="F1623" s="5" t="s">
        <v>40</v>
      </c>
      <c r="G1623" s="6" t="n">
        <v>381</v>
      </c>
      <c r="H1623" s="6" t="n">
        <v>333</v>
      </c>
      <c r="I1623" s="7" t="n">
        <f aca="false">(G1623-H1623)/G1623</f>
        <v>0.125984251968504</v>
      </c>
      <c r="J1623" s="15" t="n">
        <v>0.636</v>
      </c>
      <c r="K1623" s="11" t="str">
        <f aca="false">IF(I1623&lt;J1623,"TAK","NIE")</f>
        <v>TAK</v>
      </c>
    </row>
    <row r="1624" customFormat="false" ht="15" hidden="false" customHeight="false" outlineLevel="0" collapsed="false">
      <c r="A1624" s="5" t="s">
        <v>444</v>
      </c>
      <c r="B1624" s="5" t="s">
        <v>82</v>
      </c>
      <c r="C1624" s="5" t="n">
        <v>2020</v>
      </c>
      <c r="D1624" s="5" t="s">
        <v>83</v>
      </c>
      <c r="E1624" s="5" t="s">
        <v>38</v>
      </c>
      <c r="F1624" s="5" t="s">
        <v>40</v>
      </c>
      <c r="G1624" s="6" t="n">
        <v>736</v>
      </c>
      <c r="H1624" s="6" t="n">
        <v>44</v>
      </c>
      <c r="I1624" s="7" t="n">
        <f aca="false">(G1624-H1624)/G1624</f>
        <v>0.940217391304348</v>
      </c>
      <c r="J1624" s="15" t="n">
        <v>0.636</v>
      </c>
      <c r="K1624" s="11" t="str">
        <f aca="false">IF(I1624&lt;J1624,"TAK","NIE")</f>
        <v>NIE</v>
      </c>
    </row>
    <row r="1625" customFormat="false" ht="15" hidden="false" customHeight="false" outlineLevel="0" collapsed="false">
      <c r="A1625" s="5" t="s">
        <v>430</v>
      </c>
      <c r="B1625" s="5" t="s">
        <v>84</v>
      </c>
      <c r="C1625" s="5" t="n">
        <v>2020</v>
      </c>
      <c r="D1625" s="5" t="s">
        <v>83</v>
      </c>
      <c r="E1625" s="5" t="s">
        <v>46</v>
      </c>
      <c r="F1625" s="5" t="s">
        <v>39</v>
      </c>
      <c r="G1625" s="6" t="n">
        <v>585</v>
      </c>
      <c r="H1625" s="6" t="n">
        <v>180</v>
      </c>
      <c r="I1625" s="7" t="n">
        <f aca="false">(G1625-H1625)/G1625</f>
        <v>0.692307692307692</v>
      </c>
      <c r="J1625" s="15" t="n">
        <v>0.4359</v>
      </c>
      <c r="K1625" s="11" t="str">
        <f aca="false">IF(I1625&lt;J1625,"TAK","NIE")</f>
        <v>NIE</v>
      </c>
    </row>
    <row r="1626" customFormat="false" ht="15" hidden="false" customHeight="false" outlineLevel="0" collapsed="false">
      <c r="A1626" s="5" t="s">
        <v>431</v>
      </c>
      <c r="B1626" s="5" t="s">
        <v>84</v>
      </c>
      <c r="C1626" s="5" t="n">
        <v>2020</v>
      </c>
      <c r="D1626" s="5" t="s">
        <v>83</v>
      </c>
      <c r="E1626" s="5" t="s">
        <v>46</v>
      </c>
      <c r="F1626" s="5" t="s">
        <v>39</v>
      </c>
      <c r="G1626" s="6" t="n">
        <v>585</v>
      </c>
      <c r="H1626" s="6" t="n">
        <v>113</v>
      </c>
      <c r="I1626" s="7" t="n">
        <f aca="false">(G1626-H1626)/G1626</f>
        <v>0.806837606837607</v>
      </c>
      <c r="J1626" s="15" t="n">
        <v>0.4359</v>
      </c>
      <c r="K1626" s="11" t="str">
        <f aca="false">IF(I1626&lt;J1626,"TAK","NIE")</f>
        <v>NIE</v>
      </c>
    </row>
    <row r="1627" customFormat="false" ht="15" hidden="false" customHeight="false" outlineLevel="0" collapsed="false">
      <c r="A1627" s="5" t="s">
        <v>432</v>
      </c>
      <c r="B1627" s="5" t="s">
        <v>84</v>
      </c>
      <c r="C1627" s="5" t="n">
        <v>2020</v>
      </c>
      <c r="D1627" s="5" t="s">
        <v>83</v>
      </c>
      <c r="E1627" s="5" t="s">
        <v>46</v>
      </c>
      <c r="F1627" s="5" t="s">
        <v>39</v>
      </c>
      <c r="G1627" s="6" t="n">
        <v>585</v>
      </c>
      <c r="H1627" s="6" t="n">
        <v>129</v>
      </c>
      <c r="I1627" s="7" t="n">
        <f aca="false">(G1627-H1627)/G1627</f>
        <v>0.77948717948718</v>
      </c>
      <c r="J1627" s="15" t="n">
        <v>0.4359</v>
      </c>
      <c r="K1627" s="11" t="str">
        <f aca="false">IF(I1627&lt;J1627,"TAK","NIE")</f>
        <v>NIE</v>
      </c>
    </row>
    <row r="1628" customFormat="false" ht="15" hidden="false" customHeight="false" outlineLevel="0" collapsed="false">
      <c r="A1628" s="5" t="s">
        <v>433</v>
      </c>
      <c r="B1628" s="5" t="s">
        <v>84</v>
      </c>
      <c r="C1628" s="5" t="n">
        <v>2020</v>
      </c>
      <c r="D1628" s="5" t="s">
        <v>83</v>
      </c>
      <c r="E1628" s="5" t="s">
        <v>46</v>
      </c>
      <c r="F1628" s="5" t="s">
        <v>39</v>
      </c>
      <c r="G1628" s="6" t="n">
        <v>585</v>
      </c>
      <c r="H1628" s="6" t="n">
        <v>187</v>
      </c>
      <c r="I1628" s="7" t="n">
        <f aca="false">(G1628-H1628)/G1628</f>
        <v>0.68034188034188</v>
      </c>
      <c r="J1628" s="15" t="n">
        <v>0.4359</v>
      </c>
      <c r="K1628" s="11" t="str">
        <f aca="false">IF(I1628&lt;J1628,"TAK","NIE")</f>
        <v>NIE</v>
      </c>
    </row>
    <row r="1629" customFormat="false" ht="15" hidden="false" customHeight="false" outlineLevel="0" collapsed="false">
      <c r="A1629" s="5" t="s">
        <v>434</v>
      </c>
      <c r="B1629" s="5" t="s">
        <v>84</v>
      </c>
      <c r="C1629" s="5" t="n">
        <v>2020</v>
      </c>
      <c r="D1629" s="5" t="s">
        <v>83</v>
      </c>
      <c r="E1629" s="5" t="s">
        <v>46</v>
      </c>
      <c r="F1629" s="5" t="s">
        <v>39</v>
      </c>
      <c r="G1629" s="6" t="n">
        <v>585</v>
      </c>
      <c r="H1629" s="6" t="n">
        <v>143</v>
      </c>
      <c r="I1629" s="7" t="n">
        <f aca="false">(G1629-H1629)/G1629</f>
        <v>0.755555555555556</v>
      </c>
      <c r="J1629" s="15" t="n">
        <v>0.4359</v>
      </c>
      <c r="K1629" s="11" t="str">
        <f aca="false">IF(I1629&lt;J1629,"TAK","NIE")</f>
        <v>NIE</v>
      </c>
    </row>
    <row r="1630" customFormat="false" ht="15" hidden="false" customHeight="false" outlineLevel="0" collapsed="false">
      <c r="A1630" s="5" t="s">
        <v>435</v>
      </c>
      <c r="B1630" s="5" t="s">
        <v>84</v>
      </c>
      <c r="C1630" s="5" t="n">
        <v>2020</v>
      </c>
      <c r="D1630" s="5" t="s">
        <v>83</v>
      </c>
      <c r="E1630" s="5" t="s">
        <v>46</v>
      </c>
      <c r="F1630" s="5" t="s">
        <v>39</v>
      </c>
      <c r="G1630" s="6" t="n">
        <v>585</v>
      </c>
      <c r="H1630" s="6" t="n">
        <v>232</v>
      </c>
      <c r="I1630" s="7" t="n">
        <f aca="false">(G1630-H1630)/G1630</f>
        <v>0.603418803418803</v>
      </c>
      <c r="J1630" s="15" t="n">
        <v>0.4359</v>
      </c>
      <c r="K1630" s="11" t="str">
        <f aca="false">IF(I1630&lt;J1630,"TAK","NIE")</f>
        <v>NIE</v>
      </c>
    </row>
    <row r="1631" customFormat="false" ht="15" hidden="false" customHeight="false" outlineLevel="0" collapsed="false">
      <c r="A1631" s="5" t="s">
        <v>436</v>
      </c>
      <c r="B1631" s="5" t="s">
        <v>84</v>
      </c>
      <c r="C1631" s="5" t="n">
        <v>2020</v>
      </c>
      <c r="D1631" s="5" t="s">
        <v>83</v>
      </c>
      <c r="E1631" s="5" t="s">
        <v>46</v>
      </c>
      <c r="F1631" s="5" t="s">
        <v>39</v>
      </c>
      <c r="G1631" s="6" t="n">
        <v>585</v>
      </c>
      <c r="H1631" s="6" t="n">
        <v>113</v>
      </c>
      <c r="I1631" s="7" t="n">
        <f aca="false">(G1631-H1631)/G1631</f>
        <v>0.806837606837607</v>
      </c>
      <c r="J1631" s="15" t="n">
        <v>0.4359</v>
      </c>
      <c r="K1631" s="11" t="str">
        <f aca="false">IF(I1631&lt;J1631,"TAK","NIE")</f>
        <v>NIE</v>
      </c>
    </row>
    <row r="1632" customFormat="false" ht="15" hidden="false" customHeight="false" outlineLevel="0" collapsed="false">
      <c r="A1632" s="5" t="s">
        <v>437</v>
      </c>
      <c r="B1632" s="5" t="s">
        <v>84</v>
      </c>
      <c r="C1632" s="5" t="n">
        <v>2020</v>
      </c>
      <c r="D1632" s="5" t="s">
        <v>83</v>
      </c>
      <c r="E1632" s="5" t="s">
        <v>46</v>
      </c>
      <c r="F1632" s="5" t="s">
        <v>39</v>
      </c>
      <c r="G1632" s="6" t="n">
        <v>96</v>
      </c>
      <c r="H1632" s="6" t="n">
        <v>27</v>
      </c>
      <c r="I1632" s="7" t="n">
        <f aca="false">(G1632-H1632)/G1632</f>
        <v>0.71875</v>
      </c>
      <c r="J1632" s="15" t="n">
        <v>0.4359</v>
      </c>
      <c r="K1632" s="11" t="str">
        <f aca="false">IF(I1632&lt;J1632,"TAK","NIE")</f>
        <v>NIE</v>
      </c>
    </row>
    <row r="1633" customFormat="false" ht="15" hidden="false" customHeight="false" outlineLevel="0" collapsed="false">
      <c r="A1633" s="5" t="s">
        <v>438</v>
      </c>
      <c r="B1633" s="5" t="s">
        <v>84</v>
      </c>
      <c r="C1633" s="5" t="n">
        <v>2020</v>
      </c>
      <c r="D1633" s="5" t="s">
        <v>83</v>
      </c>
      <c r="E1633" s="5" t="s">
        <v>46</v>
      </c>
      <c r="F1633" s="5" t="s">
        <v>39</v>
      </c>
      <c r="G1633" s="6" t="n">
        <v>585</v>
      </c>
      <c r="H1633" s="6" t="n">
        <v>17</v>
      </c>
      <c r="I1633" s="7" t="n">
        <f aca="false">(G1633-H1633)/G1633</f>
        <v>0.970940170940171</v>
      </c>
      <c r="J1633" s="15" t="n">
        <v>0.4359</v>
      </c>
      <c r="K1633" s="11" t="str">
        <f aca="false">IF(I1633&lt;J1633,"TAK","NIE")</f>
        <v>NIE</v>
      </c>
    </row>
    <row r="1634" customFormat="false" ht="15" hidden="false" customHeight="false" outlineLevel="0" collapsed="false">
      <c r="A1634" s="5" t="s">
        <v>439</v>
      </c>
      <c r="B1634" s="5" t="s">
        <v>84</v>
      </c>
      <c r="C1634" s="5" t="n">
        <v>2020</v>
      </c>
      <c r="D1634" s="5" t="s">
        <v>83</v>
      </c>
      <c r="E1634" s="5" t="s">
        <v>46</v>
      </c>
      <c r="F1634" s="5" t="s">
        <v>39</v>
      </c>
      <c r="G1634" s="6" t="n">
        <v>585</v>
      </c>
      <c r="H1634" s="6" t="n">
        <v>222</v>
      </c>
      <c r="I1634" s="7" t="n">
        <f aca="false">(G1634-H1634)/G1634</f>
        <v>0.620512820512821</v>
      </c>
      <c r="J1634" s="15" t="n">
        <v>0.4359</v>
      </c>
      <c r="K1634" s="11" t="str">
        <f aca="false">IF(I1634&lt;J1634,"TAK","NIE")</f>
        <v>NIE</v>
      </c>
    </row>
    <row r="1635" customFormat="false" ht="15" hidden="false" customHeight="false" outlineLevel="0" collapsed="false">
      <c r="A1635" s="5" t="s">
        <v>440</v>
      </c>
      <c r="B1635" s="5" t="s">
        <v>84</v>
      </c>
      <c r="C1635" s="5" t="n">
        <v>2020</v>
      </c>
      <c r="D1635" s="5" t="s">
        <v>83</v>
      </c>
      <c r="E1635" s="5" t="s">
        <v>46</v>
      </c>
      <c r="F1635" s="5" t="s">
        <v>39</v>
      </c>
      <c r="G1635" s="6" t="n">
        <v>585</v>
      </c>
      <c r="H1635" s="6" t="n">
        <v>65</v>
      </c>
      <c r="I1635" s="7" t="n">
        <f aca="false">(G1635-H1635)/G1635</f>
        <v>0.888888888888889</v>
      </c>
      <c r="J1635" s="15" t="n">
        <v>0.4359</v>
      </c>
      <c r="K1635" s="11" t="str">
        <f aca="false">IF(I1635&lt;J1635,"TAK","NIE")</f>
        <v>NIE</v>
      </c>
    </row>
    <row r="1636" customFormat="false" ht="15" hidden="false" customHeight="false" outlineLevel="0" collapsed="false">
      <c r="A1636" s="5" t="s">
        <v>441</v>
      </c>
      <c r="B1636" s="5" t="s">
        <v>84</v>
      </c>
      <c r="C1636" s="5" t="n">
        <v>2020</v>
      </c>
      <c r="D1636" s="5" t="s">
        <v>83</v>
      </c>
      <c r="E1636" s="5" t="s">
        <v>46</v>
      </c>
      <c r="F1636" s="5" t="s">
        <v>39</v>
      </c>
      <c r="G1636" s="6" t="n">
        <v>585</v>
      </c>
      <c r="H1636" s="6" t="n">
        <v>0</v>
      </c>
      <c r="I1636" s="7" t="n">
        <f aca="false">(G1636-H1636)/G1636</f>
        <v>1</v>
      </c>
      <c r="J1636" s="15" t="n">
        <v>0.4359</v>
      </c>
      <c r="K1636" s="11" t="str">
        <f aca="false">IF(I1636&lt;J1636,"TAK","NIE")</f>
        <v>NIE</v>
      </c>
    </row>
    <row r="1637" customFormat="false" ht="15" hidden="false" customHeight="false" outlineLevel="0" collapsed="false">
      <c r="A1637" s="5" t="s">
        <v>442</v>
      </c>
      <c r="B1637" s="5" t="s">
        <v>84</v>
      </c>
      <c r="C1637" s="5" t="n">
        <v>2020</v>
      </c>
      <c r="D1637" s="5" t="s">
        <v>83</v>
      </c>
      <c r="E1637" s="5" t="s">
        <v>46</v>
      </c>
      <c r="F1637" s="5" t="s">
        <v>39</v>
      </c>
      <c r="G1637" s="6" t="n">
        <v>585</v>
      </c>
      <c r="H1637" s="6" t="n">
        <v>100</v>
      </c>
      <c r="I1637" s="7" t="n">
        <f aca="false">(G1637-H1637)/G1637</f>
        <v>0.829059829059829</v>
      </c>
      <c r="J1637" s="15" t="n">
        <v>0.4359</v>
      </c>
      <c r="K1637" s="11" t="str">
        <f aca="false">IF(I1637&lt;J1637,"TAK","NIE")</f>
        <v>NIE</v>
      </c>
    </row>
    <row r="1638" customFormat="false" ht="15" hidden="false" customHeight="false" outlineLevel="0" collapsed="false">
      <c r="A1638" s="5" t="s">
        <v>444</v>
      </c>
      <c r="B1638" s="5" t="s">
        <v>84</v>
      </c>
      <c r="C1638" s="5" t="n">
        <v>2020</v>
      </c>
      <c r="D1638" s="5" t="s">
        <v>83</v>
      </c>
      <c r="E1638" s="5" t="s">
        <v>46</v>
      </c>
      <c r="F1638" s="5" t="s">
        <v>39</v>
      </c>
      <c r="G1638" s="6" t="n">
        <v>585</v>
      </c>
      <c r="H1638" s="6" t="n">
        <v>41</v>
      </c>
      <c r="I1638" s="7" t="n">
        <f aca="false">(G1638-H1638)/G1638</f>
        <v>0.92991452991453</v>
      </c>
      <c r="J1638" s="15" t="n">
        <v>0.4359</v>
      </c>
      <c r="K1638" s="11" t="str">
        <f aca="false">IF(I1638&lt;J1638,"TAK","NIE")</f>
        <v>NIE</v>
      </c>
    </row>
    <row r="1639" customFormat="false" ht="15" hidden="false" customHeight="false" outlineLevel="0" collapsed="false">
      <c r="A1639" s="5" t="s">
        <v>430</v>
      </c>
      <c r="B1639" s="5" t="s">
        <v>84</v>
      </c>
      <c r="C1639" s="5" t="n">
        <v>2020</v>
      </c>
      <c r="D1639" s="5" t="s">
        <v>83</v>
      </c>
      <c r="E1639" s="5" t="s">
        <v>46</v>
      </c>
      <c r="F1639" s="5" t="s">
        <v>40</v>
      </c>
      <c r="G1639" s="6" t="n">
        <v>639</v>
      </c>
      <c r="H1639" s="6" t="n">
        <v>278</v>
      </c>
      <c r="I1639" s="7" t="n">
        <f aca="false">(G1639-H1639)/G1639</f>
        <v>0.564945226917058</v>
      </c>
      <c r="J1639" s="15" t="n">
        <v>0.4025</v>
      </c>
      <c r="K1639" s="11" t="str">
        <f aca="false">IF(I1639&lt;J1639,"TAK","NIE")</f>
        <v>NIE</v>
      </c>
    </row>
    <row r="1640" customFormat="false" ht="15" hidden="false" customHeight="false" outlineLevel="0" collapsed="false">
      <c r="A1640" s="5" t="s">
        <v>431</v>
      </c>
      <c r="B1640" s="5" t="s">
        <v>84</v>
      </c>
      <c r="C1640" s="5" t="n">
        <v>2020</v>
      </c>
      <c r="D1640" s="5" t="s">
        <v>83</v>
      </c>
      <c r="E1640" s="5" t="s">
        <v>46</v>
      </c>
      <c r="F1640" s="5" t="s">
        <v>40</v>
      </c>
      <c r="G1640" s="6" t="n">
        <v>639</v>
      </c>
      <c r="H1640" s="6" t="n">
        <v>239</v>
      </c>
      <c r="I1640" s="7" t="n">
        <f aca="false">(G1640-H1640)/G1640</f>
        <v>0.625978090766823</v>
      </c>
      <c r="J1640" s="15" t="n">
        <v>0.4025</v>
      </c>
      <c r="K1640" s="11" t="str">
        <f aca="false">IF(I1640&lt;J1640,"TAK","NIE")</f>
        <v>NIE</v>
      </c>
    </row>
    <row r="1641" customFormat="false" ht="15" hidden="false" customHeight="false" outlineLevel="0" collapsed="false">
      <c r="A1641" s="5" t="s">
        <v>432</v>
      </c>
      <c r="B1641" s="5" t="s">
        <v>84</v>
      </c>
      <c r="C1641" s="5" t="n">
        <v>2020</v>
      </c>
      <c r="D1641" s="5" t="s">
        <v>83</v>
      </c>
      <c r="E1641" s="5" t="s">
        <v>46</v>
      </c>
      <c r="F1641" s="5" t="s">
        <v>40</v>
      </c>
      <c r="G1641" s="6" t="n">
        <v>639</v>
      </c>
      <c r="H1641" s="6" t="n">
        <v>181</v>
      </c>
      <c r="I1641" s="7" t="n">
        <f aca="false">(G1641-H1641)/G1641</f>
        <v>0.716744913928013</v>
      </c>
      <c r="J1641" s="15" t="n">
        <v>0.4025</v>
      </c>
      <c r="K1641" s="11" t="str">
        <f aca="false">IF(I1641&lt;J1641,"TAK","NIE")</f>
        <v>NIE</v>
      </c>
    </row>
    <row r="1642" customFormat="false" ht="15" hidden="false" customHeight="false" outlineLevel="0" collapsed="false">
      <c r="A1642" s="5" t="s">
        <v>433</v>
      </c>
      <c r="B1642" s="5" t="s">
        <v>84</v>
      </c>
      <c r="C1642" s="5" t="n">
        <v>2020</v>
      </c>
      <c r="D1642" s="5" t="s">
        <v>83</v>
      </c>
      <c r="E1642" s="5" t="s">
        <v>46</v>
      </c>
      <c r="F1642" s="5" t="s">
        <v>40</v>
      </c>
      <c r="G1642" s="6" t="n">
        <v>639</v>
      </c>
      <c r="H1642" s="6" t="n">
        <v>289</v>
      </c>
      <c r="I1642" s="7" t="n">
        <f aca="false">(G1642-H1642)/G1642</f>
        <v>0.54773082942097</v>
      </c>
      <c r="J1642" s="15" t="n">
        <v>0.4025</v>
      </c>
      <c r="K1642" s="11" t="str">
        <f aca="false">IF(I1642&lt;J1642,"TAK","NIE")</f>
        <v>NIE</v>
      </c>
    </row>
    <row r="1643" customFormat="false" ht="15" hidden="false" customHeight="false" outlineLevel="0" collapsed="false">
      <c r="A1643" s="5" t="s">
        <v>434</v>
      </c>
      <c r="B1643" s="5" t="s">
        <v>84</v>
      </c>
      <c r="C1643" s="5" t="n">
        <v>2020</v>
      </c>
      <c r="D1643" s="5" t="s">
        <v>83</v>
      </c>
      <c r="E1643" s="5" t="s">
        <v>46</v>
      </c>
      <c r="F1643" s="5" t="s">
        <v>40</v>
      </c>
      <c r="G1643" s="6" t="n">
        <v>639</v>
      </c>
      <c r="H1643" s="6" t="n">
        <v>177</v>
      </c>
      <c r="I1643" s="7" t="n">
        <f aca="false">(G1643-H1643)/G1643</f>
        <v>0.723004694835681</v>
      </c>
      <c r="J1643" s="15" t="n">
        <v>0.4025</v>
      </c>
      <c r="K1643" s="11" t="str">
        <f aca="false">IF(I1643&lt;J1643,"TAK","NIE")</f>
        <v>NIE</v>
      </c>
    </row>
    <row r="1644" customFormat="false" ht="15" hidden="false" customHeight="false" outlineLevel="0" collapsed="false">
      <c r="A1644" s="5" t="s">
        <v>435</v>
      </c>
      <c r="B1644" s="5" t="s">
        <v>84</v>
      </c>
      <c r="C1644" s="5" t="n">
        <v>2020</v>
      </c>
      <c r="D1644" s="5" t="s">
        <v>83</v>
      </c>
      <c r="E1644" s="5" t="s">
        <v>46</v>
      </c>
      <c r="F1644" s="5" t="s">
        <v>40</v>
      </c>
      <c r="G1644" s="6" t="n">
        <v>639</v>
      </c>
      <c r="H1644" s="6" t="n">
        <v>229</v>
      </c>
      <c r="I1644" s="7" t="n">
        <f aca="false">(G1644-H1644)/G1644</f>
        <v>0.641627543035994</v>
      </c>
      <c r="J1644" s="15" t="n">
        <v>0.4025</v>
      </c>
      <c r="K1644" s="11" t="str">
        <f aca="false">IF(I1644&lt;J1644,"TAK","NIE")</f>
        <v>NIE</v>
      </c>
    </row>
    <row r="1645" customFormat="false" ht="15" hidden="false" customHeight="false" outlineLevel="0" collapsed="false">
      <c r="A1645" s="5" t="s">
        <v>436</v>
      </c>
      <c r="B1645" s="5" t="s">
        <v>84</v>
      </c>
      <c r="C1645" s="5" t="n">
        <v>2020</v>
      </c>
      <c r="D1645" s="5" t="s">
        <v>83</v>
      </c>
      <c r="E1645" s="5" t="s">
        <v>46</v>
      </c>
      <c r="F1645" s="5" t="s">
        <v>40</v>
      </c>
      <c r="G1645" s="6" t="n">
        <v>639</v>
      </c>
      <c r="H1645" s="6" t="n">
        <v>162</v>
      </c>
      <c r="I1645" s="7" t="n">
        <f aca="false">(G1645-H1645)/G1645</f>
        <v>0.746478873239437</v>
      </c>
      <c r="J1645" s="15" t="n">
        <v>0.4025</v>
      </c>
      <c r="K1645" s="11" t="str">
        <f aca="false">IF(I1645&lt;J1645,"TAK","NIE")</f>
        <v>NIE</v>
      </c>
    </row>
    <row r="1646" customFormat="false" ht="15" hidden="false" customHeight="false" outlineLevel="0" collapsed="false">
      <c r="A1646" s="5" t="s">
        <v>438</v>
      </c>
      <c r="B1646" s="5" t="s">
        <v>84</v>
      </c>
      <c r="C1646" s="5" t="n">
        <v>2020</v>
      </c>
      <c r="D1646" s="5" t="s">
        <v>83</v>
      </c>
      <c r="E1646" s="5" t="s">
        <v>46</v>
      </c>
      <c r="F1646" s="5" t="s">
        <v>40</v>
      </c>
      <c r="G1646" s="6" t="n">
        <v>639</v>
      </c>
      <c r="H1646" s="6" t="n">
        <v>94</v>
      </c>
      <c r="I1646" s="7" t="n">
        <f aca="false">(G1646-H1646)/G1646</f>
        <v>0.852895148669797</v>
      </c>
      <c r="J1646" s="15" t="n">
        <v>0.4025</v>
      </c>
      <c r="K1646" s="11" t="str">
        <f aca="false">IF(I1646&lt;J1646,"TAK","NIE")</f>
        <v>NIE</v>
      </c>
    </row>
    <row r="1647" customFormat="false" ht="15" hidden="false" customHeight="false" outlineLevel="0" collapsed="false">
      <c r="A1647" s="5" t="s">
        <v>439</v>
      </c>
      <c r="B1647" s="5" t="s">
        <v>84</v>
      </c>
      <c r="C1647" s="5" t="n">
        <v>2020</v>
      </c>
      <c r="D1647" s="5" t="s">
        <v>83</v>
      </c>
      <c r="E1647" s="5" t="s">
        <v>46</v>
      </c>
      <c r="F1647" s="5" t="s">
        <v>40</v>
      </c>
      <c r="G1647" s="6" t="n">
        <v>639</v>
      </c>
      <c r="H1647" s="6" t="n">
        <v>276</v>
      </c>
      <c r="I1647" s="7" t="n">
        <f aca="false">(G1647-H1647)/G1647</f>
        <v>0.568075117370892</v>
      </c>
      <c r="J1647" s="15" t="n">
        <v>0.4025</v>
      </c>
      <c r="K1647" s="11" t="str">
        <f aca="false">IF(I1647&lt;J1647,"TAK","NIE")</f>
        <v>NIE</v>
      </c>
    </row>
    <row r="1648" customFormat="false" ht="15" hidden="false" customHeight="false" outlineLevel="0" collapsed="false">
      <c r="A1648" s="5" t="s">
        <v>440</v>
      </c>
      <c r="B1648" s="5" t="s">
        <v>84</v>
      </c>
      <c r="C1648" s="5" t="n">
        <v>2020</v>
      </c>
      <c r="D1648" s="5" t="s">
        <v>83</v>
      </c>
      <c r="E1648" s="5" t="s">
        <v>46</v>
      </c>
      <c r="F1648" s="5" t="s">
        <v>40</v>
      </c>
      <c r="G1648" s="6" t="n">
        <v>639</v>
      </c>
      <c r="H1648" s="6" t="n">
        <v>144</v>
      </c>
      <c r="I1648" s="7" t="n">
        <f aca="false">(G1648-H1648)/G1648</f>
        <v>0.774647887323944</v>
      </c>
      <c r="J1648" s="15" t="n">
        <v>0.4025</v>
      </c>
      <c r="K1648" s="11" t="str">
        <f aca="false">IF(I1648&lt;J1648,"TAK","NIE")</f>
        <v>NIE</v>
      </c>
    </row>
    <row r="1649" customFormat="false" ht="15" hidden="false" customHeight="false" outlineLevel="0" collapsed="false">
      <c r="A1649" s="5" t="s">
        <v>441</v>
      </c>
      <c r="B1649" s="5" t="s">
        <v>84</v>
      </c>
      <c r="C1649" s="5" t="n">
        <v>2020</v>
      </c>
      <c r="D1649" s="5" t="s">
        <v>83</v>
      </c>
      <c r="E1649" s="5" t="s">
        <v>46</v>
      </c>
      <c r="F1649" s="5" t="s">
        <v>40</v>
      </c>
      <c r="G1649" s="6" t="n">
        <v>639</v>
      </c>
      <c r="H1649" s="6" t="n">
        <v>27</v>
      </c>
      <c r="I1649" s="7" t="n">
        <f aca="false">(G1649-H1649)/G1649</f>
        <v>0.957746478873239</v>
      </c>
      <c r="J1649" s="15" t="n">
        <v>0.4025</v>
      </c>
      <c r="K1649" s="11" t="str">
        <f aca="false">IF(I1649&lt;J1649,"TAK","NIE")</f>
        <v>NIE</v>
      </c>
    </row>
    <row r="1650" customFormat="false" ht="15" hidden="false" customHeight="false" outlineLevel="0" collapsed="false">
      <c r="A1650" s="5" t="s">
        <v>442</v>
      </c>
      <c r="B1650" s="5" t="s">
        <v>84</v>
      </c>
      <c r="C1650" s="5" t="n">
        <v>2020</v>
      </c>
      <c r="D1650" s="5" t="s">
        <v>83</v>
      </c>
      <c r="E1650" s="5" t="s">
        <v>46</v>
      </c>
      <c r="F1650" s="5" t="s">
        <v>40</v>
      </c>
      <c r="G1650" s="6" t="n">
        <v>639</v>
      </c>
      <c r="H1650" s="6" t="n">
        <v>185</v>
      </c>
      <c r="I1650" s="7" t="n">
        <f aca="false">(G1650-H1650)/G1650</f>
        <v>0.710485133020344</v>
      </c>
      <c r="J1650" s="15" t="n">
        <v>0.4025</v>
      </c>
      <c r="K1650" s="11" t="str">
        <f aca="false">IF(I1650&lt;J1650,"TAK","NIE")</f>
        <v>NIE</v>
      </c>
    </row>
    <row r="1651" customFormat="false" ht="15" hidden="false" customHeight="false" outlineLevel="0" collapsed="false">
      <c r="A1651" s="5" t="s">
        <v>444</v>
      </c>
      <c r="B1651" s="5" t="s">
        <v>84</v>
      </c>
      <c r="C1651" s="5" t="n">
        <v>2020</v>
      </c>
      <c r="D1651" s="5" t="s">
        <v>83</v>
      </c>
      <c r="E1651" s="5" t="s">
        <v>46</v>
      </c>
      <c r="F1651" s="5" t="s">
        <v>40</v>
      </c>
      <c r="G1651" s="6" t="n">
        <v>639</v>
      </c>
      <c r="H1651" s="6" t="n">
        <v>87</v>
      </c>
      <c r="I1651" s="7" t="n">
        <f aca="false">(G1651-H1651)/G1651</f>
        <v>0.863849765258216</v>
      </c>
      <c r="J1651" s="15" t="n">
        <v>0.4025</v>
      </c>
      <c r="K1651" s="11" t="str">
        <f aca="false">IF(I1651&lt;J1651,"TAK","NIE")</f>
        <v>NIE</v>
      </c>
    </row>
    <row r="1652" customFormat="false" ht="15" hidden="false" customHeight="false" outlineLevel="0" collapsed="false">
      <c r="A1652" s="5" t="s">
        <v>430</v>
      </c>
      <c r="B1652" s="5" t="s">
        <v>85</v>
      </c>
      <c r="C1652" s="5" t="n">
        <v>2020</v>
      </c>
      <c r="D1652" s="5" t="s">
        <v>83</v>
      </c>
      <c r="E1652" s="5" t="s">
        <v>55</v>
      </c>
      <c r="F1652" s="5" t="s">
        <v>39</v>
      </c>
      <c r="G1652" s="6" t="n">
        <v>751</v>
      </c>
      <c r="H1652" s="6" t="n">
        <v>268</v>
      </c>
      <c r="I1652" s="7" t="n">
        <f aca="false">(G1652-H1652)/G1652</f>
        <v>0.643142476697736</v>
      </c>
      <c r="J1652" s="15" t="n">
        <v>0.4375</v>
      </c>
      <c r="K1652" s="11" t="str">
        <f aca="false">IF(I1652&lt;J1652,"TAK","NIE")</f>
        <v>NIE</v>
      </c>
    </row>
    <row r="1653" customFormat="false" ht="15" hidden="false" customHeight="false" outlineLevel="0" collapsed="false">
      <c r="A1653" s="5" t="s">
        <v>431</v>
      </c>
      <c r="B1653" s="5" t="s">
        <v>85</v>
      </c>
      <c r="C1653" s="5" t="n">
        <v>2020</v>
      </c>
      <c r="D1653" s="5" t="s">
        <v>83</v>
      </c>
      <c r="E1653" s="5" t="s">
        <v>55</v>
      </c>
      <c r="F1653" s="5" t="s">
        <v>39</v>
      </c>
      <c r="G1653" s="6" t="n">
        <v>794</v>
      </c>
      <c r="H1653" s="6" t="n">
        <v>311</v>
      </c>
      <c r="I1653" s="7" t="n">
        <f aca="false">(G1653-H1653)/G1653</f>
        <v>0.60831234256927</v>
      </c>
      <c r="J1653" s="15" t="n">
        <v>0.4375</v>
      </c>
      <c r="K1653" s="11" t="str">
        <f aca="false">IF(I1653&lt;J1653,"TAK","NIE")</f>
        <v>NIE</v>
      </c>
    </row>
    <row r="1654" customFormat="false" ht="15" hidden="false" customHeight="false" outlineLevel="0" collapsed="false">
      <c r="A1654" s="5" t="s">
        <v>432</v>
      </c>
      <c r="B1654" s="5" t="s">
        <v>85</v>
      </c>
      <c r="C1654" s="5" t="n">
        <v>2020</v>
      </c>
      <c r="D1654" s="5" t="s">
        <v>83</v>
      </c>
      <c r="E1654" s="5" t="s">
        <v>55</v>
      </c>
      <c r="F1654" s="5" t="s">
        <v>39</v>
      </c>
      <c r="G1654" s="6" t="n">
        <v>794</v>
      </c>
      <c r="H1654" s="6" t="n">
        <v>260</v>
      </c>
      <c r="I1654" s="7" t="n">
        <f aca="false">(G1654-H1654)/G1654</f>
        <v>0.672544080604534</v>
      </c>
      <c r="J1654" s="15" t="n">
        <v>0.4375</v>
      </c>
      <c r="K1654" s="11" t="str">
        <f aca="false">IF(I1654&lt;J1654,"TAK","NIE")</f>
        <v>NIE</v>
      </c>
    </row>
    <row r="1655" customFormat="false" ht="15" hidden="false" customHeight="false" outlineLevel="0" collapsed="false">
      <c r="A1655" s="5" t="s">
        <v>433</v>
      </c>
      <c r="B1655" s="5" t="s">
        <v>85</v>
      </c>
      <c r="C1655" s="5" t="n">
        <v>2020</v>
      </c>
      <c r="D1655" s="5" t="s">
        <v>83</v>
      </c>
      <c r="E1655" s="5" t="s">
        <v>55</v>
      </c>
      <c r="F1655" s="5" t="s">
        <v>39</v>
      </c>
      <c r="G1655" s="6" t="n">
        <v>794</v>
      </c>
      <c r="H1655" s="6" t="n">
        <v>253</v>
      </c>
      <c r="I1655" s="7" t="n">
        <f aca="false">(G1655-H1655)/G1655</f>
        <v>0.681360201511335</v>
      </c>
      <c r="J1655" s="15" t="n">
        <v>0.4375</v>
      </c>
      <c r="K1655" s="11" t="str">
        <f aca="false">IF(I1655&lt;J1655,"TAK","NIE")</f>
        <v>NIE</v>
      </c>
    </row>
    <row r="1656" customFormat="false" ht="15" hidden="false" customHeight="false" outlineLevel="0" collapsed="false">
      <c r="A1656" s="5" t="s">
        <v>434</v>
      </c>
      <c r="B1656" s="5" t="s">
        <v>85</v>
      </c>
      <c r="C1656" s="5" t="n">
        <v>2020</v>
      </c>
      <c r="D1656" s="5" t="s">
        <v>83</v>
      </c>
      <c r="E1656" s="5" t="s">
        <v>55</v>
      </c>
      <c r="F1656" s="5" t="s">
        <v>39</v>
      </c>
      <c r="G1656" s="6" t="n">
        <v>776</v>
      </c>
      <c r="H1656" s="6" t="n">
        <v>169</v>
      </c>
      <c r="I1656" s="7" t="n">
        <f aca="false">(G1656-H1656)/G1656</f>
        <v>0.782216494845361</v>
      </c>
      <c r="J1656" s="15" t="n">
        <v>0.4375</v>
      </c>
      <c r="K1656" s="11" t="str">
        <f aca="false">IF(I1656&lt;J1656,"TAK","NIE")</f>
        <v>NIE</v>
      </c>
    </row>
    <row r="1657" customFormat="false" ht="15" hidden="false" customHeight="false" outlineLevel="0" collapsed="false">
      <c r="A1657" s="5" t="s">
        <v>435</v>
      </c>
      <c r="B1657" s="5" t="s">
        <v>85</v>
      </c>
      <c r="C1657" s="5" t="n">
        <v>2020</v>
      </c>
      <c r="D1657" s="5" t="s">
        <v>83</v>
      </c>
      <c r="E1657" s="5" t="s">
        <v>55</v>
      </c>
      <c r="F1657" s="5" t="s">
        <v>39</v>
      </c>
      <c r="G1657" s="6" t="n">
        <v>776</v>
      </c>
      <c r="H1657" s="6" t="n">
        <v>388</v>
      </c>
      <c r="I1657" s="7" t="n">
        <f aca="false">(G1657-H1657)/G1657</f>
        <v>0.5</v>
      </c>
      <c r="J1657" s="15" t="n">
        <v>0.4375</v>
      </c>
      <c r="K1657" s="11" t="str">
        <f aca="false">IF(I1657&lt;J1657,"TAK","NIE")</f>
        <v>NIE</v>
      </c>
    </row>
    <row r="1658" customFormat="false" ht="15" hidden="false" customHeight="false" outlineLevel="0" collapsed="false">
      <c r="A1658" s="5" t="s">
        <v>436</v>
      </c>
      <c r="B1658" s="5" t="s">
        <v>85</v>
      </c>
      <c r="C1658" s="5" t="n">
        <v>2020</v>
      </c>
      <c r="D1658" s="5" t="s">
        <v>83</v>
      </c>
      <c r="E1658" s="5" t="s">
        <v>55</v>
      </c>
      <c r="F1658" s="5" t="s">
        <v>39</v>
      </c>
      <c r="G1658" s="6" t="n">
        <v>794</v>
      </c>
      <c r="H1658" s="6" t="n">
        <v>115</v>
      </c>
      <c r="I1658" s="7" t="n">
        <f aca="false">(G1658-H1658)/G1658</f>
        <v>0.855163727959698</v>
      </c>
      <c r="J1658" s="15" t="n">
        <v>0.4375</v>
      </c>
      <c r="K1658" s="11" t="str">
        <f aca="false">IF(I1658&lt;J1658,"TAK","NIE")</f>
        <v>NIE</v>
      </c>
    </row>
    <row r="1659" customFormat="false" ht="15" hidden="false" customHeight="false" outlineLevel="0" collapsed="false">
      <c r="A1659" s="5" t="s">
        <v>438</v>
      </c>
      <c r="B1659" s="5" t="s">
        <v>85</v>
      </c>
      <c r="C1659" s="5" t="n">
        <v>2020</v>
      </c>
      <c r="D1659" s="5" t="s">
        <v>83</v>
      </c>
      <c r="E1659" s="5" t="s">
        <v>55</v>
      </c>
      <c r="F1659" s="5" t="s">
        <v>39</v>
      </c>
      <c r="G1659" s="6" t="n">
        <v>794</v>
      </c>
      <c r="H1659" s="6" t="n">
        <v>167</v>
      </c>
      <c r="I1659" s="7" t="n">
        <f aca="false">(G1659-H1659)/G1659</f>
        <v>0.789672544080605</v>
      </c>
      <c r="J1659" s="15" t="n">
        <v>0.4375</v>
      </c>
      <c r="K1659" s="11" t="str">
        <f aca="false">IF(I1659&lt;J1659,"TAK","NIE")</f>
        <v>NIE</v>
      </c>
    </row>
    <row r="1660" customFormat="false" ht="15" hidden="false" customHeight="false" outlineLevel="0" collapsed="false">
      <c r="A1660" s="5" t="s">
        <v>439</v>
      </c>
      <c r="B1660" s="5" t="s">
        <v>85</v>
      </c>
      <c r="C1660" s="5" t="n">
        <v>2020</v>
      </c>
      <c r="D1660" s="5" t="s">
        <v>83</v>
      </c>
      <c r="E1660" s="5" t="s">
        <v>55</v>
      </c>
      <c r="F1660" s="5" t="s">
        <v>39</v>
      </c>
      <c r="G1660" s="6" t="n">
        <v>794</v>
      </c>
      <c r="H1660" s="6" t="n">
        <v>209</v>
      </c>
      <c r="I1660" s="7" t="n">
        <f aca="false">(G1660-H1660)/G1660</f>
        <v>0.736775818639799</v>
      </c>
      <c r="J1660" s="15" t="n">
        <v>0.4375</v>
      </c>
      <c r="K1660" s="11" t="str">
        <f aca="false">IF(I1660&lt;J1660,"TAK","NIE")</f>
        <v>NIE</v>
      </c>
    </row>
    <row r="1661" customFormat="false" ht="15" hidden="false" customHeight="false" outlineLevel="0" collapsed="false">
      <c r="A1661" s="5" t="s">
        <v>440</v>
      </c>
      <c r="B1661" s="5" t="s">
        <v>85</v>
      </c>
      <c r="C1661" s="5" t="n">
        <v>2020</v>
      </c>
      <c r="D1661" s="5" t="s">
        <v>83</v>
      </c>
      <c r="E1661" s="5" t="s">
        <v>55</v>
      </c>
      <c r="F1661" s="5" t="s">
        <v>39</v>
      </c>
      <c r="G1661" s="6" t="n">
        <v>794</v>
      </c>
      <c r="H1661" s="6" t="n">
        <v>135</v>
      </c>
      <c r="I1661" s="7" t="n">
        <f aca="false">(G1661-H1661)/G1661</f>
        <v>0.829974811083123</v>
      </c>
      <c r="J1661" s="15" t="n">
        <v>0.4375</v>
      </c>
      <c r="K1661" s="11" t="str">
        <f aca="false">IF(I1661&lt;J1661,"TAK","NIE")</f>
        <v>NIE</v>
      </c>
    </row>
    <row r="1662" customFormat="false" ht="15" hidden="false" customHeight="false" outlineLevel="0" collapsed="false">
      <c r="A1662" s="5" t="s">
        <v>441</v>
      </c>
      <c r="B1662" s="5" t="s">
        <v>85</v>
      </c>
      <c r="C1662" s="5" t="n">
        <v>2020</v>
      </c>
      <c r="D1662" s="5" t="s">
        <v>83</v>
      </c>
      <c r="E1662" s="5" t="s">
        <v>55</v>
      </c>
      <c r="F1662" s="5" t="s">
        <v>39</v>
      </c>
      <c r="G1662" s="6" t="n">
        <v>794</v>
      </c>
      <c r="H1662" s="6" t="n">
        <v>35</v>
      </c>
      <c r="I1662" s="7" t="n">
        <f aca="false">(G1662-H1662)/G1662</f>
        <v>0.955919395465995</v>
      </c>
      <c r="J1662" s="15" t="n">
        <v>0.4375</v>
      </c>
      <c r="K1662" s="11" t="str">
        <f aca="false">IF(I1662&lt;J1662,"TAK","NIE")</f>
        <v>NIE</v>
      </c>
    </row>
    <row r="1663" customFormat="false" ht="15" hidden="false" customHeight="false" outlineLevel="0" collapsed="false">
      <c r="A1663" s="5" t="s">
        <v>442</v>
      </c>
      <c r="B1663" s="5" t="s">
        <v>85</v>
      </c>
      <c r="C1663" s="5" t="n">
        <v>2020</v>
      </c>
      <c r="D1663" s="5" t="s">
        <v>83</v>
      </c>
      <c r="E1663" s="5" t="s">
        <v>55</v>
      </c>
      <c r="F1663" s="5" t="s">
        <v>39</v>
      </c>
      <c r="G1663" s="6" t="n">
        <v>776</v>
      </c>
      <c r="H1663" s="6" t="n">
        <v>178</v>
      </c>
      <c r="I1663" s="7" t="n">
        <f aca="false">(G1663-H1663)/G1663</f>
        <v>0.770618556701031</v>
      </c>
      <c r="J1663" s="15" t="n">
        <v>0.4375</v>
      </c>
      <c r="K1663" s="11" t="str">
        <f aca="false">IF(I1663&lt;J1663,"TAK","NIE")</f>
        <v>NIE</v>
      </c>
    </row>
    <row r="1664" customFormat="false" ht="15" hidden="false" customHeight="false" outlineLevel="0" collapsed="false">
      <c r="A1664" s="5" t="s">
        <v>444</v>
      </c>
      <c r="B1664" s="5" t="s">
        <v>85</v>
      </c>
      <c r="C1664" s="5" t="n">
        <v>2020</v>
      </c>
      <c r="D1664" s="5" t="s">
        <v>83</v>
      </c>
      <c r="E1664" s="5" t="s">
        <v>55</v>
      </c>
      <c r="F1664" s="5" t="s">
        <v>39</v>
      </c>
      <c r="G1664" s="6" t="n">
        <v>794</v>
      </c>
      <c r="H1664" s="6" t="n">
        <v>65</v>
      </c>
      <c r="I1664" s="7" t="n">
        <f aca="false">(G1664-H1664)/G1664</f>
        <v>0.918136020151134</v>
      </c>
      <c r="J1664" s="15" t="n">
        <v>0.4375</v>
      </c>
      <c r="K1664" s="11" t="str">
        <f aca="false">IF(I1664&lt;J1664,"TAK","NIE")</f>
        <v>NIE</v>
      </c>
    </row>
    <row r="1665" customFormat="false" ht="15" hidden="false" customHeight="false" outlineLevel="0" collapsed="false">
      <c r="A1665" s="5" t="s">
        <v>430</v>
      </c>
      <c r="B1665" s="5" t="s">
        <v>85</v>
      </c>
      <c r="C1665" s="5" t="n">
        <v>2020</v>
      </c>
      <c r="D1665" s="5" t="s">
        <v>83</v>
      </c>
      <c r="E1665" s="5" t="s">
        <v>55</v>
      </c>
      <c r="F1665" s="5" t="s">
        <v>40</v>
      </c>
      <c r="G1665" s="6" t="n">
        <v>397</v>
      </c>
      <c r="H1665" s="6" t="n">
        <v>144</v>
      </c>
      <c r="I1665" s="7" t="n">
        <f aca="false">(G1665-H1665)/G1665</f>
        <v>0.63727959697733</v>
      </c>
      <c r="J1665" s="15" t="n">
        <v>0.5485</v>
      </c>
      <c r="K1665" s="11" t="str">
        <f aca="false">IF(I1665&lt;J1665,"TAK","NIE")</f>
        <v>NIE</v>
      </c>
    </row>
    <row r="1666" customFormat="false" ht="15" hidden="false" customHeight="false" outlineLevel="0" collapsed="false">
      <c r="A1666" s="5" t="s">
        <v>431</v>
      </c>
      <c r="B1666" s="5" t="s">
        <v>85</v>
      </c>
      <c r="C1666" s="5" t="n">
        <v>2020</v>
      </c>
      <c r="D1666" s="5" t="s">
        <v>83</v>
      </c>
      <c r="E1666" s="5" t="s">
        <v>55</v>
      </c>
      <c r="F1666" s="5" t="s">
        <v>40</v>
      </c>
      <c r="G1666" s="6" t="n">
        <v>437</v>
      </c>
      <c r="H1666" s="6" t="n">
        <v>141</v>
      </c>
      <c r="I1666" s="7" t="n">
        <f aca="false">(G1666-H1666)/G1666</f>
        <v>0.677345537757437</v>
      </c>
      <c r="J1666" s="15" t="n">
        <v>0.5485</v>
      </c>
      <c r="K1666" s="11" t="str">
        <f aca="false">IF(I1666&lt;J1666,"TAK","NIE")</f>
        <v>NIE</v>
      </c>
    </row>
    <row r="1667" customFormat="false" ht="15" hidden="false" customHeight="false" outlineLevel="0" collapsed="false">
      <c r="A1667" s="5" t="s">
        <v>432</v>
      </c>
      <c r="B1667" s="5" t="s">
        <v>85</v>
      </c>
      <c r="C1667" s="5" t="n">
        <v>2020</v>
      </c>
      <c r="D1667" s="5" t="s">
        <v>83</v>
      </c>
      <c r="E1667" s="5" t="s">
        <v>55</v>
      </c>
      <c r="F1667" s="5" t="s">
        <v>40</v>
      </c>
      <c r="G1667" s="6" t="n">
        <v>437</v>
      </c>
      <c r="H1667" s="6" t="n">
        <v>144</v>
      </c>
      <c r="I1667" s="7" t="n">
        <f aca="false">(G1667-H1667)/G1667</f>
        <v>0.670480549199085</v>
      </c>
      <c r="J1667" s="15" t="n">
        <v>0.5485</v>
      </c>
      <c r="K1667" s="11" t="str">
        <f aca="false">IF(I1667&lt;J1667,"TAK","NIE")</f>
        <v>NIE</v>
      </c>
    </row>
    <row r="1668" customFormat="false" ht="15" hidden="false" customHeight="false" outlineLevel="0" collapsed="false">
      <c r="A1668" s="5" t="s">
        <v>433</v>
      </c>
      <c r="B1668" s="5" t="s">
        <v>85</v>
      </c>
      <c r="C1668" s="5" t="n">
        <v>2020</v>
      </c>
      <c r="D1668" s="5" t="s">
        <v>83</v>
      </c>
      <c r="E1668" s="5" t="s">
        <v>55</v>
      </c>
      <c r="F1668" s="5" t="s">
        <v>40</v>
      </c>
      <c r="G1668" s="6" t="n">
        <v>437</v>
      </c>
      <c r="H1668" s="6" t="n">
        <v>160</v>
      </c>
      <c r="I1668" s="7" t="n">
        <f aca="false">(G1668-H1668)/G1668</f>
        <v>0.633867276887872</v>
      </c>
      <c r="J1668" s="15" t="n">
        <v>0.5485</v>
      </c>
      <c r="K1668" s="11" t="str">
        <f aca="false">IF(I1668&lt;J1668,"TAK","NIE")</f>
        <v>NIE</v>
      </c>
    </row>
    <row r="1669" customFormat="false" ht="15" hidden="false" customHeight="false" outlineLevel="0" collapsed="false">
      <c r="A1669" s="5" t="s">
        <v>434</v>
      </c>
      <c r="B1669" s="5" t="s">
        <v>85</v>
      </c>
      <c r="C1669" s="5" t="n">
        <v>2020</v>
      </c>
      <c r="D1669" s="5" t="s">
        <v>83</v>
      </c>
      <c r="E1669" s="5" t="s">
        <v>55</v>
      </c>
      <c r="F1669" s="5" t="s">
        <v>40</v>
      </c>
      <c r="G1669" s="6" t="n">
        <v>437</v>
      </c>
      <c r="H1669" s="6" t="n">
        <v>147</v>
      </c>
      <c r="I1669" s="7" t="n">
        <f aca="false">(G1669-H1669)/G1669</f>
        <v>0.663615560640732</v>
      </c>
      <c r="J1669" s="15" t="n">
        <v>0.5485</v>
      </c>
      <c r="K1669" s="11" t="str">
        <f aca="false">IF(I1669&lt;J1669,"TAK","NIE")</f>
        <v>NIE</v>
      </c>
    </row>
    <row r="1670" customFormat="false" ht="15" hidden="false" customHeight="false" outlineLevel="0" collapsed="false">
      <c r="A1670" s="5" t="s">
        <v>435</v>
      </c>
      <c r="B1670" s="5" t="s">
        <v>85</v>
      </c>
      <c r="C1670" s="5" t="n">
        <v>2020</v>
      </c>
      <c r="D1670" s="5" t="s">
        <v>83</v>
      </c>
      <c r="E1670" s="5" t="s">
        <v>55</v>
      </c>
      <c r="F1670" s="5" t="s">
        <v>40</v>
      </c>
      <c r="G1670" s="6" t="n">
        <v>437</v>
      </c>
      <c r="H1670" s="6" t="n">
        <v>147</v>
      </c>
      <c r="I1670" s="7" t="n">
        <f aca="false">(G1670-H1670)/G1670</f>
        <v>0.663615560640732</v>
      </c>
      <c r="J1670" s="15" t="n">
        <v>0.5485</v>
      </c>
      <c r="K1670" s="11" t="str">
        <f aca="false">IF(I1670&lt;J1670,"TAK","NIE")</f>
        <v>NIE</v>
      </c>
    </row>
    <row r="1671" customFormat="false" ht="15" hidden="false" customHeight="false" outlineLevel="0" collapsed="false">
      <c r="A1671" s="5" t="s">
        <v>436</v>
      </c>
      <c r="B1671" s="5" t="s">
        <v>85</v>
      </c>
      <c r="C1671" s="5" t="n">
        <v>2020</v>
      </c>
      <c r="D1671" s="5" t="s">
        <v>83</v>
      </c>
      <c r="E1671" s="5" t="s">
        <v>55</v>
      </c>
      <c r="F1671" s="5" t="s">
        <v>40</v>
      </c>
      <c r="G1671" s="6" t="n">
        <v>437</v>
      </c>
      <c r="H1671" s="6" t="n">
        <v>128</v>
      </c>
      <c r="I1671" s="7" t="n">
        <f aca="false">(G1671-H1671)/G1671</f>
        <v>0.707093821510298</v>
      </c>
      <c r="J1671" s="15" t="n">
        <v>0.5485</v>
      </c>
      <c r="K1671" s="11" t="str">
        <f aca="false">IF(I1671&lt;J1671,"TAK","NIE")</f>
        <v>NIE</v>
      </c>
    </row>
    <row r="1672" customFormat="false" ht="15" hidden="false" customHeight="false" outlineLevel="0" collapsed="false">
      <c r="A1672" s="5" t="s">
        <v>438</v>
      </c>
      <c r="B1672" s="5" t="s">
        <v>85</v>
      </c>
      <c r="C1672" s="5" t="n">
        <v>2020</v>
      </c>
      <c r="D1672" s="5" t="s">
        <v>83</v>
      </c>
      <c r="E1672" s="5" t="s">
        <v>55</v>
      </c>
      <c r="F1672" s="5" t="s">
        <v>40</v>
      </c>
      <c r="G1672" s="6" t="n">
        <v>437</v>
      </c>
      <c r="H1672" s="6" t="n">
        <v>131</v>
      </c>
      <c r="I1672" s="7" t="n">
        <f aca="false">(G1672-H1672)/G1672</f>
        <v>0.700228832951945</v>
      </c>
      <c r="J1672" s="15" t="n">
        <v>0.5485</v>
      </c>
      <c r="K1672" s="11" t="str">
        <f aca="false">IF(I1672&lt;J1672,"TAK","NIE")</f>
        <v>NIE</v>
      </c>
    </row>
    <row r="1673" customFormat="false" ht="15" hidden="false" customHeight="false" outlineLevel="0" collapsed="false">
      <c r="A1673" s="5" t="s">
        <v>439</v>
      </c>
      <c r="B1673" s="5" t="s">
        <v>85</v>
      </c>
      <c r="C1673" s="5" t="n">
        <v>2020</v>
      </c>
      <c r="D1673" s="5" t="s">
        <v>83</v>
      </c>
      <c r="E1673" s="5" t="s">
        <v>55</v>
      </c>
      <c r="F1673" s="5" t="s">
        <v>40</v>
      </c>
      <c r="G1673" s="6" t="n">
        <v>437</v>
      </c>
      <c r="H1673" s="6" t="n">
        <v>171</v>
      </c>
      <c r="I1673" s="7" t="n">
        <f aca="false">(G1673-H1673)/G1673</f>
        <v>0.608695652173913</v>
      </c>
      <c r="J1673" s="15" t="n">
        <v>0.5485</v>
      </c>
      <c r="K1673" s="11" t="str">
        <f aca="false">IF(I1673&lt;J1673,"TAK","NIE")</f>
        <v>NIE</v>
      </c>
    </row>
    <row r="1674" customFormat="false" ht="15" hidden="false" customHeight="false" outlineLevel="0" collapsed="false">
      <c r="A1674" s="5" t="s">
        <v>440</v>
      </c>
      <c r="B1674" s="5" t="s">
        <v>85</v>
      </c>
      <c r="C1674" s="5" t="n">
        <v>2020</v>
      </c>
      <c r="D1674" s="5" t="s">
        <v>83</v>
      </c>
      <c r="E1674" s="5" t="s">
        <v>55</v>
      </c>
      <c r="F1674" s="5" t="s">
        <v>40</v>
      </c>
      <c r="G1674" s="6" t="n">
        <v>437</v>
      </c>
      <c r="H1674" s="6" t="n">
        <v>113</v>
      </c>
      <c r="I1674" s="7" t="n">
        <f aca="false">(G1674-H1674)/G1674</f>
        <v>0.74141876430206</v>
      </c>
      <c r="J1674" s="15" t="n">
        <v>0.5485</v>
      </c>
      <c r="K1674" s="11" t="str">
        <f aca="false">IF(I1674&lt;J1674,"TAK","NIE")</f>
        <v>NIE</v>
      </c>
    </row>
    <row r="1675" customFormat="false" ht="15" hidden="false" customHeight="false" outlineLevel="0" collapsed="false">
      <c r="A1675" s="5" t="s">
        <v>441</v>
      </c>
      <c r="B1675" s="5" t="s">
        <v>85</v>
      </c>
      <c r="C1675" s="5" t="n">
        <v>2020</v>
      </c>
      <c r="D1675" s="5" t="s">
        <v>83</v>
      </c>
      <c r="E1675" s="5" t="s">
        <v>55</v>
      </c>
      <c r="F1675" s="5" t="s">
        <v>40</v>
      </c>
      <c r="G1675" s="6" t="n">
        <v>437</v>
      </c>
      <c r="H1675" s="6" t="n">
        <v>69</v>
      </c>
      <c r="I1675" s="7" t="n">
        <f aca="false">(G1675-H1675)/G1675</f>
        <v>0.842105263157895</v>
      </c>
      <c r="J1675" s="15" t="n">
        <v>0.5485</v>
      </c>
      <c r="K1675" s="11" t="str">
        <f aca="false">IF(I1675&lt;J1675,"TAK","NIE")</f>
        <v>NIE</v>
      </c>
    </row>
    <row r="1676" customFormat="false" ht="15" hidden="false" customHeight="false" outlineLevel="0" collapsed="false">
      <c r="A1676" s="5" t="s">
        <v>442</v>
      </c>
      <c r="B1676" s="5" t="s">
        <v>85</v>
      </c>
      <c r="C1676" s="5" t="n">
        <v>2020</v>
      </c>
      <c r="D1676" s="5" t="s">
        <v>83</v>
      </c>
      <c r="E1676" s="5" t="s">
        <v>55</v>
      </c>
      <c r="F1676" s="5" t="s">
        <v>40</v>
      </c>
      <c r="G1676" s="6" t="n">
        <v>437</v>
      </c>
      <c r="H1676" s="6" t="n">
        <v>104</v>
      </c>
      <c r="I1676" s="7" t="n">
        <f aca="false">(G1676-H1676)/G1676</f>
        <v>0.762013729977117</v>
      </c>
      <c r="J1676" s="15" t="n">
        <v>0.5485</v>
      </c>
      <c r="K1676" s="11" t="str">
        <f aca="false">IF(I1676&lt;J1676,"TAK","NIE")</f>
        <v>NIE</v>
      </c>
    </row>
    <row r="1677" customFormat="false" ht="15" hidden="false" customHeight="false" outlineLevel="0" collapsed="false">
      <c r="A1677" s="5" t="s">
        <v>444</v>
      </c>
      <c r="B1677" s="5" t="s">
        <v>85</v>
      </c>
      <c r="C1677" s="5" t="n">
        <v>2020</v>
      </c>
      <c r="D1677" s="5" t="s">
        <v>83</v>
      </c>
      <c r="E1677" s="5" t="s">
        <v>55</v>
      </c>
      <c r="F1677" s="5" t="s">
        <v>40</v>
      </c>
      <c r="G1677" s="6" t="n">
        <v>437</v>
      </c>
      <c r="H1677" s="6" t="n">
        <v>93</v>
      </c>
      <c r="I1677" s="7" t="n">
        <f aca="false">(G1677-H1677)/G1677</f>
        <v>0.787185354691076</v>
      </c>
      <c r="J1677" s="15" t="n">
        <v>0.5485</v>
      </c>
      <c r="K1677" s="11" t="str">
        <f aca="false">IF(I1677&lt;J1677,"TAK","NIE")</f>
        <v>NIE</v>
      </c>
    </row>
    <row r="1678" customFormat="false" ht="15" hidden="false" customHeight="false" outlineLevel="0" collapsed="false">
      <c r="A1678" s="5" t="s">
        <v>430</v>
      </c>
      <c r="B1678" s="5" t="s">
        <v>86</v>
      </c>
      <c r="C1678" s="5" t="n">
        <v>2020</v>
      </c>
      <c r="D1678" s="5" t="s">
        <v>83</v>
      </c>
      <c r="E1678" s="5" t="s">
        <v>57</v>
      </c>
      <c r="F1678" s="5" t="s">
        <v>39</v>
      </c>
      <c r="G1678" s="6" t="n">
        <v>455</v>
      </c>
      <c r="H1678" s="6" t="n">
        <v>168</v>
      </c>
      <c r="I1678" s="7" t="n">
        <f aca="false">(G1678-H1678)/G1678</f>
        <v>0.630769230769231</v>
      </c>
      <c r="J1678" s="15" t="n">
        <v>0.4565</v>
      </c>
      <c r="K1678" s="11" t="str">
        <f aca="false">IF(I1678&lt;J1678,"TAK","NIE")</f>
        <v>NIE</v>
      </c>
    </row>
    <row r="1679" customFormat="false" ht="15" hidden="false" customHeight="false" outlineLevel="0" collapsed="false">
      <c r="A1679" s="5" t="s">
        <v>431</v>
      </c>
      <c r="B1679" s="5" t="s">
        <v>86</v>
      </c>
      <c r="C1679" s="5" t="n">
        <v>2020</v>
      </c>
      <c r="D1679" s="5" t="s">
        <v>83</v>
      </c>
      <c r="E1679" s="5" t="s">
        <v>57</v>
      </c>
      <c r="F1679" s="5" t="s">
        <v>39</v>
      </c>
      <c r="G1679" s="6" t="n">
        <v>477</v>
      </c>
      <c r="H1679" s="6" t="n">
        <v>179</v>
      </c>
      <c r="I1679" s="7" t="n">
        <f aca="false">(G1679-H1679)/G1679</f>
        <v>0.624737945492663</v>
      </c>
      <c r="J1679" s="15" t="n">
        <v>0.4565</v>
      </c>
      <c r="K1679" s="11" t="str">
        <f aca="false">IF(I1679&lt;J1679,"TAK","NIE")</f>
        <v>NIE</v>
      </c>
    </row>
    <row r="1680" customFormat="false" ht="15" hidden="false" customHeight="false" outlineLevel="0" collapsed="false">
      <c r="A1680" s="5" t="s">
        <v>432</v>
      </c>
      <c r="B1680" s="5" t="s">
        <v>86</v>
      </c>
      <c r="C1680" s="5" t="n">
        <v>2020</v>
      </c>
      <c r="D1680" s="5" t="s">
        <v>83</v>
      </c>
      <c r="E1680" s="5" t="s">
        <v>57</v>
      </c>
      <c r="F1680" s="5" t="s">
        <v>39</v>
      </c>
      <c r="G1680" s="6" t="n">
        <v>477</v>
      </c>
      <c r="H1680" s="6" t="n">
        <v>180</v>
      </c>
      <c r="I1680" s="7" t="n">
        <f aca="false">(G1680-H1680)/G1680</f>
        <v>0.622641509433962</v>
      </c>
      <c r="J1680" s="15" t="n">
        <v>0.4565</v>
      </c>
      <c r="K1680" s="11" t="str">
        <f aca="false">IF(I1680&lt;J1680,"TAK","NIE")</f>
        <v>NIE</v>
      </c>
    </row>
    <row r="1681" customFormat="false" ht="15" hidden="false" customHeight="false" outlineLevel="0" collapsed="false">
      <c r="A1681" s="5" t="s">
        <v>433</v>
      </c>
      <c r="B1681" s="5" t="s">
        <v>86</v>
      </c>
      <c r="C1681" s="5" t="n">
        <v>2020</v>
      </c>
      <c r="D1681" s="5" t="s">
        <v>83</v>
      </c>
      <c r="E1681" s="5" t="s">
        <v>57</v>
      </c>
      <c r="F1681" s="5" t="s">
        <v>39</v>
      </c>
      <c r="G1681" s="6" t="n">
        <v>477</v>
      </c>
      <c r="H1681" s="6" t="n">
        <v>217</v>
      </c>
      <c r="I1681" s="7" t="n">
        <f aca="false">(G1681-H1681)/G1681</f>
        <v>0.545073375262055</v>
      </c>
      <c r="J1681" s="15" t="n">
        <v>0.4565</v>
      </c>
      <c r="K1681" s="11" t="str">
        <f aca="false">IF(I1681&lt;J1681,"TAK","NIE")</f>
        <v>NIE</v>
      </c>
    </row>
    <row r="1682" customFormat="false" ht="15" hidden="false" customHeight="false" outlineLevel="0" collapsed="false">
      <c r="A1682" s="5" t="s">
        <v>434</v>
      </c>
      <c r="B1682" s="5" t="s">
        <v>86</v>
      </c>
      <c r="C1682" s="5" t="n">
        <v>2020</v>
      </c>
      <c r="D1682" s="5" t="s">
        <v>83</v>
      </c>
      <c r="E1682" s="5" t="s">
        <v>57</v>
      </c>
      <c r="F1682" s="5" t="s">
        <v>39</v>
      </c>
      <c r="G1682" s="6" t="n">
        <v>458</v>
      </c>
      <c r="H1682" s="6" t="n">
        <v>137</v>
      </c>
      <c r="I1682" s="7" t="n">
        <f aca="false">(G1682-H1682)/G1682</f>
        <v>0.700873362445415</v>
      </c>
      <c r="J1682" s="15" t="n">
        <v>0.4565</v>
      </c>
      <c r="K1682" s="11" t="str">
        <f aca="false">IF(I1682&lt;J1682,"TAK","NIE")</f>
        <v>NIE</v>
      </c>
    </row>
    <row r="1683" customFormat="false" ht="15" hidden="false" customHeight="false" outlineLevel="0" collapsed="false">
      <c r="A1683" s="5" t="s">
        <v>435</v>
      </c>
      <c r="B1683" s="5" t="s">
        <v>86</v>
      </c>
      <c r="C1683" s="5" t="n">
        <v>2020</v>
      </c>
      <c r="D1683" s="5" t="s">
        <v>83</v>
      </c>
      <c r="E1683" s="5" t="s">
        <v>57</v>
      </c>
      <c r="F1683" s="5" t="s">
        <v>39</v>
      </c>
      <c r="G1683" s="6" t="n">
        <v>458</v>
      </c>
      <c r="H1683" s="6" t="n">
        <v>253</v>
      </c>
      <c r="I1683" s="7" t="n">
        <f aca="false">(G1683-H1683)/G1683</f>
        <v>0.447598253275109</v>
      </c>
      <c r="J1683" s="15" t="n">
        <v>0.4565</v>
      </c>
      <c r="K1683" s="11" t="str">
        <f aca="false">IF(I1683&lt;J1683,"TAK","NIE")</f>
        <v>TAK</v>
      </c>
    </row>
    <row r="1684" customFormat="false" ht="15" hidden="false" customHeight="false" outlineLevel="0" collapsed="false">
      <c r="A1684" s="5" t="s">
        <v>436</v>
      </c>
      <c r="B1684" s="5" t="s">
        <v>86</v>
      </c>
      <c r="C1684" s="5" t="n">
        <v>2020</v>
      </c>
      <c r="D1684" s="5" t="s">
        <v>83</v>
      </c>
      <c r="E1684" s="5" t="s">
        <v>57</v>
      </c>
      <c r="F1684" s="5" t="s">
        <v>39</v>
      </c>
      <c r="G1684" s="6" t="n">
        <v>477</v>
      </c>
      <c r="H1684" s="6" t="n">
        <v>127</v>
      </c>
      <c r="I1684" s="7" t="n">
        <f aca="false">(G1684-H1684)/G1684</f>
        <v>0.733752620545073</v>
      </c>
      <c r="J1684" s="15" t="n">
        <v>0.4565</v>
      </c>
      <c r="K1684" s="11" t="str">
        <f aca="false">IF(I1684&lt;J1684,"TAK","NIE")</f>
        <v>NIE</v>
      </c>
    </row>
    <row r="1685" customFormat="false" ht="15" hidden="false" customHeight="false" outlineLevel="0" collapsed="false">
      <c r="A1685" s="5" t="s">
        <v>438</v>
      </c>
      <c r="B1685" s="5" t="s">
        <v>86</v>
      </c>
      <c r="C1685" s="5" t="n">
        <v>2020</v>
      </c>
      <c r="D1685" s="5" t="s">
        <v>83</v>
      </c>
      <c r="E1685" s="5" t="s">
        <v>57</v>
      </c>
      <c r="F1685" s="5" t="s">
        <v>39</v>
      </c>
      <c r="G1685" s="6" t="n">
        <v>477</v>
      </c>
      <c r="H1685" s="6" t="n">
        <v>140</v>
      </c>
      <c r="I1685" s="7" t="n">
        <f aca="false">(G1685-H1685)/G1685</f>
        <v>0.706498951781971</v>
      </c>
      <c r="J1685" s="15" t="n">
        <v>0.4565</v>
      </c>
      <c r="K1685" s="11" t="str">
        <f aca="false">IF(I1685&lt;J1685,"TAK","NIE")</f>
        <v>NIE</v>
      </c>
    </row>
    <row r="1686" customFormat="false" ht="15" hidden="false" customHeight="false" outlineLevel="0" collapsed="false">
      <c r="A1686" s="5" t="s">
        <v>439</v>
      </c>
      <c r="B1686" s="5" t="s">
        <v>86</v>
      </c>
      <c r="C1686" s="5" t="n">
        <v>2020</v>
      </c>
      <c r="D1686" s="5" t="s">
        <v>83</v>
      </c>
      <c r="E1686" s="5" t="s">
        <v>57</v>
      </c>
      <c r="F1686" s="5" t="s">
        <v>39</v>
      </c>
      <c r="G1686" s="6" t="n">
        <v>477</v>
      </c>
      <c r="H1686" s="6" t="n">
        <v>167</v>
      </c>
      <c r="I1686" s="7" t="n">
        <f aca="false">(G1686-H1686)/G1686</f>
        <v>0.649895178197065</v>
      </c>
      <c r="J1686" s="15" t="n">
        <v>0.4565</v>
      </c>
      <c r="K1686" s="11" t="str">
        <f aca="false">IF(I1686&lt;J1686,"TAK","NIE")</f>
        <v>NIE</v>
      </c>
    </row>
    <row r="1687" customFormat="false" ht="15" hidden="false" customHeight="false" outlineLevel="0" collapsed="false">
      <c r="A1687" s="5" t="s">
        <v>440</v>
      </c>
      <c r="B1687" s="5" t="s">
        <v>86</v>
      </c>
      <c r="C1687" s="5" t="n">
        <v>2020</v>
      </c>
      <c r="D1687" s="5" t="s">
        <v>83</v>
      </c>
      <c r="E1687" s="5" t="s">
        <v>57</v>
      </c>
      <c r="F1687" s="5" t="s">
        <v>39</v>
      </c>
      <c r="G1687" s="6" t="n">
        <v>477</v>
      </c>
      <c r="H1687" s="6" t="n">
        <v>122</v>
      </c>
      <c r="I1687" s="7" t="n">
        <f aca="false">(G1687-H1687)/G1687</f>
        <v>0.744234800838574</v>
      </c>
      <c r="J1687" s="15" t="n">
        <v>0.4565</v>
      </c>
      <c r="K1687" s="11" t="str">
        <f aca="false">IF(I1687&lt;J1687,"TAK","NIE")</f>
        <v>NIE</v>
      </c>
    </row>
    <row r="1688" customFormat="false" ht="15" hidden="false" customHeight="false" outlineLevel="0" collapsed="false">
      <c r="A1688" s="5" t="s">
        <v>441</v>
      </c>
      <c r="B1688" s="5" t="s">
        <v>86</v>
      </c>
      <c r="C1688" s="5" t="n">
        <v>2020</v>
      </c>
      <c r="D1688" s="5" t="s">
        <v>83</v>
      </c>
      <c r="E1688" s="5" t="s">
        <v>57</v>
      </c>
      <c r="F1688" s="5" t="s">
        <v>39</v>
      </c>
      <c r="G1688" s="6" t="n">
        <v>477</v>
      </c>
      <c r="H1688" s="6" t="n">
        <v>72</v>
      </c>
      <c r="I1688" s="7" t="n">
        <f aca="false">(G1688-H1688)/G1688</f>
        <v>0.849056603773585</v>
      </c>
      <c r="J1688" s="15" t="n">
        <v>0.4565</v>
      </c>
      <c r="K1688" s="11" t="str">
        <f aca="false">IF(I1688&lt;J1688,"TAK","NIE")</f>
        <v>NIE</v>
      </c>
    </row>
    <row r="1689" customFormat="false" ht="15" hidden="false" customHeight="false" outlineLevel="0" collapsed="false">
      <c r="A1689" s="5" t="s">
        <v>444</v>
      </c>
      <c r="B1689" s="5" t="s">
        <v>86</v>
      </c>
      <c r="C1689" s="5" t="n">
        <v>2020</v>
      </c>
      <c r="D1689" s="5" t="s">
        <v>83</v>
      </c>
      <c r="E1689" s="5" t="s">
        <v>57</v>
      </c>
      <c r="F1689" s="5" t="s">
        <v>39</v>
      </c>
      <c r="G1689" s="6" t="n">
        <v>477</v>
      </c>
      <c r="H1689" s="6" t="n">
        <v>24</v>
      </c>
      <c r="I1689" s="7" t="n">
        <f aca="false">(G1689-H1689)/G1689</f>
        <v>0.949685534591195</v>
      </c>
      <c r="J1689" s="15" t="n">
        <v>0.4565</v>
      </c>
      <c r="K1689" s="11" t="str">
        <f aca="false">IF(I1689&lt;J1689,"TAK","NIE")</f>
        <v>NIE</v>
      </c>
    </row>
    <row r="1690" customFormat="false" ht="15" hidden="false" customHeight="false" outlineLevel="0" collapsed="false">
      <c r="A1690" s="5" t="s">
        <v>430</v>
      </c>
      <c r="B1690" s="5" t="s">
        <v>86</v>
      </c>
      <c r="C1690" s="5" t="n">
        <v>2020</v>
      </c>
      <c r="D1690" s="5" t="s">
        <v>83</v>
      </c>
      <c r="E1690" s="5" t="s">
        <v>57</v>
      </c>
      <c r="F1690" s="5" t="s">
        <v>40</v>
      </c>
      <c r="G1690" s="6" t="n">
        <v>648</v>
      </c>
      <c r="H1690" s="6" t="n">
        <v>216</v>
      </c>
      <c r="I1690" s="7" t="n">
        <f aca="false">(G1690-H1690)/G1690</f>
        <v>0.666666666666667</v>
      </c>
      <c r="J1690" s="15" t="n">
        <v>0.3723</v>
      </c>
      <c r="K1690" s="11" t="str">
        <f aca="false">IF(I1690&lt;J1690,"TAK","NIE")</f>
        <v>NIE</v>
      </c>
    </row>
    <row r="1691" customFormat="false" ht="15" hidden="false" customHeight="false" outlineLevel="0" collapsed="false">
      <c r="A1691" s="5" t="s">
        <v>431</v>
      </c>
      <c r="B1691" s="5" t="s">
        <v>86</v>
      </c>
      <c r="C1691" s="5" t="n">
        <v>2020</v>
      </c>
      <c r="D1691" s="5" t="s">
        <v>83</v>
      </c>
      <c r="E1691" s="5" t="s">
        <v>57</v>
      </c>
      <c r="F1691" s="5" t="s">
        <v>40</v>
      </c>
      <c r="G1691" s="6" t="n">
        <v>676</v>
      </c>
      <c r="H1691" s="6" t="n">
        <v>316</v>
      </c>
      <c r="I1691" s="7" t="n">
        <f aca="false">(G1691-H1691)/G1691</f>
        <v>0.532544378698225</v>
      </c>
      <c r="J1691" s="15" t="n">
        <v>0.3723</v>
      </c>
      <c r="K1691" s="11" t="str">
        <f aca="false">IF(I1691&lt;J1691,"TAK","NIE")</f>
        <v>NIE</v>
      </c>
    </row>
    <row r="1692" customFormat="false" ht="15" hidden="false" customHeight="false" outlineLevel="0" collapsed="false">
      <c r="A1692" s="5" t="s">
        <v>432</v>
      </c>
      <c r="B1692" s="5" t="s">
        <v>86</v>
      </c>
      <c r="C1692" s="5" t="n">
        <v>2020</v>
      </c>
      <c r="D1692" s="5" t="s">
        <v>83</v>
      </c>
      <c r="E1692" s="5" t="s">
        <v>57</v>
      </c>
      <c r="F1692" s="5" t="s">
        <v>40</v>
      </c>
      <c r="G1692" s="6" t="n">
        <v>676</v>
      </c>
      <c r="H1692" s="6" t="n">
        <v>285</v>
      </c>
      <c r="I1692" s="7" t="n">
        <f aca="false">(G1692-H1692)/G1692</f>
        <v>0.578402366863905</v>
      </c>
      <c r="J1692" s="15" t="n">
        <v>0.3723</v>
      </c>
      <c r="K1692" s="11" t="str">
        <f aca="false">IF(I1692&lt;J1692,"TAK","NIE")</f>
        <v>NIE</v>
      </c>
    </row>
    <row r="1693" customFormat="false" ht="15" hidden="false" customHeight="false" outlineLevel="0" collapsed="false">
      <c r="A1693" s="5" t="s">
        <v>433</v>
      </c>
      <c r="B1693" s="5" t="s">
        <v>86</v>
      </c>
      <c r="C1693" s="5" t="n">
        <v>2020</v>
      </c>
      <c r="D1693" s="5" t="s">
        <v>83</v>
      </c>
      <c r="E1693" s="5" t="s">
        <v>57</v>
      </c>
      <c r="F1693" s="5" t="s">
        <v>40</v>
      </c>
      <c r="G1693" s="6" t="n">
        <v>667</v>
      </c>
      <c r="H1693" s="6" t="n">
        <v>274</v>
      </c>
      <c r="I1693" s="7" t="n">
        <f aca="false">(G1693-H1693)/G1693</f>
        <v>0.589205397301349</v>
      </c>
      <c r="J1693" s="15" t="n">
        <v>0.3723</v>
      </c>
      <c r="K1693" s="11" t="str">
        <f aca="false">IF(I1693&lt;J1693,"TAK","NIE")</f>
        <v>NIE</v>
      </c>
    </row>
    <row r="1694" customFormat="false" ht="15" hidden="false" customHeight="false" outlineLevel="0" collapsed="false">
      <c r="A1694" s="5" t="s">
        <v>434</v>
      </c>
      <c r="B1694" s="5" t="s">
        <v>86</v>
      </c>
      <c r="C1694" s="5" t="n">
        <v>2020</v>
      </c>
      <c r="D1694" s="5" t="s">
        <v>83</v>
      </c>
      <c r="E1694" s="5" t="s">
        <v>57</v>
      </c>
      <c r="F1694" s="5" t="s">
        <v>40</v>
      </c>
      <c r="G1694" s="6" t="n">
        <v>649</v>
      </c>
      <c r="H1694" s="6" t="n">
        <v>288</v>
      </c>
      <c r="I1694" s="7" t="n">
        <f aca="false">(G1694-H1694)/G1694</f>
        <v>0.556240369799692</v>
      </c>
      <c r="J1694" s="15" t="n">
        <v>0.3723</v>
      </c>
      <c r="K1694" s="11" t="str">
        <f aca="false">IF(I1694&lt;J1694,"TAK","NIE")</f>
        <v>NIE</v>
      </c>
    </row>
    <row r="1695" customFormat="false" ht="15" hidden="false" customHeight="false" outlineLevel="0" collapsed="false">
      <c r="A1695" s="5" t="s">
        <v>435</v>
      </c>
      <c r="B1695" s="5" t="s">
        <v>86</v>
      </c>
      <c r="C1695" s="5" t="n">
        <v>2020</v>
      </c>
      <c r="D1695" s="5" t="s">
        <v>83</v>
      </c>
      <c r="E1695" s="5" t="s">
        <v>57</v>
      </c>
      <c r="F1695" s="5" t="s">
        <v>40</v>
      </c>
      <c r="G1695" s="6" t="n">
        <v>649</v>
      </c>
      <c r="H1695" s="6" t="n">
        <v>380</v>
      </c>
      <c r="I1695" s="7" t="n">
        <f aca="false">(G1695-H1695)/G1695</f>
        <v>0.414483821263482</v>
      </c>
      <c r="J1695" s="15" t="n">
        <v>0.3723</v>
      </c>
      <c r="K1695" s="11" t="str">
        <f aca="false">IF(I1695&lt;J1695,"TAK","NIE")</f>
        <v>NIE</v>
      </c>
    </row>
    <row r="1696" customFormat="false" ht="15" hidden="false" customHeight="false" outlineLevel="0" collapsed="false">
      <c r="A1696" s="5" t="s">
        <v>436</v>
      </c>
      <c r="B1696" s="5" t="s">
        <v>86</v>
      </c>
      <c r="C1696" s="5" t="n">
        <v>2020</v>
      </c>
      <c r="D1696" s="5" t="s">
        <v>83</v>
      </c>
      <c r="E1696" s="5" t="s">
        <v>57</v>
      </c>
      <c r="F1696" s="5" t="s">
        <v>40</v>
      </c>
      <c r="G1696" s="6" t="n">
        <v>670</v>
      </c>
      <c r="H1696" s="6" t="n">
        <v>195</v>
      </c>
      <c r="I1696" s="7" t="n">
        <f aca="false">(G1696-H1696)/G1696</f>
        <v>0.708955223880597</v>
      </c>
      <c r="J1696" s="15" t="n">
        <v>0.3723</v>
      </c>
      <c r="K1696" s="11" t="str">
        <f aca="false">IF(I1696&lt;J1696,"TAK","NIE")</f>
        <v>NIE</v>
      </c>
    </row>
    <row r="1697" customFormat="false" ht="15" hidden="false" customHeight="false" outlineLevel="0" collapsed="false">
      <c r="A1697" s="5" t="s">
        <v>438</v>
      </c>
      <c r="B1697" s="5" t="s">
        <v>86</v>
      </c>
      <c r="C1697" s="5" t="n">
        <v>2020</v>
      </c>
      <c r="D1697" s="5" t="s">
        <v>83</v>
      </c>
      <c r="E1697" s="5" t="s">
        <v>57</v>
      </c>
      <c r="F1697" s="5" t="s">
        <v>40</v>
      </c>
      <c r="G1697" s="6" t="n">
        <v>676</v>
      </c>
      <c r="H1697" s="6" t="n">
        <v>213</v>
      </c>
      <c r="I1697" s="7" t="n">
        <f aca="false">(G1697-H1697)/G1697</f>
        <v>0.68491124260355</v>
      </c>
      <c r="J1697" s="15" t="n">
        <v>0.3723</v>
      </c>
      <c r="K1697" s="11" t="str">
        <f aca="false">IF(I1697&lt;J1697,"TAK","NIE")</f>
        <v>NIE</v>
      </c>
    </row>
    <row r="1698" customFormat="false" ht="15" hidden="false" customHeight="false" outlineLevel="0" collapsed="false">
      <c r="A1698" s="5" t="s">
        <v>439</v>
      </c>
      <c r="B1698" s="5" t="s">
        <v>86</v>
      </c>
      <c r="C1698" s="5" t="n">
        <v>2020</v>
      </c>
      <c r="D1698" s="5" t="s">
        <v>83</v>
      </c>
      <c r="E1698" s="5" t="s">
        <v>57</v>
      </c>
      <c r="F1698" s="5" t="s">
        <v>40</v>
      </c>
      <c r="G1698" s="6" t="n">
        <v>670</v>
      </c>
      <c r="H1698" s="6" t="n">
        <v>291</v>
      </c>
      <c r="I1698" s="7" t="n">
        <f aca="false">(G1698-H1698)/G1698</f>
        <v>0.565671641791045</v>
      </c>
      <c r="J1698" s="15" t="n">
        <v>0.3723</v>
      </c>
      <c r="K1698" s="11" t="str">
        <f aca="false">IF(I1698&lt;J1698,"TAK","NIE")</f>
        <v>NIE</v>
      </c>
    </row>
    <row r="1699" customFormat="false" ht="15" hidden="false" customHeight="false" outlineLevel="0" collapsed="false">
      <c r="A1699" s="5" t="s">
        <v>440</v>
      </c>
      <c r="B1699" s="5" t="s">
        <v>86</v>
      </c>
      <c r="C1699" s="5" t="n">
        <v>2020</v>
      </c>
      <c r="D1699" s="5" t="s">
        <v>83</v>
      </c>
      <c r="E1699" s="5" t="s">
        <v>57</v>
      </c>
      <c r="F1699" s="5" t="s">
        <v>40</v>
      </c>
      <c r="G1699" s="6" t="n">
        <v>676</v>
      </c>
      <c r="H1699" s="6" t="n">
        <v>283</v>
      </c>
      <c r="I1699" s="7" t="n">
        <f aca="false">(G1699-H1699)/G1699</f>
        <v>0.581360946745562</v>
      </c>
      <c r="J1699" s="15" t="n">
        <v>0.3723</v>
      </c>
      <c r="K1699" s="11" t="str">
        <f aca="false">IF(I1699&lt;J1699,"TAK","NIE")</f>
        <v>NIE</v>
      </c>
    </row>
    <row r="1700" customFormat="false" ht="15" hidden="false" customHeight="false" outlineLevel="0" collapsed="false">
      <c r="A1700" s="5" t="s">
        <v>441</v>
      </c>
      <c r="B1700" s="5" t="s">
        <v>86</v>
      </c>
      <c r="C1700" s="5" t="n">
        <v>2020</v>
      </c>
      <c r="D1700" s="5" t="s">
        <v>83</v>
      </c>
      <c r="E1700" s="5" t="s">
        <v>57</v>
      </c>
      <c r="F1700" s="5" t="s">
        <v>40</v>
      </c>
      <c r="G1700" s="6" t="n">
        <v>676</v>
      </c>
      <c r="H1700" s="6" t="n">
        <v>118</v>
      </c>
      <c r="I1700" s="7" t="n">
        <f aca="false">(G1700-H1700)/G1700</f>
        <v>0.825443786982249</v>
      </c>
      <c r="J1700" s="15" t="n">
        <v>0.3723</v>
      </c>
      <c r="K1700" s="11" t="str">
        <f aca="false">IF(I1700&lt;J1700,"TAK","NIE")</f>
        <v>NIE</v>
      </c>
    </row>
    <row r="1701" customFormat="false" ht="15" hidden="false" customHeight="false" outlineLevel="0" collapsed="false">
      <c r="A1701" s="5" t="s">
        <v>444</v>
      </c>
      <c r="B1701" s="5" t="s">
        <v>86</v>
      </c>
      <c r="C1701" s="5" t="n">
        <v>2020</v>
      </c>
      <c r="D1701" s="5" t="s">
        <v>83</v>
      </c>
      <c r="E1701" s="5" t="s">
        <v>57</v>
      </c>
      <c r="F1701" s="5" t="s">
        <v>40</v>
      </c>
      <c r="G1701" s="6" t="n">
        <v>676</v>
      </c>
      <c r="H1701" s="6" t="n">
        <v>152</v>
      </c>
      <c r="I1701" s="7" t="n">
        <f aca="false">(G1701-H1701)/G1701</f>
        <v>0.775147928994083</v>
      </c>
      <c r="J1701" s="15" t="n">
        <v>0.3723</v>
      </c>
      <c r="K1701" s="11" t="str">
        <f aca="false">IF(I1701&lt;J1701,"TAK","NIE")</f>
        <v>NIE</v>
      </c>
    </row>
    <row r="1702" customFormat="false" ht="15" hidden="false" customHeight="false" outlineLevel="0" collapsed="false">
      <c r="A1702" s="5" t="s">
        <v>430</v>
      </c>
      <c r="B1702" s="5" t="s">
        <v>87</v>
      </c>
      <c r="C1702" s="5" t="n">
        <v>2020</v>
      </c>
      <c r="D1702" s="5" t="s">
        <v>83</v>
      </c>
      <c r="E1702" s="5" t="s">
        <v>75</v>
      </c>
      <c r="F1702" s="5" t="s">
        <v>39</v>
      </c>
      <c r="G1702" s="6" t="n">
        <v>426</v>
      </c>
      <c r="H1702" s="6" t="n">
        <v>117</v>
      </c>
      <c r="I1702" s="7" t="n">
        <f aca="false">(G1702-H1702)/G1702</f>
        <v>0.725352112676056</v>
      </c>
      <c r="J1702" s="15" t="n">
        <v>0.5905</v>
      </c>
      <c r="K1702" s="11" t="str">
        <f aca="false">IF(I1702&lt;J1702,"TAK","NIE")</f>
        <v>NIE</v>
      </c>
    </row>
    <row r="1703" customFormat="false" ht="15" hidden="false" customHeight="false" outlineLevel="0" collapsed="false">
      <c r="A1703" s="5" t="s">
        <v>431</v>
      </c>
      <c r="B1703" s="5" t="s">
        <v>87</v>
      </c>
      <c r="C1703" s="5" t="n">
        <v>2020</v>
      </c>
      <c r="D1703" s="5" t="s">
        <v>83</v>
      </c>
      <c r="E1703" s="5" t="s">
        <v>75</v>
      </c>
      <c r="F1703" s="5" t="s">
        <v>39</v>
      </c>
      <c r="G1703" s="6" t="n">
        <v>450</v>
      </c>
      <c r="H1703" s="6" t="n">
        <v>105</v>
      </c>
      <c r="I1703" s="7" t="n">
        <f aca="false">(G1703-H1703)/G1703</f>
        <v>0.766666666666667</v>
      </c>
      <c r="J1703" s="15" t="n">
        <v>0.5905</v>
      </c>
      <c r="K1703" s="11" t="str">
        <f aca="false">IF(I1703&lt;J1703,"TAK","NIE")</f>
        <v>NIE</v>
      </c>
    </row>
    <row r="1704" customFormat="false" ht="15" hidden="false" customHeight="false" outlineLevel="0" collapsed="false">
      <c r="A1704" s="5" t="s">
        <v>432</v>
      </c>
      <c r="B1704" s="5" t="s">
        <v>87</v>
      </c>
      <c r="C1704" s="5" t="n">
        <v>2020</v>
      </c>
      <c r="D1704" s="5" t="s">
        <v>83</v>
      </c>
      <c r="E1704" s="5" t="s">
        <v>75</v>
      </c>
      <c r="F1704" s="5" t="s">
        <v>39</v>
      </c>
      <c r="G1704" s="6" t="n">
        <v>450</v>
      </c>
      <c r="H1704" s="6" t="n">
        <v>160</v>
      </c>
      <c r="I1704" s="7" t="n">
        <f aca="false">(G1704-H1704)/G1704</f>
        <v>0.644444444444445</v>
      </c>
      <c r="J1704" s="15" t="n">
        <v>0.5905</v>
      </c>
      <c r="K1704" s="11" t="str">
        <f aca="false">IF(I1704&lt;J1704,"TAK","NIE")</f>
        <v>NIE</v>
      </c>
    </row>
    <row r="1705" customFormat="false" ht="15" hidden="false" customHeight="false" outlineLevel="0" collapsed="false">
      <c r="A1705" s="5" t="s">
        <v>433</v>
      </c>
      <c r="B1705" s="5" t="s">
        <v>87</v>
      </c>
      <c r="C1705" s="5" t="n">
        <v>2020</v>
      </c>
      <c r="D1705" s="5" t="s">
        <v>83</v>
      </c>
      <c r="E1705" s="5" t="s">
        <v>75</v>
      </c>
      <c r="F1705" s="5" t="s">
        <v>39</v>
      </c>
      <c r="G1705" s="6" t="n">
        <v>450</v>
      </c>
      <c r="H1705" s="6" t="n">
        <v>120</v>
      </c>
      <c r="I1705" s="7" t="n">
        <f aca="false">(G1705-H1705)/G1705</f>
        <v>0.733333333333333</v>
      </c>
      <c r="J1705" s="15" t="n">
        <v>0.5905</v>
      </c>
      <c r="K1705" s="11" t="str">
        <f aca="false">IF(I1705&lt;J1705,"TAK","NIE")</f>
        <v>NIE</v>
      </c>
    </row>
    <row r="1706" customFormat="false" ht="15" hidden="false" customHeight="false" outlineLevel="0" collapsed="false">
      <c r="A1706" s="5" t="s">
        <v>434</v>
      </c>
      <c r="B1706" s="5" t="s">
        <v>87</v>
      </c>
      <c r="C1706" s="5" t="n">
        <v>2020</v>
      </c>
      <c r="D1706" s="5" t="s">
        <v>83</v>
      </c>
      <c r="E1706" s="5" t="s">
        <v>75</v>
      </c>
      <c r="F1706" s="5" t="s">
        <v>39</v>
      </c>
      <c r="G1706" s="6" t="n">
        <v>428</v>
      </c>
      <c r="H1706" s="6" t="n">
        <v>118</v>
      </c>
      <c r="I1706" s="7" t="n">
        <f aca="false">(G1706-H1706)/G1706</f>
        <v>0.724299065420561</v>
      </c>
      <c r="J1706" s="15" t="n">
        <v>0.5905</v>
      </c>
      <c r="K1706" s="11" t="str">
        <f aca="false">IF(I1706&lt;J1706,"TAK","NIE")</f>
        <v>NIE</v>
      </c>
    </row>
    <row r="1707" customFormat="false" ht="15" hidden="false" customHeight="false" outlineLevel="0" collapsed="false">
      <c r="A1707" s="5" t="s">
        <v>435</v>
      </c>
      <c r="B1707" s="5" t="s">
        <v>87</v>
      </c>
      <c r="C1707" s="5" t="n">
        <v>2020</v>
      </c>
      <c r="D1707" s="5" t="s">
        <v>83</v>
      </c>
      <c r="E1707" s="5" t="s">
        <v>75</v>
      </c>
      <c r="F1707" s="5" t="s">
        <v>39</v>
      </c>
      <c r="G1707" s="6" t="n">
        <v>428</v>
      </c>
      <c r="H1707" s="6" t="n">
        <v>210</v>
      </c>
      <c r="I1707" s="7" t="n">
        <f aca="false">(G1707-H1707)/G1707</f>
        <v>0.509345794392523</v>
      </c>
      <c r="J1707" s="15" t="n">
        <v>0.5905</v>
      </c>
      <c r="K1707" s="11" t="str">
        <f aca="false">IF(I1707&lt;J1707,"TAK","NIE")</f>
        <v>TAK</v>
      </c>
    </row>
    <row r="1708" customFormat="false" ht="15" hidden="false" customHeight="false" outlineLevel="0" collapsed="false">
      <c r="A1708" s="5" t="s">
        <v>436</v>
      </c>
      <c r="B1708" s="5" t="s">
        <v>87</v>
      </c>
      <c r="C1708" s="5" t="n">
        <v>2020</v>
      </c>
      <c r="D1708" s="5" t="s">
        <v>83</v>
      </c>
      <c r="E1708" s="5" t="s">
        <v>75</v>
      </c>
      <c r="F1708" s="5" t="s">
        <v>39</v>
      </c>
      <c r="G1708" s="6" t="n">
        <v>450</v>
      </c>
      <c r="H1708" s="6" t="n">
        <v>79</v>
      </c>
      <c r="I1708" s="7" t="n">
        <f aca="false">(G1708-H1708)/G1708</f>
        <v>0.824444444444444</v>
      </c>
      <c r="J1708" s="15" t="n">
        <v>0.5905</v>
      </c>
      <c r="K1708" s="11" t="str">
        <f aca="false">IF(I1708&lt;J1708,"TAK","NIE")</f>
        <v>NIE</v>
      </c>
    </row>
    <row r="1709" customFormat="false" ht="15" hidden="false" customHeight="false" outlineLevel="0" collapsed="false">
      <c r="A1709" s="5" t="s">
        <v>438</v>
      </c>
      <c r="B1709" s="5" t="s">
        <v>87</v>
      </c>
      <c r="C1709" s="5" t="n">
        <v>2020</v>
      </c>
      <c r="D1709" s="5" t="s">
        <v>83</v>
      </c>
      <c r="E1709" s="5" t="s">
        <v>75</v>
      </c>
      <c r="F1709" s="5" t="s">
        <v>39</v>
      </c>
      <c r="G1709" s="6" t="n">
        <v>450</v>
      </c>
      <c r="H1709" s="6" t="n">
        <v>85</v>
      </c>
      <c r="I1709" s="7" t="n">
        <f aca="false">(G1709-H1709)/G1709</f>
        <v>0.811111111111111</v>
      </c>
      <c r="J1709" s="15" t="n">
        <v>0.5905</v>
      </c>
      <c r="K1709" s="11" t="str">
        <f aca="false">IF(I1709&lt;J1709,"TAK","NIE")</f>
        <v>NIE</v>
      </c>
    </row>
    <row r="1710" customFormat="false" ht="15" hidden="false" customHeight="false" outlineLevel="0" collapsed="false">
      <c r="A1710" s="5" t="s">
        <v>439</v>
      </c>
      <c r="B1710" s="5" t="s">
        <v>87</v>
      </c>
      <c r="C1710" s="5" t="n">
        <v>2020</v>
      </c>
      <c r="D1710" s="5" t="s">
        <v>83</v>
      </c>
      <c r="E1710" s="5" t="s">
        <v>75</v>
      </c>
      <c r="F1710" s="5" t="s">
        <v>39</v>
      </c>
      <c r="G1710" s="6" t="n">
        <v>450</v>
      </c>
      <c r="H1710" s="6" t="n">
        <v>86</v>
      </c>
      <c r="I1710" s="7" t="n">
        <f aca="false">(G1710-H1710)/G1710</f>
        <v>0.808888888888889</v>
      </c>
      <c r="J1710" s="15" t="n">
        <v>0.5905</v>
      </c>
      <c r="K1710" s="11" t="str">
        <f aca="false">IF(I1710&lt;J1710,"TAK","NIE")</f>
        <v>NIE</v>
      </c>
    </row>
    <row r="1711" customFormat="false" ht="15" hidden="false" customHeight="false" outlineLevel="0" collapsed="false">
      <c r="A1711" s="5" t="s">
        <v>440</v>
      </c>
      <c r="B1711" s="5" t="s">
        <v>87</v>
      </c>
      <c r="C1711" s="5" t="n">
        <v>2020</v>
      </c>
      <c r="D1711" s="5" t="s">
        <v>83</v>
      </c>
      <c r="E1711" s="5" t="s">
        <v>75</v>
      </c>
      <c r="F1711" s="5" t="s">
        <v>39</v>
      </c>
      <c r="G1711" s="6" t="n">
        <v>450</v>
      </c>
      <c r="H1711" s="6" t="n">
        <v>85</v>
      </c>
      <c r="I1711" s="7" t="n">
        <f aca="false">(G1711-H1711)/G1711</f>
        <v>0.811111111111111</v>
      </c>
      <c r="J1711" s="15" t="n">
        <v>0.5905</v>
      </c>
      <c r="K1711" s="11" t="str">
        <f aca="false">IF(I1711&lt;J1711,"TAK","NIE")</f>
        <v>NIE</v>
      </c>
    </row>
    <row r="1712" customFormat="false" ht="15" hidden="false" customHeight="false" outlineLevel="0" collapsed="false">
      <c r="A1712" s="5" t="s">
        <v>441</v>
      </c>
      <c r="B1712" s="5" t="s">
        <v>87</v>
      </c>
      <c r="C1712" s="5" t="n">
        <v>2020</v>
      </c>
      <c r="D1712" s="5" t="s">
        <v>83</v>
      </c>
      <c r="E1712" s="5" t="s">
        <v>75</v>
      </c>
      <c r="F1712" s="5" t="s">
        <v>39</v>
      </c>
      <c r="G1712" s="6" t="n">
        <v>450</v>
      </c>
      <c r="H1712" s="6" t="n">
        <v>30</v>
      </c>
      <c r="I1712" s="7" t="n">
        <f aca="false">(G1712-H1712)/G1712</f>
        <v>0.933333333333333</v>
      </c>
      <c r="J1712" s="15" t="n">
        <v>0.5905</v>
      </c>
      <c r="K1712" s="11" t="str">
        <f aca="false">IF(I1712&lt;J1712,"TAK","NIE")</f>
        <v>NIE</v>
      </c>
    </row>
    <row r="1713" customFormat="false" ht="15" hidden="false" customHeight="false" outlineLevel="0" collapsed="false">
      <c r="A1713" s="5" t="s">
        <v>444</v>
      </c>
      <c r="B1713" s="5" t="s">
        <v>87</v>
      </c>
      <c r="C1713" s="5" t="n">
        <v>2020</v>
      </c>
      <c r="D1713" s="5" t="s">
        <v>83</v>
      </c>
      <c r="E1713" s="5" t="s">
        <v>75</v>
      </c>
      <c r="F1713" s="5" t="s">
        <v>39</v>
      </c>
      <c r="G1713" s="6" t="n">
        <v>450</v>
      </c>
      <c r="H1713" s="6" t="n">
        <v>42</v>
      </c>
      <c r="I1713" s="7" t="n">
        <f aca="false">(G1713-H1713)/G1713</f>
        <v>0.906666666666667</v>
      </c>
      <c r="J1713" s="15" t="n">
        <v>0.5905</v>
      </c>
      <c r="K1713" s="11" t="str">
        <f aca="false">IF(I1713&lt;J1713,"TAK","NIE")</f>
        <v>NIE</v>
      </c>
    </row>
    <row r="1714" customFormat="false" ht="15" hidden="false" customHeight="false" outlineLevel="0" collapsed="false">
      <c r="A1714" s="5" t="s">
        <v>430</v>
      </c>
      <c r="B1714" s="5" t="s">
        <v>87</v>
      </c>
      <c r="C1714" s="5" t="n">
        <v>2020</v>
      </c>
      <c r="D1714" s="5" t="s">
        <v>83</v>
      </c>
      <c r="E1714" s="5" t="s">
        <v>75</v>
      </c>
      <c r="F1714" s="5" t="s">
        <v>40</v>
      </c>
      <c r="G1714" s="6" t="n">
        <v>326</v>
      </c>
      <c r="H1714" s="6" t="n">
        <v>111</v>
      </c>
      <c r="I1714" s="7" t="n">
        <f aca="false">(G1714-H1714)/G1714</f>
        <v>0.659509202453988</v>
      </c>
      <c r="J1714" s="15" t="n">
        <v>0.3212</v>
      </c>
      <c r="K1714" s="11" t="str">
        <f aca="false">IF(I1714&lt;J1714,"TAK","NIE")</f>
        <v>NIE</v>
      </c>
    </row>
    <row r="1715" customFormat="false" ht="15" hidden="false" customHeight="false" outlineLevel="0" collapsed="false">
      <c r="A1715" s="5" t="s">
        <v>431</v>
      </c>
      <c r="B1715" s="5" t="s">
        <v>87</v>
      </c>
      <c r="C1715" s="5" t="n">
        <v>2020</v>
      </c>
      <c r="D1715" s="5" t="s">
        <v>83</v>
      </c>
      <c r="E1715" s="5" t="s">
        <v>75</v>
      </c>
      <c r="F1715" s="5" t="s">
        <v>40</v>
      </c>
      <c r="G1715" s="6" t="n">
        <v>348</v>
      </c>
      <c r="H1715" s="6" t="n">
        <v>129</v>
      </c>
      <c r="I1715" s="7" t="n">
        <f aca="false">(G1715-H1715)/G1715</f>
        <v>0.629310344827586</v>
      </c>
      <c r="J1715" s="15" t="n">
        <v>0.3212</v>
      </c>
      <c r="K1715" s="11" t="str">
        <f aca="false">IF(I1715&lt;J1715,"TAK","NIE")</f>
        <v>NIE</v>
      </c>
    </row>
    <row r="1716" customFormat="false" ht="15" hidden="false" customHeight="false" outlineLevel="0" collapsed="false">
      <c r="A1716" s="5" t="s">
        <v>432</v>
      </c>
      <c r="B1716" s="5" t="s">
        <v>87</v>
      </c>
      <c r="C1716" s="5" t="n">
        <v>2020</v>
      </c>
      <c r="D1716" s="5" t="s">
        <v>83</v>
      </c>
      <c r="E1716" s="5" t="s">
        <v>75</v>
      </c>
      <c r="F1716" s="5" t="s">
        <v>40</v>
      </c>
      <c r="G1716" s="6" t="n">
        <v>348</v>
      </c>
      <c r="H1716" s="6" t="n">
        <v>168</v>
      </c>
      <c r="I1716" s="7" t="n">
        <f aca="false">(G1716-H1716)/G1716</f>
        <v>0.517241379310345</v>
      </c>
      <c r="J1716" s="15" t="n">
        <v>0.3212</v>
      </c>
      <c r="K1716" s="11" t="str">
        <f aca="false">IF(I1716&lt;J1716,"TAK","NIE")</f>
        <v>NIE</v>
      </c>
    </row>
    <row r="1717" customFormat="false" ht="15" hidden="false" customHeight="false" outlineLevel="0" collapsed="false">
      <c r="A1717" s="5" t="s">
        <v>433</v>
      </c>
      <c r="B1717" s="5" t="s">
        <v>87</v>
      </c>
      <c r="C1717" s="5" t="n">
        <v>2020</v>
      </c>
      <c r="D1717" s="5" t="s">
        <v>83</v>
      </c>
      <c r="E1717" s="5" t="s">
        <v>75</v>
      </c>
      <c r="F1717" s="5" t="s">
        <v>40</v>
      </c>
      <c r="G1717" s="6" t="n">
        <v>348</v>
      </c>
      <c r="H1717" s="6" t="n">
        <v>170</v>
      </c>
      <c r="I1717" s="7" t="n">
        <f aca="false">(G1717-H1717)/G1717</f>
        <v>0.511494252873563</v>
      </c>
      <c r="J1717" s="15" t="n">
        <v>0.3212</v>
      </c>
      <c r="K1717" s="11" t="str">
        <f aca="false">IF(I1717&lt;J1717,"TAK","NIE")</f>
        <v>NIE</v>
      </c>
    </row>
    <row r="1718" customFormat="false" ht="15" hidden="false" customHeight="false" outlineLevel="0" collapsed="false">
      <c r="A1718" s="5" t="s">
        <v>434</v>
      </c>
      <c r="B1718" s="5" t="s">
        <v>87</v>
      </c>
      <c r="C1718" s="5" t="n">
        <v>2020</v>
      </c>
      <c r="D1718" s="5" t="s">
        <v>83</v>
      </c>
      <c r="E1718" s="5" t="s">
        <v>75</v>
      </c>
      <c r="F1718" s="5" t="s">
        <v>40</v>
      </c>
      <c r="G1718" s="6" t="n">
        <v>335</v>
      </c>
      <c r="H1718" s="6" t="n">
        <v>126</v>
      </c>
      <c r="I1718" s="7" t="n">
        <f aca="false">(G1718-H1718)/G1718</f>
        <v>0.623880597014925</v>
      </c>
      <c r="J1718" s="15" t="n">
        <v>0.3212</v>
      </c>
      <c r="K1718" s="11" t="str">
        <f aca="false">IF(I1718&lt;J1718,"TAK","NIE")</f>
        <v>NIE</v>
      </c>
    </row>
    <row r="1719" customFormat="false" ht="15" hidden="false" customHeight="false" outlineLevel="0" collapsed="false">
      <c r="A1719" s="5" t="s">
        <v>435</v>
      </c>
      <c r="B1719" s="5" t="s">
        <v>87</v>
      </c>
      <c r="C1719" s="5" t="n">
        <v>2020</v>
      </c>
      <c r="D1719" s="5" t="s">
        <v>83</v>
      </c>
      <c r="E1719" s="5" t="s">
        <v>75</v>
      </c>
      <c r="F1719" s="5" t="s">
        <v>40</v>
      </c>
      <c r="G1719" s="6" t="n">
        <v>335</v>
      </c>
      <c r="H1719" s="6" t="n">
        <v>252</v>
      </c>
      <c r="I1719" s="7" t="n">
        <f aca="false">(G1719-H1719)/G1719</f>
        <v>0.247761194029851</v>
      </c>
      <c r="J1719" s="15" t="n">
        <v>0.3212</v>
      </c>
      <c r="K1719" s="11" t="str">
        <f aca="false">IF(I1719&lt;J1719,"TAK","NIE")</f>
        <v>TAK</v>
      </c>
    </row>
    <row r="1720" customFormat="false" ht="15" hidden="false" customHeight="false" outlineLevel="0" collapsed="false">
      <c r="A1720" s="5" t="s">
        <v>436</v>
      </c>
      <c r="B1720" s="5" t="s">
        <v>87</v>
      </c>
      <c r="C1720" s="5" t="n">
        <v>2020</v>
      </c>
      <c r="D1720" s="5" t="s">
        <v>83</v>
      </c>
      <c r="E1720" s="5" t="s">
        <v>75</v>
      </c>
      <c r="F1720" s="5" t="s">
        <v>40</v>
      </c>
      <c r="G1720" s="6" t="n">
        <v>348</v>
      </c>
      <c r="H1720" s="6" t="n">
        <v>106</v>
      </c>
      <c r="I1720" s="7" t="n">
        <f aca="false">(G1720-H1720)/G1720</f>
        <v>0.695402298850575</v>
      </c>
      <c r="J1720" s="15" t="n">
        <v>0.3212</v>
      </c>
      <c r="K1720" s="11" t="str">
        <f aca="false">IF(I1720&lt;J1720,"TAK","NIE")</f>
        <v>NIE</v>
      </c>
    </row>
    <row r="1721" customFormat="false" ht="15" hidden="false" customHeight="false" outlineLevel="0" collapsed="false">
      <c r="A1721" s="5" t="s">
        <v>438</v>
      </c>
      <c r="B1721" s="5" t="s">
        <v>87</v>
      </c>
      <c r="C1721" s="5" t="n">
        <v>2020</v>
      </c>
      <c r="D1721" s="5" t="s">
        <v>83</v>
      </c>
      <c r="E1721" s="5" t="s">
        <v>75</v>
      </c>
      <c r="F1721" s="5" t="s">
        <v>40</v>
      </c>
      <c r="G1721" s="6" t="n">
        <v>348</v>
      </c>
      <c r="H1721" s="6" t="n">
        <v>123</v>
      </c>
      <c r="I1721" s="7" t="n">
        <f aca="false">(G1721-H1721)/G1721</f>
        <v>0.646551724137931</v>
      </c>
      <c r="J1721" s="15" t="n">
        <v>0.3212</v>
      </c>
      <c r="K1721" s="11" t="str">
        <f aca="false">IF(I1721&lt;J1721,"TAK","NIE")</f>
        <v>NIE</v>
      </c>
    </row>
    <row r="1722" customFormat="false" ht="15" hidden="false" customHeight="false" outlineLevel="0" collapsed="false">
      <c r="A1722" s="5" t="s">
        <v>439</v>
      </c>
      <c r="B1722" s="5" t="s">
        <v>87</v>
      </c>
      <c r="C1722" s="5" t="n">
        <v>2020</v>
      </c>
      <c r="D1722" s="5" t="s">
        <v>83</v>
      </c>
      <c r="E1722" s="5" t="s">
        <v>75</v>
      </c>
      <c r="F1722" s="5" t="s">
        <v>40</v>
      </c>
      <c r="G1722" s="6" t="n">
        <v>348</v>
      </c>
      <c r="H1722" s="6" t="n">
        <v>162</v>
      </c>
      <c r="I1722" s="7" t="n">
        <f aca="false">(G1722-H1722)/G1722</f>
        <v>0.53448275862069</v>
      </c>
      <c r="J1722" s="15" t="n">
        <v>0.3212</v>
      </c>
      <c r="K1722" s="11" t="str">
        <f aca="false">IF(I1722&lt;J1722,"TAK","NIE")</f>
        <v>NIE</v>
      </c>
    </row>
    <row r="1723" customFormat="false" ht="15" hidden="false" customHeight="false" outlineLevel="0" collapsed="false">
      <c r="A1723" s="5" t="s">
        <v>440</v>
      </c>
      <c r="B1723" s="5" t="s">
        <v>87</v>
      </c>
      <c r="C1723" s="5" t="n">
        <v>2020</v>
      </c>
      <c r="D1723" s="5" t="s">
        <v>83</v>
      </c>
      <c r="E1723" s="5" t="s">
        <v>75</v>
      </c>
      <c r="F1723" s="5" t="s">
        <v>40</v>
      </c>
      <c r="G1723" s="6" t="n">
        <v>348</v>
      </c>
      <c r="H1723" s="6" t="n">
        <v>119</v>
      </c>
      <c r="I1723" s="7" t="n">
        <f aca="false">(G1723-H1723)/G1723</f>
        <v>0.658045977011494</v>
      </c>
      <c r="J1723" s="15" t="n">
        <v>0.3212</v>
      </c>
      <c r="K1723" s="11" t="str">
        <f aca="false">IF(I1723&lt;J1723,"TAK","NIE")</f>
        <v>NIE</v>
      </c>
    </row>
    <row r="1724" customFormat="false" ht="15" hidden="false" customHeight="false" outlineLevel="0" collapsed="false">
      <c r="A1724" s="5" t="s">
        <v>441</v>
      </c>
      <c r="B1724" s="5" t="s">
        <v>87</v>
      </c>
      <c r="C1724" s="5" t="n">
        <v>2020</v>
      </c>
      <c r="D1724" s="5" t="s">
        <v>83</v>
      </c>
      <c r="E1724" s="5" t="s">
        <v>75</v>
      </c>
      <c r="F1724" s="5" t="s">
        <v>40</v>
      </c>
      <c r="G1724" s="6" t="n">
        <v>348</v>
      </c>
      <c r="H1724" s="6" t="n">
        <v>73</v>
      </c>
      <c r="I1724" s="7" t="n">
        <f aca="false">(G1724-H1724)/G1724</f>
        <v>0.790229885057471</v>
      </c>
      <c r="J1724" s="15" t="n">
        <v>0.3212</v>
      </c>
      <c r="K1724" s="11" t="str">
        <f aca="false">IF(I1724&lt;J1724,"TAK","NIE")</f>
        <v>NIE</v>
      </c>
    </row>
    <row r="1725" customFormat="false" ht="15" hidden="false" customHeight="false" outlineLevel="0" collapsed="false">
      <c r="A1725" s="5" t="s">
        <v>444</v>
      </c>
      <c r="B1725" s="5" t="s">
        <v>87</v>
      </c>
      <c r="C1725" s="5" t="n">
        <v>2020</v>
      </c>
      <c r="D1725" s="5" t="s">
        <v>83</v>
      </c>
      <c r="E1725" s="5" t="s">
        <v>75</v>
      </c>
      <c r="F1725" s="5" t="s">
        <v>40</v>
      </c>
      <c r="G1725" s="6" t="n">
        <v>348</v>
      </c>
      <c r="H1725" s="6" t="n">
        <v>77</v>
      </c>
      <c r="I1725" s="7" t="n">
        <f aca="false">(G1725-H1725)/G1725</f>
        <v>0.778735632183908</v>
      </c>
      <c r="J1725" s="15" t="n">
        <v>0.3212</v>
      </c>
      <c r="K1725" s="11" t="str">
        <f aca="false">IF(I1725&lt;J1725,"TAK","NIE")</f>
        <v>NIE</v>
      </c>
    </row>
    <row r="1726" customFormat="false" ht="15" hidden="false" customHeight="false" outlineLevel="0" collapsed="false">
      <c r="A1726" s="5" t="s">
        <v>379</v>
      </c>
      <c r="B1726" s="5" t="s">
        <v>72</v>
      </c>
      <c r="C1726" s="5" t="n">
        <v>2021</v>
      </c>
      <c r="D1726" s="5" t="s">
        <v>44</v>
      </c>
      <c r="E1726" s="5" t="s">
        <v>46</v>
      </c>
      <c r="F1726" s="5" t="s">
        <v>39</v>
      </c>
      <c r="G1726" s="6" t="n">
        <v>589</v>
      </c>
      <c r="H1726" s="6" t="n">
        <v>268</v>
      </c>
      <c r="I1726" s="7" t="n">
        <f aca="false">(G1726-H1726)/G1726</f>
        <v>0.544991511035654</v>
      </c>
      <c r="J1726" s="15" t="n">
        <v>0.6645</v>
      </c>
      <c r="K1726" s="11" t="str">
        <f aca="false">IF(I1726&lt;J1726,"TAK","NIE")</f>
        <v>TAK</v>
      </c>
    </row>
    <row r="1727" customFormat="false" ht="15" hidden="false" customHeight="false" outlineLevel="0" collapsed="false">
      <c r="A1727" s="5" t="s">
        <v>445</v>
      </c>
      <c r="B1727" s="5" t="s">
        <v>72</v>
      </c>
      <c r="C1727" s="5" t="n">
        <v>2021</v>
      </c>
      <c r="D1727" s="5" t="s">
        <v>44</v>
      </c>
      <c r="E1727" s="5" t="s">
        <v>46</v>
      </c>
      <c r="F1727" s="5" t="s">
        <v>39</v>
      </c>
      <c r="G1727" s="6" t="n">
        <v>589</v>
      </c>
      <c r="H1727" s="6" t="n">
        <v>125</v>
      </c>
      <c r="I1727" s="7" t="n">
        <f aca="false">(G1727-H1727)/G1727</f>
        <v>0.787775891341256</v>
      </c>
      <c r="J1727" s="15" t="n">
        <v>0.6645</v>
      </c>
      <c r="K1727" s="11" t="str">
        <f aca="false">IF(I1727&lt;J1727,"TAK","NIE")</f>
        <v>NIE</v>
      </c>
    </row>
    <row r="1728" customFormat="false" ht="15" hidden="false" customHeight="false" outlineLevel="0" collapsed="false">
      <c r="A1728" s="5" t="s">
        <v>446</v>
      </c>
      <c r="B1728" s="5" t="s">
        <v>72</v>
      </c>
      <c r="C1728" s="5" t="n">
        <v>2021</v>
      </c>
      <c r="D1728" s="5" t="s">
        <v>44</v>
      </c>
      <c r="E1728" s="5" t="s">
        <v>46</v>
      </c>
      <c r="F1728" s="5" t="s">
        <v>39</v>
      </c>
      <c r="G1728" s="6" t="n">
        <v>589</v>
      </c>
      <c r="H1728" s="6" t="n">
        <v>96</v>
      </c>
      <c r="I1728" s="7" t="n">
        <f aca="false">(G1728-H1728)/G1728</f>
        <v>0.837011884550085</v>
      </c>
      <c r="J1728" s="15" t="n">
        <v>0.6645</v>
      </c>
      <c r="K1728" s="11" t="str">
        <f aca="false">IF(I1728&lt;J1728,"TAK","NIE")</f>
        <v>NIE</v>
      </c>
    </row>
    <row r="1729" customFormat="false" ht="15" hidden="false" customHeight="false" outlineLevel="0" collapsed="false">
      <c r="A1729" s="5" t="s">
        <v>447</v>
      </c>
      <c r="B1729" s="5" t="s">
        <v>72</v>
      </c>
      <c r="C1729" s="5" t="n">
        <v>2021</v>
      </c>
      <c r="D1729" s="5" t="s">
        <v>44</v>
      </c>
      <c r="E1729" s="5" t="s">
        <v>46</v>
      </c>
      <c r="F1729" s="5" t="s">
        <v>39</v>
      </c>
      <c r="G1729" s="6" t="n">
        <v>589</v>
      </c>
      <c r="H1729" s="6" t="n">
        <v>107</v>
      </c>
      <c r="I1729" s="7" t="n">
        <f aca="false">(G1729-H1729)/G1729</f>
        <v>0.818336162988115</v>
      </c>
      <c r="J1729" s="15" t="n">
        <v>0.6645</v>
      </c>
      <c r="K1729" s="11" t="str">
        <f aca="false">IF(I1729&lt;J1729,"TAK","NIE")</f>
        <v>NIE</v>
      </c>
    </row>
    <row r="1730" customFormat="false" ht="15" hidden="false" customHeight="false" outlineLevel="0" collapsed="false">
      <c r="A1730" s="5" t="s">
        <v>448</v>
      </c>
      <c r="B1730" s="5" t="s">
        <v>72</v>
      </c>
      <c r="C1730" s="5" t="n">
        <v>2021</v>
      </c>
      <c r="D1730" s="5" t="s">
        <v>44</v>
      </c>
      <c r="E1730" s="5" t="s">
        <v>46</v>
      </c>
      <c r="F1730" s="5" t="s">
        <v>39</v>
      </c>
      <c r="G1730" s="6" t="n">
        <v>589</v>
      </c>
      <c r="H1730" s="6" t="n">
        <v>67</v>
      </c>
      <c r="I1730" s="7" t="n">
        <f aca="false">(G1730-H1730)/G1730</f>
        <v>0.886247877758913</v>
      </c>
      <c r="J1730" s="15" t="n">
        <v>0.6645</v>
      </c>
      <c r="K1730" s="11" t="str">
        <f aca="false">IF(I1730&lt;J1730,"TAK","NIE")</f>
        <v>NIE</v>
      </c>
    </row>
    <row r="1731" customFormat="false" ht="15" hidden="false" customHeight="false" outlineLevel="0" collapsed="false">
      <c r="A1731" s="5" t="s">
        <v>449</v>
      </c>
      <c r="B1731" s="5" t="s">
        <v>72</v>
      </c>
      <c r="C1731" s="5" t="n">
        <v>2021</v>
      </c>
      <c r="D1731" s="5" t="s">
        <v>44</v>
      </c>
      <c r="E1731" s="5" t="s">
        <v>46</v>
      </c>
      <c r="F1731" s="5" t="s">
        <v>39</v>
      </c>
      <c r="G1731" s="6" t="n">
        <v>589</v>
      </c>
      <c r="H1731" s="6" t="n">
        <v>84</v>
      </c>
      <c r="I1731" s="7" t="n">
        <f aca="false">(G1731-H1731)/G1731</f>
        <v>0.857385398981324</v>
      </c>
      <c r="J1731" s="15" t="n">
        <v>0.6645</v>
      </c>
      <c r="K1731" s="11" t="str">
        <f aca="false">IF(I1731&lt;J1731,"TAK","NIE")</f>
        <v>NIE</v>
      </c>
    </row>
    <row r="1732" customFormat="false" ht="15" hidden="false" customHeight="false" outlineLevel="0" collapsed="false">
      <c r="A1732" s="5" t="s">
        <v>450</v>
      </c>
      <c r="B1732" s="5" t="s">
        <v>72</v>
      </c>
      <c r="C1732" s="5" t="n">
        <v>2021</v>
      </c>
      <c r="D1732" s="5" t="s">
        <v>44</v>
      </c>
      <c r="E1732" s="5" t="s">
        <v>46</v>
      </c>
      <c r="F1732" s="5" t="s">
        <v>39</v>
      </c>
      <c r="G1732" s="6" t="n">
        <v>589</v>
      </c>
      <c r="H1732" s="6" t="n">
        <v>27</v>
      </c>
      <c r="I1732" s="7" t="n">
        <f aca="false">(G1732-H1732)/G1732</f>
        <v>0.954159592529711</v>
      </c>
      <c r="J1732" s="15" t="n">
        <v>0.6645</v>
      </c>
      <c r="K1732" s="11" t="str">
        <f aca="false">IF(I1732&lt;J1732,"TAK","NIE")</f>
        <v>NIE</v>
      </c>
    </row>
    <row r="1733" customFormat="false" ht="15" hidden="false" customHeight="false" outlineLevel="0" collapsed="false">
      <c r="A1733" s="5" t="s">
        <v>451</v>
      </c>
      <c r="B1733" s="5" t="s">
        <v>72</v>
      </c>
      <c r="C1733" s="5" t="n">
        <v>2021</v>
      </c>
      <c r="D1733" s="5" t="s">
        <v>44</v>
      </c>
      <c r="E1733" s="5" t="s">
        <v>46</v>
      </c>
      <c r="F1733" s="5" t="s">
        <v>39</v>
      </c>
      <c r="G1733" s="6" t="n">
        <v>589</v>
      </c>
      <c r="H1733" s="6" t="n">
        <v>138</v>
      </c>
      <c r="I1733" s="7" t="n">
        <f aca="false">(G1733-H1733)/G1733</f>
        <v>0.765704584040747</v>
      </c>
      <c r="J1733" s="15" t="n">
        <v>0.6645</v>
      </c>
      <c r="K1733" s="11" t="str">
        <f aca="false">IF(I1733&lt;J1733,"TAK","NIE")</f>
        <v>NIE</v>
      </c>
    </row>
    <row r="1734" customFormat="false" ht="15" hidden="false" customHeight="false" outlineLevel="0" collapsed="false">
      <c r="A1734" s="5" t="s">
        <v>452</v>
      </c>
      <c r="B1734" s="5" t="s">
        <v>72</v>
      </c>
      <c r="C1734" s="5" t="n">
        <v>2021</v>
      </c>
      <c r="D1734" s="5" t="s">
        <v>44</v>
      </c>
      <c r="E1734" s="5" t="s">
        <v>46</v>
      </c>
      <c r="F1734" s="5" t="s">
        <v>39</v>
      </c>
      <c r="G1734" s="6" t="n">
        <v>589</v>
      </c>
      <c r="H1734" s="6" t="n">
        <v>90</v>
      </c>
      <c r="I1734" s="7" t="n">
        <f aca="false">(G1734-H1734)/G1734</f>
        <v>0.847198641765705</v>
      </c>
      <c r="J1734" s="15" t="n">
        <v>0.6645</v>
      </c>
      <c r="K1734" s="11" t="str">
        <f aca="false">IF(I1734&lt;J1734,"TAK","NIE")</f>
        <v>NIE</v>
      </c>
    </row>
    <row r="1735" customFormat="false" ht="15" hidden="false" customHeight="false" outlineLevel="0" collapsed="false">
      <c r="A1735" s="5" t="s">
        <v>453</v>
      </c>
      <c r="B1735" s="5" t="s">
        <v>72</v>
      </c>
      <c r="C1735" s="5" t="n">
        <v>2021</v>
      </c>
      <c r="D1735" s="5" t="s">
        <v>44</v>
      </c>
      <c r="E1735" s="5" t="s">
        <v>46</v>
      </c>
      <c r="F1735" s="5" t="s">
        <v>39</v>
      </c>
      <c r="G1735" s="6" t="n">
        <v>589</v>
      </c>
      <c r="H1735" s="6" t="n">
        <v>171</v>
      </c>
      <c r="I1735" s="7" t="n">
        <f aca="false">(G1735-H1735)/G1735</f>
        <v>0.709677419354839</v>
      </c>
      <c r="J1735" s="15" t="n">
        <v>0.6645</v>
      </c>
      <c r="K1735" s="11" t="str">
        <f aca="false">IF(I1735&lt;J1735,"TAK","NIE")</f>
        <v>NIE</v>
      </c>
    </row>
    <row r="1736" customFormat="false" ht="15" hidden="false" customHeight="false" outlineLevel="0" collapsed="false">
      <c r="A1736" s="5" t="s">
        <v>454</v>
      </c>
      <c r="B1736" s="5" t="s">
        <v>72</v>
      </c>
      <c r="C1736" s="5" t="n">
        <v>2021</v>
      </c>
      <c r="D1736" s="5" t="s">
        <v>44</v>
      </c>
      <c r="E1736" s="5" t="s">
        <v>46</v>
      </c>
      <c r="F1736" s="5" t="s">
        <v>39</v>
      </c>
      <c r="G1736" s="6" t="n">
        <v>589</v>
      </c>
      <c r="H1736" s="6" t="n">
        <v>120</v>
      </c>
      <c r="I1736" s="7" t="n">
        <f aca="false">(G1736-H1736)/G1736</f>
        <v>0.796264855687606</v>
      </c>
      <c r="J1736" s="15" t="n">
        <v>0.6645</v>
      </c>
      <c r="K1736" s="11" t="str">
        <f aca="false">IF(I1736&lt;J1736,"TAK","NIE")</f>
        <v>NIE</v>
      </c>
    </row>
    <row r="1737" customFormat="false" ht="15" hidden="false" customHeight="false" outlineLevel="0" collapsed="false">
      <c r="A1737" s="5" t="s">
        <v>455</v>
      </c>
      <c r="B1737" s="5" t="s">
        <v>72</v>
      </c>
      <c r="C1737" s="5" t="n">
        <v>2021</v>
      </c>
      <c r="D1737" s="5" t="s">
        <v>44</v>
      </c>
      <c r="E1737" s="5" t="s">
        <v>46</v>
      </c>
      <c r="F1737" s="5" t="s">
        <v>39</v>
      </c>
      <c r="G1737" s="6" t="n">
        <v>589</v>
      </c>
      <c r="H1737" s="6" t="n">
        <v>64</v>
      </c>
      <c r="I1737" s="7" t="n">
        <f aca="false">(G1737-H1737)/G1737</f>
        <v>0.891341256366723</v>
      </c>
      <c r="J1737" s="15" t="n">
        <v>0.6645</v>
      </c>
      <c r="K1737" s="11" t="str">
        <f aca="false">IF(I1737&lt;J1737,"TAK","NIE")</f>
        <v>NIE</v>
      </c>
    </row>
    <row r="1738" customFormat="false" ht="15" hidden="false" customHeight="false" outlineLevel="0" collapsed="false">
      <c r="A1738" s="5" t="s">
        <v>456</v>
      </c>
      <c r="B1738" s="5" t="s">
        <v>72</v>
      </c>
      <c r="C1738" s="5" t="n">
        <v>2021</v>
      </c>
      <c r="D1738" s="5" t="s">
        <v>44</v>
      </c>
      <c r="E1738" s="5" t="s">
        <v>46</v>
      </c>
      <c r="F1738" s="5" t="s">
        <v>39</v>
      </c>
      <c r="G1738" s="6" t="n">
        <v>589</v>
      </c>
      <c r="H1738" s="6" t="n">
        <v>115</v>
      </c>
      <c r="I1738" s="7" t="n">
        <f aca="false">(G1738-H1738)/G1738</f>
        <v>0.804753820033956</v>
      </c>
      <c r="J1738" s="15" t="n">
        <v>0.6645</v>
      </c>
      <c r="K1738" s="11" t="str">
        <f aca="false">IF(I1738&lt;J1738,"TAK","NIE")</f>
        <v>NIE</v>
      </c>
    </row>
    <row r="1739" customFormat="false" ht="15" hidden="false" customHeight="false" outlineLevel="0" collapsed="false">
      <c r="A1739" s="5" t="s">
        <v>457</v>
      </c>
      <c r="B1739" s="5" t="s">
        <v>72</v>
      </c>
      <c r="C1739" s="5" t="n">
        <v>2021</v>
      </c>
      <c r="D1739" s="5" t="s">
        <v>44</v>
      </c>
      <c r="E1739" s="5" t="s">
        <v>46</v>
      </c>
      <c r="F1739" s="5" t="s">
        <v>39</v>
      </c>
      <c r="G1739" s="6" t="n">
        <v>589</v>
      </c>
      <c r="H1739" s="6" t="n">
        <v>165</v>
      </c>
      <c r="I1739" s="7" t="n">
        <f aca="false">(G1739-H1739)/G1739</f>
        <v>0.719864176570458</v>
      </c>
      <c r="J1739" s="15" t="n">
        <v>0.6645</v>
      </c>
      <c r="K1739" s="11" t="str">
        <f aca="false">IF(I1739&lt;J1739,"TAK","NIE")</f>
        <v>NIE</v>
      </c>
    </row>
    <row r="1740" customFormat="false" ht="15" hidden="false" customHeight="false" outlineLevel="0" collapsed="false">
      <c r="A1740" s="5" t="s">
        <v>458</v>
      </c>
      <c r="B1740" s="5" t="s">
        <v>72</v>
      </c>
      <c r="C1740" s="5" t="n">
        <v>2021</v>
      </c>
      <c r="D1740" s="5" t="s">
        <v>44</v>
      </c>
      <c r="E1740" s="5" t="s">
        <v>46</v>
      </c>
      <c r="F1740" s="5" t="s">
        <v>39</v>
      </c>
      <c r="G1740" s="6" t="n">
        <v>589</v>
      </c>
      <c r="H1740" s="6" t="n">
        <v>90</v>
      </c>
      <c r="I1740" s="7" t="n">
        <f aca="false">(G1740-H1740)/G1740</f>
        <v>0.847198641765705</v>
      </c>
      <c r="J1740" s="15" t="n">
        <v>0.6645</v>
      </c>
      <c r="K1740" s="11" t="str">
        <f aca="false">IF(I1740&lt;J1740,"TAK","NIE")</f>
        <v>NIE</v>
      </c>
    </row>
    <row r="1741" customFormat="false" ht="15" hidden="false" customHeight="false" outlineLevel="0" collapsed="false">
      <c r="A1741" s="5" t="s">
        <v>379</v>
      </c>
      <c r="B1741" s="5" t="s">
        <v>72</v>
      </c>
      <c r="C1741" s="5" t="n">
        <v>2021</v>
      </c>
      <c r="D1741" s="5" t="s">
        <v>44</v>
      </c>
      <c r="E1741" s="5" t="s">
        <v>46</v>
      </c>
      <c r="F1741" s="5" t="s">
        <v>40</v>
      </c>
      <c r="G1741" s="6" t="n">
        <v>547</v>
      </c>
      <c r="H1741" s="6" t="n">
        <v>180</v>
      </c>
      <c r="I1741" s="7" t="n">
        <f aca="false">(G1741-H1741)/G1741</f>
        <v>0.670932358318099</v>
      </c>
      <c r="J1741" s="15" t="n">
        <v>0.5124</v>
      </c>
      <c r="K1741" s="11" t="str">
        <f aca="false">IF(I1741&lt;J1741,"TAK","NIE")</f>
        <v>NIE</v>
      </c>
    </row>
    <row r="1742" customFormat="false" ht="15" hidden="false" customHeight="false" outlineLevel="0" collapsed="false">
      <c r="A1742" s="5" t="s">
        <v>445</v>
      </c>
      <c r="B1742" s="5" t="s">
        <v>72</v>
      </c>
      <c r="C1742" s="5" t="n">
        <v>2021</v>
      </c>
      <c r="D1742" s="5" t="s">
        <v>44</v>
      </c>
      <c r="E1742" s="5" t="s">
        <v>46</v>
      </c>
      <c r="F1742" s="5" t="s">
        <v>40</v>
      </c>
      <c r="G1742" s="6" t="n">
        <v>547</v>
      </c>
      <c r="H1742" s="6" t="n">
        <v>138</v>
      </c>
      <c r="I1742" s="7" t="n">
        <f aca="false">(G1742-H1742)/G1742</f>
        <v>0.747714808043876</v>
      </c>
      <c r="J1742" s="15" t="n">
        <v>0.5124</v>
      </c>
      <c r="K1742" s="11" t="str">
        <f aca="false">IF(I1742&lt;J1742,"TAK","NIE")</f>
        <v>NIE</v>
      </c>
    </row>
    <row r="1743" customFormat="false" ht="15" hidden="false" customHeight="false" outlineLevel="0" collapsed="false">
      <c r="A1743" s="5" t="s">
        <v>446</v>
      </c>
      <c r="B1743" s="5" t="s">
        <v>72</v>
      </c>
      <c r="C1743" s="5" t="n">
        <v>2021</v>
      </c>
      <c r="D1743" s="5" t="s">
        <v>44</v>
      </c>
      <c r="E1743" s="5" t="s">
        <v>46</v>
      </c>
      <c r="F1743" s="5" t="s">
        <v>40</v>
      </c>
      <c r="G1743" s="6" t="n">
        <v>547</v>
      </c>
      <c r="H1743" s="6" t="n">
        <v>73</v>
      </c>
      <c r="I1743" s="7" t="n">
        <f aca="false">(G1743-H1743)/G1743</f>
        <v>0.86654478976234</v>
      </c>
      <c r="J1743" s="15" t="n">
        <v>0.5124</v>
      </c>
      <c r="K1743" s="11" t="str">
        <f aca="false">IF(I1743&lt;J1743,"TAK","NIE")</f>
        <v>NIE</v>
      </c>
    </row>
    <row r="1744" customFormat="false" ht="15" hidden="false" customHeight="false" outlineLevel="0" collapsed="false">
      <c r="A1744" s="5" t="s">
        <v>447</v>
      </c>
      <c r="B1744" s="5" t="s">
        <v>72</v>
      </c>
      <c r="C1744" s="5" t="n">
        <v>2021</v>
      </c>
      <c r="D1744" s="5" t="s">
        <v>44</v>
      </c>
      <c r="E1744" s="5" t="s">
        <v>46</v>
      </c>
      <c r="F1744" s="5" t="s">
        <v>40</v>
      </c>
      <c r="G1744" s="6" t="n">
        <v>547</v>
      </c>
      <c r="H1744" s="6" t="n">
        <v>153</v>
      </c>
      <c r="I1744" s="7" t="n">
        <f aca="false">(G1744-H1744)/G1744</f>
        <v>0.720292504570384</v>
      </c>
      <c r="J1744" s="15" t="n">
        <v>0.5124</v>
      </c>
      <c r="K1744" s="11" t="str">
        <f aca="false">IF(I1744&lt;J1744,"TAK","NIE")</f>
        <v>NIE</v>
      </c>
    </row>
    <row r="1745" customFormat="false" ht="15" hidden="false" customHeight="false" outlineLevel="0" collapsed="false">
      <c r="A1745" s="5" t="s">
        <v>448</v>
      </c>
      <c r="B1745" s="5" t="s">
        <v>72</v>
      </c>
      <c r="C1745" s="5" t="n">
        <v>2021</v>
      </c>
      <c r="D1745" s="5" t="s">
        <v>44</v>
      </c>
      <c r="E1745" s="5" t="s">
        <v>46</v>
      </c>
      <c r="F1745" s="5" t="s">
        <v>40</v>
      </c>
      <c r="G1745" s="6" t="n">
        <v>547</v>
      </c>
      <c r="H1745" s="6" t="n">
        <v>49</v>
      </c>
      <c r="I1745" s="7" t="n">
        <f aca="false">(G1745-H1745)/G1745</f>
        <v>0.910420475319927</v>
      </c>
      <c r="J1745" s="15" t="n">
        <v>0.5124</v>
      </c>
      <c r="K1745" s="11" t="str">
        <f aca="false">IF(I1745&lt;J1745,"TAK","NIE")</f>
        <v>NIE</v>
      </c>
    </row>
    <row r="1746" customFormat="false" ht="15" hidden="false" customHeight="false" outlineLevel="0" collapsed="false">
      <c r="A1746" s="5" t="s">
        <v>449</v>
      </c>
      <c r="B1746" s="5" t="s">
        <v>72</v>
      </c>
      <c r="C1746" s="5" t="n">
        <v>2021</v>
      </c>
      <c r="D1746" s="5" t="s">
        <v>44</v>
      </c>
      <c r="E1746" s="5" t="s">
        <v>46</v>
      </c>
      <c r="F1746" s="5" t="s">
        <v>40</v>
      </c>
      <c r="G1746" s="6" t="n">
        <v>547</v>
      </c>
      <c r="H1746" s="6" t="n">
        <v>167</v>
      </c>
      <c r="I1746" s="7" t="n">
        <f aca="false">(G1746-H1746)/G1746</f>
        <v>0.694698354661792</v>
      </c>
      <c r="J1746" s="15" t="n">
        <v>0.5124</v>
      </c>
      <c r="K1746" s="11" t="str">
        <f aca="false">IF(I1746&lt;J1746,"TAK","NIE")</f>
        <v>NIE</v>
      </c>
    </row>
    <row r="1747" customFormat="false" ht="15" hidden="false" customHeight="false" outlineLevel="0" collapsed="false">
      <c r="A1747" s="5" t="s">
        <v>450</v>
      </c>
      <c r="B1747" s="5" t="s">
        <v>72</v>
      </c>
      <c r="C1747" s="5" t="n">
        <v>2021</v>
      </c>
      <c r="D1747" s="5" t="s">
        <v>44</v>
      </c>
      <c r="E1747" s="5" t="s">
        <v>46</v>
      </c>
      <c r="F1747" s="5" t="s">
        <v>40</v>
      </c>
      <c r="G1747" s="6" t="n">
        <v>547</v>
      </c>
      <c r="H1747" s="6" t="n">
        <v>66</v>
      </c>
      <c r="I1747" s="7" t="n">
        <f aca="false">(G1747-H1747)/G1747</f>
        <v>0.879341864716636</v>
      </c>
      <c r="J1747" s="15" t="n">
        <v>0.5124</v>
      </c>
      <c r="K1747" s="11" t="str">
        <f aca="false">IF(I1747&lt;J1747,"TAK","NIE")</f>
        <v>NIE</v>
      </c>
    </row>
    <row r="1748" customFormat="false" ht="15" hidden="false" customHeight="false" outlineLevel="0" collapsed="false">
      <c r="A1748" s="5" t="s">
        <v>451</v>
      </c>
      <c r="B1748" s="5" t="s">
        <v>72</v>
      </c>
      <c r="C1748" s="5" t="n">
        <v>2021</v>
      </c>
      <c r="D1748" s="5" t="s">
        <v>44</v>
      </c>
      <c r="E1748" s="5" t="s">
        <v>46</v>
      </c>
      <c r="F1748" s="5" t="s">
        <v>40</v>
      </c>
      <c r="G1748" s="6" t="n">
        <v>547</v>
      </c>
      <c r="H1748" s="6" t="n">
        <v>171</v>
      </c>
      <c r="I1748" s="7" t="n">
        <f aca="false">(G1748-H1748)/G1748</f>
        <v>0.687385740402194</v>
      </c>
      <c r="J1748" s="15" t="n">
        <v>0.5124</v>
      </c>
      <c r="K1748" s="11" t="str">
        <f aca="false">IF(I1748&lt;J1748,"TAK","NIE")</f>
        <v>NIE</v>
      </c>
    </row>
    <row r="1749" customFormat="false" ht="15" hidden="false" customHeight="false" outlineLevel="0" collapsed="false">
      <c r="A1749" s="5" t="s">
        <v>452</v>
      </c>
      <c r="B1749" s="5" t="s">
        <v>72</v>
      </c>
      <c r="C1749" s="5" t="n">
        <v>2021</v>
      </c>
      <c r="D1749" s="5" t="s">
        <v>44</v>
      </c>
      <c r="E1749" s="5" t="s">
        <v>46</v>
      </c>
      <c r="F1749" s="5" t="s">
        <v>40</v>
      </c>
      <c r="G1749" s="6" t="n">
        <v>547</v>
      </c>
      <c r="H1749" s="6" t="n">
        <v>86</v>
      </c>
      <c r="I1749" s="7" t="n">
        <f aca="false">(G1749-H1749)/G1749</f>
        <v>0.842778793418647</v>
      </c>
      <c r="J1749" s="15" t="n">
        <v>0.5124</v>
      </c>
      <c r="K1749" s="11" t="str">
        <f aca="false">IF(I1749&lt;J1749,"TAK","NIE")</f>
        <v>NIE</v>
      </c>
    </row>
    <row r="1750" customFormat="false" ht="15" hidden="false" customHeight="false" outlineLevel="0" collapsed="false">
      <c r="A1750" s="5" t="s">
        <v>459</v>
      </c>
      <c r="B1750" s="5" t="s">
        <v>72</v>
      </c>
      <c r="C1750" s="5" t="n">
        <v>2021</v>
      </c>
      <c r="D1750" s="5" t="s">
        <v>44</v>
      </c>
      <c r="E1750" s="5" t="s">
        <v>46</v>
      </c>
      <c r="F1750" s="5" t="s">
        <v>40</v>
      </c>
      <c r="G1750" s="6" t="n">
        <v>358</v>
      </c>
      <c r="H1750" s="6" t="n">
        <v>75</v>
      </c>
      <c r="I1750" s="7" t="n">
        <f aca="false">(G1750-H1750)/G1750</f>
        <v>0.790502793296089</v>
      </c>
      <c r="J1750" s="15" t="n">
        <v>0.5124</v>
      </c>
      <c r="K1750" s="11" t="str">
        <f aca="false">IF(I1750&lt;J1750,"TAK","NIE")</f>
        <v>NIE</v>
      </c>
    </row>
    <row r="1751" customFormat="false" ht="15" hidden="false" customHeight="false" outlineLevel="0" collapsed="false">
      <c r="A1751" s="5" t="s">
        <v>453</v>
      </c>
      <c r="B1751" s="5" t="s">
        <v>72</v>
      </c>
      <c r="C1751" s="5" t="n">
        <v>2021</v>
      </c>
      <c r="D1751" s="5" t="s">
        <v>44</v>
      </c>
      <c r="E1751" s="5" t="s">
        <v>46</v>
      </c>
      <c r="F1751" s="5" t="s">
        <v>40</v>
      </c>
      <c r="G1751" s="6" t="n">
        <v>547</v>
      </c>
      <c r="H1751" s="6" t="n">
        <v>211</v>
      </c>
      <c r="I1751" s="7" t="n">
        <f aca="false">(G1751-H1751)/G1751</f>
        <v>0.614259597806216</v>
      </c>
      <c r="J1751" s="15" t="n">
        <v>0.5124</v>
      </c>
      <c r="K1751" s="11" t="str">
        <f aca="false">IF(I1751&lt;J1751,"TAK","NIE")</f>
        <v>NIE</v>
      </c>
    </row>
    <row r="1752" customFormat="false" ht="15" hidden="false" customHeight="false" outlineLevel="0" collapsed="false">
      <c r="A1752" s="5" t="s">
        <v>454</v>
      </c>
      <c r="B1752" s="5" t="s">
        <v>72</v>
      </c>
      <c r="C1752" s="5" t="n">
        <v>2021</v>
      </c>
      <c r="D1752" s="5" t="s">
        <v>44</v>
      </c>
      <c r="E1752" s="5" t="s">
        <v>46</v>
      </c>
      <c r="F1752" s="5" t="s">
        <v>40</v>
      </c>
      <c r="G1752" s="6" t="n">
        <v>547</v>
      </c>
      <c r="H1752" s="6" t="n">
        <v>105</v>
      </c>
      <c r="I1752" s="7" t="n">
        <f aca="false">(G1752-H1752)/G1752</f>
        <v>0.808043875685558</v>
      </c>
      <c r="J1752" s="15" t="n">
        <v>0.5124</v>
      </c>
      <c r="K1752" s="11" t="str">
        <f aca="false">IF(I1752&lt;J1752,"TAK","NIE")</f>
        <v>NIE</v>
      </c>
    </row>
    <row r="1753" customFormat="false" ht="15" hidden="false" customHeight="false" outlineLevel="0" collapsed="false">
      <c r="A1753" s="5" t="s">
        <v>455</v>
      </c>
      <c r="B1753" s="5" t="s">
        <v>72</v>
      </c>
      <c r="C1753" s="5" t="n">
        <v>2021</v>
      </c>
      <c r="D1753" s="5" t="s">
        <v>44</v>
      </c>
      <c r="E1753" s="5" t="s">
        <v>46</v>
      </c>
      <c r="F1753" s="5" t="s">
        <v>40</v>
      </c>
      <c r="G1753" s="6" t="n">
        <v>547</v>
      </c>
      <c r="H1753" s="6" t="n">
        <v>125</v>
      </c>
      <c r="I1753" s="7" t="n">
        <f aca="false">(G1753-H1753)/G1753</f>
        <v>0.771480804387569</v>
      </c>
      <c r="J1753" s="15" t="n">
        <v>0.5124</v>
      </c>
      <c r="K1753" s="11" t="str">
        <f aca="false">IF(I1753&lt;J1753,"TAK","NIE")</f>
        <v>NIE</v>
      </c>
    </row>
    <row r="1754" customFormat="false" ht="15" hidden="false" customHeight="false" outlineLevel="0" collapsed="false">
      <c r="A1754" s="5" t="s">
        <v>456</v>
      </c>
      <c r="B1754" s="5" t="s">
        <v>72</v>
      </c>
      <c r="C1754" s="5" t="n">
        <v>2021</v>
      </c>
      <c r="D1754" s="5" t="s">
        <v>44</v>
      </c>
      <c r="E1754" s="5" t="s">
        <v>46</v>
      </c>
      <c r="F1754" s="5" t="s">
        <v>40</v>
      </c>
      <c r="G1754" s="6" t="n">
        <v>547</v>
      </c>
      <c r="H1754" s="6" t="n">
        <v>156</v>
      </c>
      <c r="I1754" s="7" t="n">
        <f aca="false">(G1754-H1754)/G1754</f>
        <v>0.714808043875686</v>
      </c>
      <c r="J1754" s="15" t="n">
        <v>0.5124</v>
      </c>
      <c r="K1754" s="11" t="str">
        <f aca="false">IF(I1754&lt;J1754,"TAK","NIE")</f>
        <v>NIE</v>
      </c>
    </row>
    <row r="1755" customFormat="false" ht="15" hidden="false" customHeight="false" outlineLevel="0" collapsed="false">
      <c r="A1755" s="5" t="s">
        <v>457</v>
      </c>
      <c r="B1755" s="5" t="s">
        <v>72</v>
      </c>
      <c r="C1755" s="5" t="n">
        <v>2021</v>
      </c>
      <c r="D1755" s="5" t="s">
        <v>44</v>
      </c>
      <c r="E1755" s="5" t="s">
        <v>46</v>
      </c>
      <c r="F1755" s="5" t="s">
        <v>40</v>
      </c>
      <c r="G1755" s="6" t="n">
        <v>547</v>
      </c>
      <c r="H1755" s="6" t="n">
        <v>162</v>
      </c>
      <c r="I1755" s="7" t="n">
        <f aca="false">(G1755-H1755)/G1755</f>
        <v>0.703839122486289</v>
      </c>
      <c r="J1755" s="15" t="n">
        <v>0.5124</v>
      </c>
      <c r="K1755" s="11" t="str">
        <f aca="false">IF(I1755&lt;J1755,"TAK","NIE")</f>
        <v>NIE</v>
      </c>
    </row>
    <row r="1756" customFormat="false" ht="15" hidden="false" customHeight="false" outlineLevel="0" collapsed="false">
      <c r="A1756" s="5" t="s">
        <v>458</v>
      </c>
      <c r="B1756" s="5" t="s">
        <v>72</v>
      </c>
      <c r="C1756" s="5" t="n">
        <v>2021</v>
      </c>
      <c r="D1756" s="5" t="s">
        <v>44</v>
      </c>
      <c r="E1756" s="5" t="s">
        <v>46</v>
      </c>
      <c r="F1756" s="5" t="s">
        <v>40</v>
      </c>
      <c r="G1756" s="6" t="n">
        <v>547</v>
      </c>
      <c r="H1756" s="6" t="n">
        <v>97</v>
      </c>
      <c r="I1756" s="7" t="n">
        <f aca="false">(G1756-H1756)/G1756</f>
        <v>0.822669104204753</v>
      </c>
      <c r="J1756" s="15" t="n">
        <v>0.5124</v>
      </c>
      <c r="K1756" s="11" t="str">
        <f aca="false">IF(I1756&lt;J1756,"TAK","NIE")</f>
        <v>NIE</v>
      </c>
    </row>
    <row r="1757" customFormat="false" ht="15" hidden="false" customHeight="false" outlineLevel="0" collapsed="false">
      <c r="A1757" s="5" t="s">
        <v>379</v>
      </c>
      <c r="B1757" s="5" t="s">
        <v>73</v>
      </c>
      <c r="C1757" s="5" t="n">
        <v>2021</v>
      </c>
      <c r="D1757" s="5" t="s">
        <v>44</v>
      </c>
      <c r="E1757" s="5" t="s">
        <v>55</v>
      </c>
      <c r="F1757" s="5" t="s">
        <v>39</v>
      </c>
      <c r="G1757" s="6" t="n">
        <v>692</v>
      </c>
      <c r="H1757" s="6" t="n">
        <v>301</v>
      </c>
      <c r="I1757" s="7" t="n">
        <f aca="false">(G1757-H1757)/G1757</f>
        <v>0.565028901734104</v>
      </c>
      <c r="J1757" s="15" t="n">
        <v>0.4688</v>
      </c>
      <c r="K1757" s="11" t="str">
        <f aca="false">IF(I1757&lt;J1757,"TAK","NIE")</f>
        <v>NIE</v>
      </c>
    </row>
    <row r="1758" customFormat="false" ht="15" hidden="false" customHeight="false" outlineLevel="0" collapsed="false">
      <c r="A1758" s="5" t="s">
        <v>445</v>
      </c>
      <c r="B1758" s="5" t="s">
        <v>73</v>
      </c>
      <c r="C1758" s="5" t="n">
        <v>2021</v>
      </c>
      <c r="D1758" s="5" t="s">
        <v>44</v>
      </c>
      <c r="E1758" s="5" t="s">
        <v>55</v>
      </c>
      <c r="F1758" s="5" t="s">
        <v>39</v>
      </c>
      <c r="G1758" s="6" t="n">
        <v>692</v>
      </c>
      <c r="H1758" s="6" t="n">
        <v>245</v>
      </c>
      <c r="I1758" s="7" t="n">
        <f aca="false">(G1758-H1758)/G1758</f>
        <v>0.645953757225434</v>
      </c>
      <c r="J1758" s="15" t="n">
        <v>0.4688</v>
      </c>
      <c r="K1758" s="11" t="str">
        <f aca="false">IF(I1758&lt;J1758,"TAK","NIE")</f>
        <v>NIE</v>
      </c>
    </row>
    <row r="1759" customFormat="false" ht="15" hidden="false" customHeight="false" outlineLevel="0" collapsed="false">
      <c r="A1759" s="5" t="s">
        <v>446</v>
      </c>
      <c r="B1759" s="5" t="s">
        <v>73</v>
      </c>
      <c r="C1759" s="5" t="n">
        <v>2021</v>
      </c>
      <c r="D1759" s="5" t="s">
        <v>44</v>
      </c>
      <c r="E1759" s="5" t="s">
        <v>55</v>
      </c>
      <c r="F1759" s="5" t="s">
        <v>39</v>
      </c>
      <c r="G1759" s="6" t="n">
        <v>692</v>
      </c>
      <c r="H1759" s="6" t="n">
        <v>157</v>
      </c>
      <c r="I1759" s="7" t="n">
        <f aca="false">(G1759-H1759)/G1759</f>
        <v>0.773121387283237</v>
      </c>
      <c r="J1759" s="15" t="n">
        <v>0.4688</v>
      </c>
      <c r="K1759" s="11" t="str">
        <f aca="false">IF(I1759&lt;J1759,"TAK","NIE")</f>
        <v>NIE</v>
      </c>
    </row>
    <row r="1760" customFormat="false" ht="15" hidden="false" customHeight="false" outlineLevel="0" collapsed="false">
      <c r="A1760" s="5" t="s">
        <v>447</v>
      </c>
      <c r="B1760" s="5" t="s">
        <v>73</v>
      </c>
      <c r="C1760" s="5" t="n">
        <v>2021</v>
      </c>
      <c r="D1760" s="5" t="s">
        <v>44</v>
      </c>
      <c r="E1760" s="5" t="s">
        <v>55</v>
      </c>
      <c r="F1760" s="5" t="s">
        <v>39</v>
      </c>
      <c r="G1760" s="6" t="n">
        <v>692</v>
      </c>
      <c r="H1760" s="6" t="n">
        <v>178</v>
      </c>
      <c r="I1760" s="7" t="n">
        <f aca="false">(G1760-H1760)/G1760</f>
        <v>0.742774566473988</v>
      </c>
      <c r="J1760" s="15" t="n">
        <v>0.4688</v>
      </c>
      <c r="K1760" s="11" t="str">
        <f aca="false">IF(I1760&lt;J1760,"TAK","NIE")</f>
        <v>NIE</v>
      </c>
    </row>
    <row r="1761" customFormat="false" ht="15" hidden="false" customHeight="false" outlineLevel="0" collapsed="false">
      <c r="A1761" s="5" t="s">
        <v>448</v>
      </c>
      <c r="B1761" s="5" t="s">
        <v>73</v>
      </c>
      <c r="C1761" s="5" t="n">
        <v>2021</v>
      </c>
      <c r="D1761" s="5" t="s">
        <v>44</v>
      </c>
      <c r="E1761" s="5" t="s">
        <v>55</v>
      </c>
      <c r="F1761" s="5" t="s">
        <v>39</v>
      </c>
      <c r="G1761" s="6" t="n">
        <v>692</v>
      </c>
      <c r="H1761" s="6" t="n">
        <v>64</v>
      </c>
      <c r="I1761" s="7" t="n">
        <f aca="false">(G1761-H1761)/G1761</f>
        <v>0.907514450867052</v>
      </c>
      <c r="J1761" s="15" t="n">
        <v>0.4688</v>
      </c>
      <c r="K1761" s="11" t="str">
        <f aca="false">IF(I1761&lt;J1761,"TAK","NIE")</f>
        <v>NIE</v>
      </c>
    </row>
    <row r="1762" customFormat="false" ht="15" hidden="false" customHeight="false" outlineLevel="0" collapsed="false">
      <c r="A1762" s="5" t="s">
        <v>450</v>
      </c>
      <c r="B1762" s="5" t="s">
        <v>73</v>
      </c>
      <c r="C1762" s="5" t="n">
        <v>2021</v>
      </c>
      <c r="D1762" s="5" t="s">
        <v>44</v>
      </c>
      <c r="E1762" s="5" t="s">
        <v>55</v>
      </c>
      <c r="F1762" s="5" t="s">
        <v>39</v>
      </c>
      <c r="G1762" s="6" t="n">
        <v>692</v>
      </c>
      <c r="H1762" s="6" t="n">
        <v>94</v>
      </c>
      <c r="I1762" s="7" t="n">
        <f aca="false">(G1762-H1762)/G1762</f>
        <v>0.864161849710983</v>
      </c>
      <c r="J1762" s="15" t="n">
        <v>0.4688</v>
      </c>
      <c r="K1762" s="11" t="str">
        <f aca="false">IF(I1762&lt;J1762,"TAK","NIE")</f>
        <v>NIE</v>
      </c>
    </row>
    <row r="1763" customFormat="false" ht="15" hidden="false" customHeight="false" outlineLevel="0" collapsed="false">
      <c r="A1763" s="5" t="s">
        <v>451</v>
      </c>
      <c r="B1763" s="5" t="s">
        <v>73</v>
      </c>
      <c r="C1763" s="5" t="n">
        <v>2021</v>
      </c>
      <c r="D1763" s="5" t="s">
        <v>44</v>
      </c>
      <c r="E1763" s="5" t="s">
        <v>55</v>
      </c>
      <c r="F1763" s="5" t="s">
        <v>39</v>
      </c>
      <c r="G1763" s="6" t="n">
        <v>692</v>
      </c>
      <c r="H1763" s="6" t="n">
        <v>237</v>
      </c>
      <c r="I1763" s="7" t="n">
        <f aca="false">(G1763-H1763)/G1763</f>
        <v>0.657514450867052</v>
      </c>
      <c r="J1763" s="15" t="n">
        <v>0.4688</v>
      </c>
      <c r="K1763" s="11" t="str">
        <f aca="false">IF(I1763&lt;J1763,"TAK","NIE")</f>
        <v>NIE</v>
      </c>
    </row>
    <row r="1764" customFormat="false" ht="15" hidden="false" customHeight="false" outlineLevel="0" collapsed="false">
      <c r="A1764" s="5" t="s">
        <v>452</v>
      </c>
      <c r="B1764" s="5" t="s">
        <v>73</v>
      </c>
      <c r="C1764" s="5" t="n">
        <v>2021</v>
      </c>
      <c r="D1764" s="5" t="s">
        <v>44</v>
      </c>
      <c r="E1764" s="5" t="s">
        <v>55</v>
      </c>
      <c r="F1764" s="5" t="s">
        <v>39</v>
      </c>
      <c r="G1764" s="6" t="n">
        <v>692</v>
      </c>
      <c r="H1764" s="6" t="n">
        <v>69</v>
      </c>
      <c r="I1764" s="7" t="n">
        <f aca="false">(G1764-H1764)/G1764</f>
        <v>0.900289017341041</v>
      </c>
      <c r="J1764" s="15" t="n">
        <v>0.4688</v>
      </c>
      <c r="K1764" s="11" t="str">
        <f aca="false">IF(I1764&lt;J1764,"TAK","NIE")</f>
        <v>NIE</v>
      </c>
    </row>
    <row r="1765" customFormat="false" ht="15" hidden="false" customHeight="false" outlineLevel="0" collapsed="false">
      <c r="A1765" s="5" t="s">
        <v>459</v>
      </c>
      <c r="B1765" s="5" t="s">
        <v>73</v>
      </c>
      <c r="C1765" s="5" t="n">
        <v>2021</v>
      </c>
      <c r="D1765" s="5" t="s">
        <v>44</v>
      </c>
      <c r="E1765" s="5" t="s">
        <v>55</v>
      </c>
      <c r="F1765" s="5" t="s">
        <v>39</v>
      </c>
      <c r="G1765" s="6" t="n">
        <v>658</v>
      </c>
      <c r="H1765" s="6" t="n">
        <v>105</v>
      </c>
      <c r="I1765" s="7" t="n">
        <f aca="false">(G1765-H1765)/G1765</f>
        <v>0.840425531914894</v>
      </c>
      <c r="J1765" s="15" t="n">
        <v>0.4688</v>
      </c>
      <c r="K1765" s="11" t="str">
        <f aca="false">IF(I1765&lt;J1765,"TAK","NIE")</f>
        <v>NIE</v>
      </c>
    </row>
    <row r="1766" customFormat="false" ht="15" hidden="false" customHeight="false" outlineLevel="0" collapsed="false">
      <c r="A1766" s="5" t="s">
        <v>454</v>
      </c>
      <c r="B1766" s="5" t="s">
        <v>73</v>
      </c>
      <c r="C1766" s="5" t="n">
        <v>2021</v>
      </c>
      <c r="D1766" s="5" t="s">
        <v>44</v>
      </c>
      <c r="E1766" s="5" t="s">
        <v>55</v>
      </c>
      <c r="F1766" s="5" t="s">
        <v>39</v>
      </c>
      <c r="G1766" s="6" t="n">
        <v>692</v>
      </c>
      <c r="H1766" s="6" t="n">
        <v>198</v>
      </c>
      <c r="I1766" s="7" t="n">
        <f aca="false">(G1766-H1766)/G1766</f>
        <v>0.713872832369942</v>
      </c>
      <c r="J1766" s="15" t="n">
        <v>0.4688</v>
      </c>
      <c r="K1766" s="11" t="str">
        <f aca="false">IF(I1766&lt;J1766,"TAK","NIE")</f>
        <v>NIE</v>
      </c>
    </row>
    <row r="1767" customFormat="false" ht="15" hidden="false" customHeight="false" outlineLevel="0" collapsed="false">
      <c r="A1767" s="5" t="s">
        <v>455</v>
      </c>
      <c r="B1767" s="5" t="s">
        <v>73</v>
      </c>
      <c r="C1767" s="5" t="n">
        <v>2021</v>
      </c>
      <c r="D1767" s="5" t="s">
        <v>44</v>
      </c>
      <c r="E1767" s="5" t="s">
        <v>55</v>
      </c>
      <c r="F1767" s="5" t="s">
        <v>39</v>
      </c>
      <c r="G1767" s="6" t="n">
        <v>692</v>
      </c>
      <c r="H1767" s="6" t="n">
        <v>111</v>
      </c>
      <c r="I1767" s="7" t="n">
        <f aca="false">(G1767-H1767)/G1767</f>
        <v>0.839595375722543</v>
      </c>
      <c r="J1767" s="15" t="n">
        <v>0.4688</v>
      </c>
      <c r="K1767" s="11" t="str">
        <f aca="false">IF(I1767&lt;J1767,"TAK","NIE")</f>
        <v>NIE</v>
      </c>
    </row>
    <row r="1768" customFormat="false" ht="15" hidden="false" customHeight="false" outlineLevel="0" collapsed="false">
      <c r="A1768" s="5" t="s">
        <v>456</v>
      </c>
      <c r="B1768" s="5" t="s">
        <v>73</v>
      </c>
      <c r="C1768" s="5" t="n">
        <v>2021</v>
      </c>
      <c r="D1768" s="5" t="s">
        <v>44</v>
      </c>
      <c r="E1768" s="5" t="s">
        <v>55</v>
      </c>
      <c r="F1768" s="5" t="s">
        <v>39</v>
      </c>
      <c r="G1768" s="6" t="n">
        <v>692</v>
      </c>
      <c r="H1768" s="6" t="n">
        <v>197</v>
      </c>
      <c r="I1768" s="7" t="n">
        <f aca="false">(G1768-H1768)/G1768</f>
        <v>0.715317919075145</v>
      </c>
      <c r="J1768" s="15" t="n">
        <v>0.4688</v>
      </c>
      <c r="K1768" s="11" t="str">
        <f aca="false">IF(I1768&lt;J1768,"TAK","NIE")</f>
        <v>NIE</v>
      </c>
    </row>
    <row r="1769" customFormat="false" ht="15" hidden="false" customHeight="false" outlineLevel="0" collapsed="false">
      <c r="A1769" s="5" t="s">
        <v>457</v>
      </c>
      <c r="B1769" s="5" t="s">
        <v>73</v>
      </c>
      <c r="C1769" s="5" t="n">
        <v>2021</v>
      </c>
      <c r="D1769" s="5" t="s">
        <v>44</v>
      </c>
      <c r="E1769" s="5" t="s">
        <v>55</v>
      </c>
      <c r="F1769" s="5" t="s">
        <v>39</v>
      </c>
      <c r="G1769" s="6" t="n">
        <v>692</v>
      </c>
      <c r="H1769" s="6" t="n">
        <v>219</v>
      </c>
      <c r="I1769" s="7" t="n">
        <f aca="false">(G1769-H1769)/G1769</f>
        <v>0.683526011560694</v>
      </c>
      <c r="J1769" s="15" t="n">
        <v>0.4688</v>
      </c>
      <c r="K1769" s="11" t="str">
        <f aca="false">IF(I1769&lt;J1769,"TAK","NIE")</f>
        <v>NIE</v>
      </c>
    </row>
    <row r="1770" customFormat="false" ht="15" hidden="false" customHeight="false" outlineLevel="0" collapsed="false">
      <c r="A1770" s="5" t="s">
        <v>458</v>
      </c>
      <c r="B1770" s="5" t="s">
        <v>73</v>
      </c>
      <c r="C1770" s="5" t="n">
        <v>2021</v>
      </c>
      <c r="D1770" s="5" t="s">
        <v>44</v>
      </c>
      <c r="E1770" s="5" t="s">
        <v>55</v>
      </c>
      <c r="F1770" s="5" t="s">
        <v>39</v>
      </c>
      <c r="G1770" s="6" t="n">
        <v>692</v>
      </c>
      <c r="H1770" s="6" t="n">
        <v>156</v>
      </c>
      <c r="I1770" s="7" t="n">
        <f aca="false">(G1770-H1770)/G1770</f>
        <v>0.774566473988439</v>
      </c>
      <c r="J1770" s="15" t="n">
        <v>0.4688</v>
      </c>
      <c r="K1770" s="11" t="str">
        <f aca="false">IF(I1770&lt;J1770,"TAK","NIE")</f>
        <v>NIE</v>
      </c>
    </row>
    <row r="1771" customFormat="false" ht="15" hidden="false" customHeight="false" outlineLevel="0" collapsed="false">
      <c r="A1771" s="5" t="s">
        <v>379</v>
      </c>
      <c r="B1771" s="5" t="s">
        <v>73</v>
      </c>
      <c r="C1771" s="5" t="n">
        <v>2021</v>
      </c>
      <c r="D1771" s="5" t="s">
        <v>44</v>
      </c>
      <c r="E1771" s="5" t="s">
        <v>55</v>
      </c>
      <c r="F1771" s="5" t="s">
        <v>40</v>
      </c>
      <c r="G1771" s="6" t="n">
        <v>460</v>
      </c>
      <c r="H1771" s="6" t="n">
        <v>231</v>
      </c>
      <c r="I1771" s="7" t="n">
        <f aca="false">(G1771-H1771)/G1771</f>
        <v>0.497826086956522</v>
      </c>
      <c r="J1771" s="15" t="n">
        <v>0.2906</v>
      </c>
      <c r="K1771" s="11" t="str">
        <f aca="false">IF(I1771&lt;J1771,"TAK","NIE")</f>
        <v>NIE</v>
      </c>
    </row>
    <row r="1772" customFormat="false" ht="15" hidden="false" customHeight="false" outlineLevel="0" collapsed="false">
      <c r="A1772" s="5" t="s">
        <v>445</v>
      </c>
      <c r="B1772" s="5" t="s">
        <v>73</v>
      </c>
      <c r="C1772" s="5" t="n">
        <v>2021</v>
      </c>
      <c r="D1772" s="5" t="s">
        <v>44</v>
      </c>
      <c r="E1772" s="5" t="s">
        <v>55</v>
      </c>
      <c r="F1772" s="5" t="s">
        <v>40</v>
      </c>
      <c r="G1772" s="6" t="n">
        <v>460</v>
      </c>
      <c r="H1772" s="6" t="n">
        <v>214</v>
      </c>
      <c r="I1772" s="7" t="n">
        <f aca="false">(G1772-H1772)/G1772</f>
        <v>0.534782608695652</v>
      </c>
      <c r="J1772" s="15" t="n">
        <v>0.2906</v>
      </c>
      <c r="K1772" s="11" t="str">
        <f aca="false">IF(I1772&lt;J1772,"TAK","NIE")</f>
        <v>NIE</v>
      </c>
    </row>
    <row r="1773" customFormat="false" ht="15" hidden="false" customHeight="false" outlineLevel="0" collapsed="false">
      <c r="A1773" s="5" t="s">
        <v>446</v>
      </c>
      <c r="B1773" s="5" t="s">
        <v>73</v>
      </c>
      <c r="C1773" s="5" t="n">
        <v>2021</v>
      </c>
      <c r="D1773" s="5" t="s">
        <v>44</v>
      </c>
      <c r="E1773" s="5" t="s">
        <v>55</v>
      </c>
      <c r="F1773" s="5" t="s">
        <v>40</v>
      </c>
      <c r="G1773" s="6" t="n">
        <v>460</v>
      </c>
      <c r="H1773" s="6" t="n">
        <v>130</v>
      </c>
      <c r="I1773" s="7" t="n">
        <f aca="false">(G1773-H1773)/G1773</f>
        <v>0.717391304347826</v>
      </c>
      <c r="J1773" s="15" t="n">
        <v>0.2906</v>
      </c>
      <c r="K1773" s="11" t="str">
        <f aca="false">IF(I1773&lt;J1773,"TAK","NIE")</f>
        <v>NIE</v>
      </c>
    </row>
    <row r="1774" customFormat="false" ht="15" hidden="false" customHeight="false" outlineLevel="0" collapsed="false">
      <c r="A1774" s="5" t="s">
        <v>447</v>
      </c>
      <c r="B1774" s="5" t="s">
        <v>73</v>
      </c>
      <c r="C1774" s="5" t="n">
        <v>2021</v>
      </c>
      <c r="D1774" s="5" t="s">
        <v>44</v>
      </c>
      <c r="E1774" s="5" t="s">
        <v>55</v>
      </c>
      <c r="F1774" s="5" t="s">
        <v>40</v>
      </c>
      <c r="G1774" s="6" t="n">
        <v>460</v>
      </c>
      <c r="H1774" s="6" t="n">
        <v>210</v>
      </c>
      <c r="I1774" s="7" t="n">
        <f aca="false">(G1774-H1774)/G1774</f>
        <v>0.543478260869565</v>
      </c>
      <c r="J1774" s="15" t="n">
        <v>0.2906</v>
      </c>
      <c r="K1774" s="11" t="str">
        <f aca="false">IF(I1774&lt;J1774,"TAK","NIE")</f>
        <v>NIE</v>
      </c>
    </row>
    <row r="1775" customFormat="false" ht="15" hidden="false" customHeight="false" outlineLevel="0" collapsed="false">
      <c r="A1775" s="5" t="s">
        <v>448</v>
      </c>
      <c r="B1775" s="5" t="s">
        <v>73</v>
      </c>
      <c r="C1775" s="5" t="n">
        <v>2021</v>
      </c>
      <c r="D1775" s="5" t="s">
        <v>44</v>
      </c>
      <c r="E1775" s="5" t="s">
        <v>55</v>
      </c>
      <c r="F1775" s="5" t="s">
        <v>40</v>
      </c>
      <c r="G1775" s="6" t="n">
        <v>460</v>
      </c>
      <c r="H1775" s="6" t="n">
        <v>114</v>
      </c>
      <c r="I1775" s="7" t="n">
        <f aca="false">(G1775-H1775)/G1775</f>
        <v>0.752173913043478</v>
      </c>
      <c r="J1775" s="15" t="n">
        <v>0.2906</v>
      </c>
      <c r="K1775" s="11" t="str">
        <f aca="false">IF(I1775&lt;J1775,"TAK","NIE")</f>
        <v>NIE</v>
      </c>
    </row>
    <row r="1776" customFormat="false" ht="15" hidden="false" customHeight="false" outlineLevel="0" collapsed="false">
      <c r="A1776" s="5" t="s">
        <v>450</v>
      </c>
      <c r="B1776" s="5" t="s">
        <v>73</v>
      </c>
      <c r="C1776" s="5" t="n">
        <v>2021</v>
      </c>
      <c r="D1776" s="5" t="s">
        <v>44</v>
      </c>
      <c r="E1776" s="5" t="s">
        <v>55</v>
      </c>
      <c r="F1776" s="5" t="s">
        <v>40</v>
      </c>
      <c r="G1776" s="6" t="n">
        <v>460</v>
      </c>
      <c r="H1776" s="6" t="n">
        <v>159</v>
      </c>
      <c r="I1776" s="7" t="n">
        <f aca="false">(G1776-H1776)/G1776</f>
        <v>0.654347826086957</v>
      </c>
      <c r="J1776" s="15" t="n">
        <v>0.2906</v>
      </c>
      <c r="K1776" s="11" t="str">
        <f aca="false">IF(I1776&lt;J1776,"TAK","NIE")</f>
        <v>NIE</v>
      </c>
    </row>
    <row r="1777" customFormat="false" ht="15" hidden="false" customHeight="false" outlineLevel="0" collapsed="false">
      <c r="A1777" s="5" t="s">
        <v>451</v>
      </c>
      <c r="B1777" s="5" t="s">
        <v>73</v>
      </c>
      <c r="C1777" s="5" t="n">
        <v>2021</v>
      </c>
      <c r="D1777" s="5" t="s">
        <v>44</v>
      </c>
      <c r="E1777" s="5" t="s">
        <v>55</v>
      </c>
      <c r="F1777" s="5" t="s">
        <v>40</v>
      </c>
      <c r="G1777" s="6" t="n">
        <v>460</v>
      </c>
      <c r="H1777" s="6" t="n">
        <v>226</v>
      </c>
      <c r="I1777" s="7" t="n">
        <f aca="false">(G1777-H1777)/G1777</f>
        <v>0.508695652173913</v>
      </c>
      <c r="J1777" s="15" t="n">
        <v>0.2906</v>
      </c>
      <c r="K1777" s="11" t="str">
        <f aca="false">IF(I1777&lt;J1777,"TAK","NIE")</f>
        <v>NIE</v>
      </c>
    </row>
    <row r="1778" customFormat="false" ht="15" hidden="false" customHeight="false" outlineLevel="0" collapsed="false">
      <c r="A1778" s="5" t="s">
        <v>452</v>
      </c>
      <c r="B1778" s="5" t="s">
        <v>73</v>
      </c>
      <c r="C1778" s="5" t="n">
        <v>2021</v>
      </c>
      <c r="D1778" s="5" t="s">
        <v>44</v>
      </c>
      <c r="E1778" s="5" t="s">
        <v>55</v>
      </c>
      <c r="F1778" s="5" t="s">
        <v>40</v>
      </c>
      <c r="G1778" s="6" t="n">
        <v>460</v>
      </c>
      <c r="H1778" s="6" t="n">
        <v>110</v>
      </c>
      <c r="I1778" s="7" t="n">
        <f aca="false">(G1778-H1778)/G1778</f>
        <v>0.760869565217391</v>
      </c>
      <c r="J1778" s="15" t="n">
        <v>0.2906</v>
      </c>
      <c r="K1778" s="11" t="str">
        <f aca="false">IF(I1778&lt;J1778,"TAK","NIE")</f>
        <v>NIE</v>
      </c>
    </row>
    <row r="1779" customFormat="false" ht="15" hidden="false" customHeight="false" outlineLevel="0" collapsed="false">
      <c r="A1779" s="5" t="s">
        <v>459</v>
      </c>
      <c r="B1779" s="5" t="s">
        <v>73</v>
      </c>
      <c r="C1779" s="5" t="n">
        <v>2021</v>
      </c>
      <c r="D1779" s="5" t="s">
        <v>44</v>
      </c>
      <c r="E1779" s="5" t="s">
        <v>55</v>
      </c>
      <c r="F1779" s="5" t="s">
        <v>40</v>
      </c>
      <c r="G1779" s="6" t="n">
        <v>430</v>
      </c>
      <c r="H1779" s="6" t="n">
        <v>405</v>
      </c>
      <c r="I1779" s="7" t="n">
        <f aca="false">(G1779-H1779)/G1779</f>
        <v>0.0581395348837209</v>
      </c>
      <c r="J1779" s="15" t="n">
        <v>0.2906</v>
      </c>
      <c r="K1779" s="11" t="str">
        <f aca="false">IF(I1779&lt;J1779,"TAK","NIE")</f>
        <v>TAK</v>
      </c>
    </row>
    <row r="1780" customFormat="false" ht="15" hidden="false" customHeight="false" outlineLevel="0" collapsed="false">
      <c r="A1780" s="5" t="s">
        <v>454</v>
      </c>
      <c r="B1780" s="5" t="s">
        <v>73</v>
      </c>
      <c r="C1780" s="5" t="n">
        <v>2021</v>
      </c>
      <c r="D1780" s="5" t="s">
        <v>44</v>
      </c>
      <c r="E1780" s="5" t="s">
        <v>55</v>
      </c>
      <c r="F1780" s="5" t="s">
        <v>40</v>
      </c>
      <c r="G1780" s="6" t="n">
        <v>460</v>
      </c>
      <c r="H1780" s="6" t="n">
        <v>79</v>
      </c>
      <c r="I1780" s="7" t="n">
        <f aca="false">(G1780-H1780)/G1780</f>
        <v>0.828260869565217</v>
      </c>
      <c r="J1780" s="15" t="n">
        <v>0.2906</v>
      </c>
      <c r="K1780" s="11" t="str">
        <f aca="false">IF(I1780&lt;J1780,"TAK","NIE")</f>
        <v>NIE</v>
      </c>
    </row>
    <row r="1781" customFormat="false" ht="15" hidden="false" customHeight="false" outlineLevel="0" collapsed="false">
      <c r="A1781" s="5" t="s">
        <v>455</v>
      </c>
      <c r="B1781" s="5" t="s">
        <v>73</v>
      </c>
      <c r="C1781" s="5" t="n">
        <v>2021</v>
      </c>
      <c r="D1781" s="5" t="s">
        <v>44</v>
      </c>
      <c r="E1781" s="5" t="s">
        <v>55</v>
      </c>
      <c r="F1781" s="5" t="s">
        <v>40</v>
      </c>
      <c r="G1781" s="6" t="n">
        <v>460</v>
      </c>
      <c r="H1781" s="6" t="n">
        <v>198</v>
      </c>
      <c r="I1781" s="7" t="n">
        <f aca="false">(G1781-H1781)/G1781</f>
        <v>0.569565217391304</v>
      </c>
      <c r="J1781" s="15" t="n">
        <v>0.2906</v>
      </c>
      <c r="K1781" s="11" t="str">
        <f aca="false">IF(I1781&lt;J1781,"TAK","NIE")</f>
        <v>NIE</v>
      </c>
    </row>
    <row r="1782" customFormat="false" ht="15" hidden="false" customHeight="false" outlineLevel="0" collapsed="false">
      <c r="A1782" s="5" t="s">
        <v>456</v>
      </c>
      <c r="B1782" s="5" t="s">
        <v>73</v>
      </c>
      <c r="C1782" s="5" t="n">
        <v>2021</v>
      </c>
      <c r="D1782" s="5" t="s">
        <v>44</v>
      </c>
      <c r="E1782" s="5" t="s">
        <v>55</v>
      </c>
      <c r="F1782" s="5" t="s">
        <v>40</v>
      </c>
      <c r="G1782" s="6" t="n">
        <v>460</v>
      </c>
      <c r="H1782" s="6" t="n">
        <v>199</v>
      </c>
      <c r="I1782" s="7" t="n">
        <f aca="false">(G1782-H1782)/G1782</f>
        <v>0.567391304347826</v>
      </c>
      <c r="J1782" s="15" t="n">
        <v>0.2906</v>
      </c>
      <c r="K1782" s="11" t="str">
        <f aca="false">IF(I1782&lt;J1782,"TAK","NIE")</f>
        <v>NIE</v>
      </c>
    </row>
    <row r="1783" customFormat="false" ht="15" hidden="false" customHeight="false" outlineLevel="0" collapsed="false">
      <c r="A1783" s="5" t="s">
        <v>457</v>
      </c>
      <c r="B1783" s="5" t="s">
        <v>73</v>
      </c>
      <c r="C1783" s="5" t="n">
        <v>2021</v>
      </c>
      <c r="D1783" s="5" t="s">
        <v>44</v>
      </c>
      <c r="E1783" s="5" t="s">
        <v>55</v>
      </c>
      <c r="F1783" s="5" t="s">
        <v>40</v>
      </c>
      <c r="G1783" s="6" t="n">
        <v>460</v>
      </c>
      <c r="H1783" s="6" t="n">
        <v>179</v>
      </c>
      <c r="I1783" s="7" t="n">
        <f aca="false">(G1783-H1783)/G1783</f>
        <v>0.610869565217391</v>
      </c>
      <c r="J1783" s="15" t="n">
        <v>0.2906</v>
      </c>
      <c r="K1783" s="11" t="str">
        <f aca="false">IF(I1783&lt;J1783,"TAK","NIE")</f>
        <v>NIE</v>
      </c>
    </row>
    <row r="1784" customFormat="false" ht="15" hidden="false" customHeight="false" outlineLevel="0" collapsed="false">
      <c r="A1784" s="5" t="s">
        <v>458</v>
      </c>
      <c r="B1784" s="5" t="s">
        <v>73</v>
      </c>
      <c r="C1784" s="5" t="n">
        <v>2021</v>
      </c>
      <c r="D1784" s="5" t="s">
        <v>44</v>
      </c>
      <c r="E1784" s="5" t="s">
        <v>55</v>
      </c>
      <c r="F1784" s="5" t="s">
        <v>40</v>
      </c>
      <c r="G1784" s="6" t="n">
        <v>460</v>
      </c>
      <c r="H1784" s="6" t="n">
        <v>196</v>
      </c>
      <c r="I1784" s="7" t="n">
        <f aca="false">(G1784-H1784)/G1784</f>
        <v>0.573913043478261</v>
      </c>
      <c r="J1784" s="15" t="n">
        <v>0.2906</v>
      </c>
      <c r="K1784" s="11" t="str">
        <f aca="false">IF(I1784&lt;J1784,"TAK","NIE")</f>
        <v>NIE</v>
      </c>
    </row>
    <row r="1785" customFormat="false" ht="15" hidden="false" customHeight="false" outlineLevel="0" collapsed="false">
      <c r="A1785" s="5" t="s">
        <v>445</v>
      </c>
      <c r="B1785" s="5" t="s">
        <v>43</v>
      </c>
      <c r="C1785" s="5" t="n">
        <v>2021</v>
      </c>
      <c r="D1785" s="5" t="s">
        <v>44</v>
      </c>
      <c r="E1785" s="5" t="s">
        <v>57</v>
      </c>
      <c r="F1785" s="5" t="s">
        <v>39</v>
      </c>
      <c r="G1785" s="6" t="n">
        <v>578</v>
      </c>
      <c r="H1785" s="6" t="n">
        <v>233</v>
      </c>
      <c r="I1785" s="7" t="n">
        <f aca="false">(G1785-H1785)/G1785</f>
        <v>0.596885813148789</v>
      </c>
      <c r="J1785" s="15" t="n">
        <v>0.461</v>
      </c>
      <c r="K1785" s="11" t="str">
        <f aca="false">IF(I1785&lt;J1785,"TAK","NIE")</f>
        <v>NIE</v>
      </c>
    </row>
    <row r="1786" customFormat="false" ht="15" hidden="false" customHeight="false" outlineLevel="0" collapsed="false">
      <c r="A1786" s="5" t="s">
        <v>380</v>
      </c>
      <c r="B1786" s="5" t="s">
        <v>43</v>
      </c>
      <c r="C1786" s="5" t="n">
        <v>2021</v>
      </c>
      <c r="D1786" s="5" t="s">
        <v>44</v>
      </c>
      <c r="E1786" s="5" t="s">
        <v>57</v>
      </c>
      <c r="F1786" s="5" t="s">
        <v>39</v>
      </c>
      <c r="G1786" s="6" t="n">
        <v>578</v>
      </c>
      <c r="H1786" s="6" t="n">
        <v>292</v>
      </c>
      <c r="I1786" s="7" t="n">
        <f aca="false">(G1786-H1786)/G1786</f>
        <v>0.494809688581315</v>
      </c>
      <c r="J1786" s="15" t="n">
        <v>0.461</v>
      </c>
      <c r="K1786" s="11" t="str">
        <f aca="false">IF(I1786&lt;J1786,"TAK","NIE")</f>
        <v>NIE</v>
      </c>
    </row>
    <row r="1787" customFormat="false" ht="15" hidden="false" customHeight="false" outlineLevel="0" collapsed="false">
      <c r="A1787" s="5" t="s">
        <v>446</v>
      </c>
      <c r="B1787" s="5" t="s">
        <v>43</v>
      </c>
      <c r="C1787" s="5" t="n">
        <v>2021</v>
      </c>
      <c r="D1787" s="5" t="s">
        <v>44</v>
      </c>
      <c r="E1787" s="5" t="s">
        <v>57</v>
      </c>
      <c r="F1787" s="5" t="s">
        <v>39</v>
      </c>
      <c r="G1787" s="6" t="n">
        <v>578</v>
      </c>
      <c r="H1787" s="6" t="n">
        <v>207</v>
      </c>
      <c r="I1787" s="7" t="n">
        <f aca="false">(G1787-H1787)/G1787</f>
        <v>0.641868512110727</v>
      </c>
      <c r="J1787" s="15" t="n">
        <v>0.461</v>
      </c>
      <c r="K1787" s="11" t="str">
        <f aca="false">IF(I1787&lt;J1787,"TAK","NIE")</f>
        <v>NIE</v>
      </c>
    </row>
    <row r="1788" customFormat="false" ht="15" hidden="false" customHeight="false" outlineLevel="0" collapsed="false">
      <c r="A1788" s="5" t="s">
        <v>447</v>
      </c>
      <c r="B1788" s="5" t="s">
        <v>43</v>
      </c>
      <c r="C1788" s="5" t="n">
        <v>2021</v>
      </c>
      <c r="D1788" s="5" t="s">
        <v>44</v>
      </c>
      <c r="E1788" s="5" t="s">
        <v>57</v>
      </c>
      <c r="F1788" s="5" t="s">
        <v>39</v>
      </c>
      <c r="G1788" s="6" t="n">
        <v>578</v>
      </c>
      <c r="H1788" s="6" t="n">
        <v>201</v>
      </c>
      <c r="I1788" s="7" t="n">
        <f aca="false">(G1788-H1788)/G1788</f>
        <v>0.652249134948097</v>
      </c>
      <c r="J1788" s="15" t="n">
        <v>0.461</v>
      </c>
      <c r="K1788" s="11" t="str">
        <f aca="false">IF(I1788&lt;J1788,"TAK","NIE")</f>
        <v>NIE</v>
      </c>
    </row>
    <row r="1789" customFormat="false" ht="15" hidden="false" customHeight="false" outlineLevel="0" collapsed="false">
      <c r="A1789" s="5" t="s">
        <v>448</v>
      </c>
      <c r="B1789" s="5" t="s">
        <v>43</v>
      </c>
      <c r="C1789" s="5" t="n">
        <v>2021</v>
      </c>
      <c r="D1789" s="5" t="s">
        <v>44</v>
      </c>
      <c r="E1789" s="5" t="s">
        <v>57</v>
      </c>
      <c r="F1789" s="5" t="s">
        <v>39</v>
      </c>
      <c r="G1789" s="6" t="n">
        <v>578</v>
      </c>
      <c r="H1789" s="6" t="n">
        <v>181</v>
      </c>
      <c r="I1789" s="7" t="n">
        <f aca="false">(G1789-H1789)/G1789</f>
        <v>0.686851211072664</v>
      </c>
      <c r="J1789" s="15" t="n">
        <v>0.461</v>
      </c>
      <c r="K1789" s="11" t="str">
        <f aca="false">IF(I1789&lt;J1789,"TAK","NIE")</f>
        <v>NIE</v>
      </c>
    </row>
    <row r="1790" customFormat="false" ht="15" hidden="false" customHeight="false" outlineLevel="0" collapsed="false">
      <c r="A1790" s="5" t="s">
        <v>450</v>
      </c>
      <c r="B1790" s="5" t="s">
        <v>43</v>
      </c>
      <c r="C1790" s="5" t="n">
        <v>2021</v>
      </c>
      <c r="D1790" s="5" t="s">
        <v>44</v>
      </c>
      <c r="E1790" s="5" t="s">
        <v>57</v>
      </c>
      <c r="F1790" s="5" t="s">
        <v>39</v>
      </c>
      <c r="G1790" s="6" t="n">
        <v>578</v>
      </c>
      <c r="H1790" s="6" t="n">
        <v>187</v>
      </c>
      <c r="I1790" s="7" t="n">
        <f aca="false">(G1790-H1790)/G1790</f>
        <v>0.676470588235294</v>
      </c>
      <c r="J1790" s="15" t="n">
        <v>0.461</v>
      </c>
      <c r="K1790" s="11" t="str">
        <f aca="false">IF(I1790&lt;J1790,"TAK","NIE")</f>
        <v>NIE</v>
      </c>
    </row>
    <row r="1791" customFormat="false" ht="15" hidden="false" customHeight="false" outlineLevel="0" collapsed="false">
      <c r="A1791" s="5" t="s">
        <v>451</v>
      </c>
      <c r="B1791" s="5" t="s">
        <v>43</v>
      </c>
      <c r="C1791" s="5" t="n">
        <v>2021</v>
      </c>
      <c r="D1791" s="5" t="s">
        <v>44</v>
      </c>
      <c r="E1791" s="5" t="s">
        <v>57</v>
      </c>
      <c r="F1791" s="5" t="s">
        <v>39</v>
      </c>
      <c r="G1791" s="6" t="n">
        <v>578</v>
      </c>
      <c r="H1791" s="6" t="n">
        <v>280</v>
      </c>
      <c r="I1791" s="7" t="n">
        <f aca="false">(G1791-H1791)/G1791</f>
        <v>0.515570934256055</v>
      </c>
      <c r="J1791" s="15" t="n">
        <v>0.461</v>
      </c>
      <c r="K1791" s="11" t="str">
        <f aca="false">IF(I1791&lt;J1791,"TAK","NIE")</f>
        <v>NIE</v>
      </c>
    </row>
    <row r="1792" customFormat="false" ht="15" hidden="false" customHeight="false" outlineLevel="0" collapsed="false">
      <c r="A1792" s="5" t="s">
        <v>452</v>
      </c>
      <c r="B1792" s="5" t="s">
        <v>43</v>
      </c>
      <c r="C1792" s="5" t="n">
        <v>2021</v>
      </c>
      <c r="D1792" s="5" t="s">
        <v>44</v>
      </c>
      <c r="E1792" s="5" t="s">
        <v>57</v>
      </c>
      <c r="F1792" s="5" t="s">
        <v>39</v>
      </c>
      <c r="G1792" s="6" t="n">
        <v>578</v>
      </c>
      <c r="H1792" s="6" t="n">
        <v>187</v>
      </c>
      <c r="I1792" s="7" t="n">
        <f aca="false">(G1792-H1792)/G1792</f>
        <v>0.676470588235294</v>
      </c>
      <c r="J1792" s="15" t="n">
        <v>0.461</v>
      </c>
      <c r="K1792" s="11" t="str">
        <f aca="false">IF(I1792&lt;J1792,"TAK","NIE")</f>
        <v>NIE</v>
      </c>
    </row>
    <row r="1793" customFormat="false" ht="15" hidden="false" customHeight="false" outlineLevel="0" collapsed="false">
      <c r="A1793" s="5" t="s">
        <v>454</v>
      </c>
      <c r="B1793" s="5" t="s">
        <v>43</v>
      </c>
      <c r="C1793" s="5" t="n">
        <v>2021</v>
      </c>
      <c r="D1793" s="5" t="s">
        <v>44</v>
      </c>
      <c r="E1793" s="5" t="s">
        <v>57</v>
      </c>
      <c r="F1793" s="5" t="s">
        <v>39</v>
      </c>
      <c r="G1793" s="6" t="n">
        <v>578</v>
      </c>
      <c r="H1793" s="6" t="n">
        <v>170</v>
      </c>
      <c r="I1793" s="7" t="n">
        <f aca="false">(G1793-H1793)/G1793</f>
        <v>0.705882352941177</v>
      </c>
      <c r="J1793" s="15" t="n">
        <v>0.461</v>
      </c>
      <c r="K1793" s="11" t="str">
        <f aca="false">IF(I1793&lt;J1793,"TAK","NIE")</f>
        <v>NIE</v>
      </c>
    </row>
    <row r="1794" customFormat="false" ht="15" hidden="false" customHeight="false" outlineLevel="0" collapsed="false">
      <c r="A1794" s="5" t="s">
        <v>455</v>
      </c>
      <c r="B1794" s="5" t="s">
        <v>43</v>
      </c>
      <c r="C1794" s="5" t="n">
        <v>2021</v>
      </c>
      <c r="D1794" s="5" t="s">
        <v>44</v>
      </c>
      <c r="E1794" s="5" t="s">
        <v>57</v>
      </c>
      <c r="F1794" s="5" t="s">
        <v>39</v>
      </c>
      <c r="G1794" s="6" t="n">
        <v>578</v>
      </c>
      <c r="H1794" s="6" t="n">
        <v>225</v>
      </c>
      <c r="I1794" s="7" t="n">
        <f aca="false">(G1794-H1794)/G1794</f>
        <v>0.610726643598616</v>
      </c>
      <c r="J1794" s="15" t="n">
        <v>0.461</v>
      </c>
      <c r="K1794" s="11" t="str">
        <f aca="false">IF(I1794&lt;J1794,"TAK","NIE")</f>
        <v>NIE</v>
      </c>
    </row>
    <row r="1795" customFormat="false" ht="15" hidden="false" customHeight="false" outlineLevel="0" collapsed="false">
      <c r="A1795" s="5" t="s">
        <v>456</v>
      </c>
      <c r="B1795" s="5" t="s">
        <v>43</v>
      </c>
      <c r="C1795" s="5" t="n">
        <v>2021</v>
      </c>
      <c r="D1795" s="5" t="s">
        <v>44</v>
      </c>
      <c r="E1795" s="5" t="s">
        <v>57</v>
      </c>
      <c r="F1795" s="5" t="s">
        <v>39</v>
      </c>
      <c r="G1795" s="6" t="n">
        <v>578</v>
      </c>
      <c r="H1795" s="6" t="n">
        <v>208</v>
      </c>
      <c r="I1795" s="7" t="n">
        <f aca="false">(G1795-H1795)/G1795</f>
        <v>0.640138408304498</v>
      </c>
      <c r="J1795" s="15" t="n">
        <v>0.461</v>
      </c>
      <c r="K1795" s="11" t="str">
        <f aca="false">IF(I1795&lt;J1795,"TAK","NIE")</f>
        <v>NIE</v>
      </c>
    </row>
    <row r="1796" customFormat="false" ht="15" hidden="false" customHeight="false" outlineLevel="0" collapsed="false">
      <c r="A1796" s="5" t="s">
        <v>457</v>
      </c>
      <c r="B1796" s="5" t="s">
        <v>43</v>
      </c>
      <c r="C1796" s="5" t="n">
        <v>2021</v>
      </c>
      <c r="D1796" s="5" t="s">
        <v>44</v>
      </c>
      <c r="E1796" s="5" t="s">
        <v>57</v>
      </c>
      <c r="F1796" s="5" t="s">
        <v>39</v>
      </c>
      <c r="G1796" s="6" t="n">
        <v>578</v>
      </c>
      <c r="H1796" s="6" t="n">
        <v>237</v>
      </c>
      <c r="I1796" s="7" t="n">
        <f aca="false">(G1796-H1796)/G1796</f>
        <v>0.589965397923876</v>
      </c>
      <c r="J1796" s="15" t="n">
        <v>0.461</v>
      </c>
      <c r="K1796" s="11" t="str">
        <f aca="false">IF(I1796&lt;J1796,"TAK","NIE")</f>
        <v>NIE</v>
      </c>
    </row>
    <row r="1797" customFormat="false" ht="15" hidden="false" customHeight="false" outlineLevel="0" collapsed="false">
      <c r="A1797" s="5" t="s">
        <v>458</v>
      </c>
      <c r="B1797" s="5" t="s">
        <v>43</v>
      </c>
      <c r="C1797" s="5" t="n">
        <v>2021</v>
      </c>
      <c r="D1797" s="5" t="s">
        <v>44</v>
      </c>
      <c r="E1797" s="5" t="s">
        <v>57</v>
      </c>
      <c r="F1797" s="5" t="s">
        <v>39</v>
      </c>
      <c r="G1797" s="6" t="n">
        <v>578</v>
      </c>
      <c r="H1797" s="6" t="n">
        <v>261</v>
      </c>
      <c r="I1797" s="7" t="n">
        <f aca="false">(G1797-H1797)/G1797</f>
        <v>0.548442906574394</v>
      </c>
      <c r="J1797" s="15" t="n">
        <v>0.461</v>
      </c>
      <c r="K1797" s="11" t="str">
        <f aca="false">IF(I1797&lt;J1797,"TAK","NIE")</f>
        <v>NIE</v>
      </c>
    </row>
    <row r="1798" customFormat="false" ht="15" hidden="false" customHeight="false" outlineLevel="0" collapsed="false">
      <c r="A1798" s="5" t="s">
        <v>445</v>
      </c>
      <c r="B1798" s="5" t="s">
        <v>43</v>
      </c>
      <c r="C1798" s="5" t="n">
        <v>2021</v>
      </c>
      <c r="D1798" s="5" t="s">
        <v>44</v>
      </c>
      <c r="E1798" s="5" t="s">
        <v>57</v>
      </c>
      <c r="F1798" s="5" t="s">
        <v>40</v>
      </c>
      <c r="G1798" s="6" t="n">
        <v>625</v>
      </c>
      <c r="H1798" s="6" t="n">
        <v>305</v>
      </c>
      <c r="I1798" s="7" t="n">
        <f aca="false">(G1798-H1798)/G1798</f>
        <v>0.512</v>
      </c>
      <c r="J1798" s="15" t="n">
        <v>0.284</v>
      </c>
      <c r="K1798" s="11" t="str">
        <f aca="false">IF(I1798&lt;J1798,"TAK","NIE")</f>
        <v>NIE</v>
      </c>
    </row>
    <row r="1799" customFormat="false" ht="15" hidden="false" customHeight="false" outlineLevel="0" collapsed="false">
      <c r="A1799" s="5" t="s">
        <v>380</v>
      </c>
      <c r="B1799" s="5" t="s">
        <v>43</v>
      </c>
      <c r="C1799" s="5" t="n">
        <v>2021</v>
      </c>
      <c r="D1799" s="5" t="s">
        <v>44</v>
      </c>
      <c r="E1799" s="5" t="s">
        <v>57</v>
      </c>
      <c r="F1799" s="5" t="s">
        <v>40</v>
      </c>
      <c r="G1799" s="6" t="n">
        <v>625</v>
      </c>
      <c r="H1799" s="6" t="n">
        <v>274</v>
      </c>
      <c r="I1799" s="7" t="n">
        <f aca="false">(G1799-H1799)/G1799</f>
        <v>0.5616</v>
      </c>
      <c r="J1799" s="15" t="n">
        <v>0.284</v>
      </c>
      <c r="K1799" s="11" t="str">
        <f aca="false">IF(I1799&lt;J1799,"TAK","NIE")</f>
        <v>NIE</v>
      </c>
    </row>
    <row r="1800" customFormat="false" ht="15" hidden="false" customHeight="false" outlineLevel="0" collapsed="false">
      <c r="A1800" s="5" t="s">
        <v>446</v>
      </c>
      <c r="B1800" s="5" t="s">
        <v>43</v>
      </c>
      <c r="C1800" s="5" t="n">
        <v>2021</v>
      </c>
      <c r="D1800" s="5" t="s">
        <v>44</v>
      </c>
      <c r="E1800" s="5" t="s">
        <v>57</v>
      </c>
      <c r="F1800" s="5" t="s">
        <v>40</v>
      </c>
      <c r="G1800" s="6" t="n">
        <v>625</v>
      </c>
      <c r="H1800" s="6" t="n">
        <v>203</v>
      </c>
      <c r="I1800" s="7" t="n">
        <f aca="false">(G1800-H1800)/G1800</f>
        <v>0.6752</v>
      </c>
      <c r="J1800" s="15" t="n">
        <v>0.284</v>
      </c>
      <c r="K1800" s="11" t="str">
        <f aca="false">IF(I1800&lt;J1800,"TAK","NIE")</f>
        <v>NIE</v>
      </c>
    </row>
    <row r="1801" customFormat="false" ht="15" hidden="false" customHeight="false" outlineLevel="0" collapsed="false">
      <c r="A1801" s="5" t="s">
        <v>447</v>
      </c>
      <c r="B1801" s="5" t="s">
        <v>43</v>
      </c>
      <c r="C1801" s="5" t="n">
        <v>2021</v>
      </c>
      <c r="D1801" s="5" t="s">
        <v>44</v>
      </c>
      <c r="E1801" s="5" t="s">
        <v>57</v>
      </c>
      <c r="F1801" s="5" t="s">
        <v>40</v>
      </c>
      <c r="G1801" s="6" t="n">
        <v>625</v>
      </c>
      <c r="H1801" s="6" t="n">
        <v>250</v>
      </c>
      <c r="I1801" s="7" t="n">
        <f aca="false">(G1801-H1801)/G1801</f>
        <v>0.6</v>
      </c>
      <c r="J1801" s="15" t="n">
        <v>0.284</v>
      </c>
      <c r="K1801" s="11" t="str">
        <f aca="false">IF(I1801&lt;J1801,"TAK","NIE")</f>
        <v>NIE</v>
      </c>
    </row>
    <row r="1802" customFormat="false" ht="15" hidden="false" customHeight="false" outlineLevel="0" collapsed="false">
      <c r="A1802" s="5" t="s">
        <v>448</v>
      </c>
      <c r="B1802" s="5" t="s">
        <v>43</v>
      </c>
      <c r="C1802" s="5" t="n">
        <v>2021</v>
      </c>
      <c r="D1802" s="5" t="s">
        <v>44</v>
      </c>
      <c r="E1802" s="5" t="s">
        <v>57</v>
      </c>
      <c r="F1802" s="5" t="s">
        <v>40</v>
      </c>
      <c r="G1802" s="6" t="n">
        <v>625</v>
      </c>
      <c r="H1802" s="6" t="n">
        <v>211</v>
      </c>
      <c r="I1802" s="7" t="n">
        <f aca="false">(G1802-H1802)/G1802</f>
        <v>0.6624</v>
      </c>
      <c r="J1802" s="15" t="n">
        <v>0.284</v>
      </c>
      <c r="K1802" s="11" t="str">
        <f aca="false">IF(I1802&lt;J1802,"TAK","NIE")</f>
        <v>NIE</v>
      </c>
    </row>
    <row r="1803" customFormat="false" ht="15" hidden="false" customHeight="false" outlineLevel="0" collapsed="false">
      <c r="A1803" s="5" t="s">
        <v>450</v>
      </c>
      <c r="B1803" s="5" t="s">
        <v>43</v>
      </c>
      <c r="C1803" s="5" t="n">
        <v>2021</v>
      </c>
      <c r="D1803" s="5" t="s">
        <v>44</v>
      </c>
      <c r="E1803" s="5" t="s">
        <v>57</v>
      </c>
      <c r="F1803" s="5" t="s">
        <v>40</v>
      </c>
      <c r="G1803" s="6" t="n">
        <v>625</v>
      </c>
      <c r="H1803" s="6" t="n">
        <v>259</v>
      </c>
      <c r="I1803" s="7" t="n">
        <f aca="false">(G1803-H1803)/G1803</f>
        <v>0.5856</v>
      </c>
      <c r="J1803" s="15" t="n">
        <v>0.284</v>
      </c>
      <c r="K1803" s="11" t="str">
        <f aca="false">IF(I1803&lt;J1803,"TAK","NIE")</f>
        <v>NIE</v>
      </c>
    </row>
    <row r="1804" customFormat="false" ht="15" hidden="false" customHeight="false" outlineLevel="0" collapsed="false">
      <c r="A1804" s="5" t="s">
        <v>451</v>
      </c>
      <c r="B1804" s="5" t="s">
        <v>43</v>
      </c>
      <c r="C1804" s="5" t="n">
        <v>2021</v>
      </c>
      <c r="D1804" s="5" t="s">
        <v>44</v>
      </c>
      <c r="E1804" s="5" t="s">
        <v>57</v>
      </c>
      <c r="F1804" s="5" t="s">
        <v>40</v>
      </c>
      <c r="G1804" s="6" t="n">
        <v>625</v>
      </c>
      <c r="H1804" s="6" t="n">
        <v>344</v>
      </c>
      <c r="I1804" s="7" t="n">
        <f aca="false">(G1804-H1804)/G1804</f>
        <v>0.4496</v>
      </c>
      <c r="J1804" s="15" t="n">
        <v>0.284</v>
      </c>
      <c r="K1804" s="11" t="str">
        <f aca="false">IF(I1804&lt;J1804,"TAK","NIE")</f>
        <v>NIE</v>
      </c>
    </row>
    <row r="1805" customFormat="false" ht="15" hidden="false" customHeight="false" outlineLevel="0" collapsed="false">
      <c r="A1805" s="5" t="s">
        <v>452</v>
      </c>
      <c r="B1805" s="5" t="s">
        <v>43</v>
      </c>
      <c r="C1805" s="5" t="n">
        <v>2021</v>
      </c>
      <c r="D1805" s="5" t="s">
        <v>44</v>
      </c>
      <c r="E1805" s="5" t="s">
        <v>57</v>
      </c>
      <c r="F1805" s="5" t="s">
        <v>40</v>
      </c>
      <c r="G1805" s="6" t="n">
        <v>625</v>
      </c>
      <c r="H1805" s="6" t="n">
        <v>174</v>
      </c>
      <c r="I1805" s="7" t="n">
        <f aca="false">(G1805-H1805)/G1805</f>
        <v>0.7216</v>
      </c>
      <c r="J1805" s="15" t="n">
        <v>0.284</v>
      </c>
      <c r="K1805" s="11" t="str">
        <f aca="false">IF(I1805&lt;J1805,"TAK","NIE")</f>
        <v>NIE</v>
      </c>
    </row>
    <row r="1806" customFormat="false" ht="15" hidden="false" customHeight="false" outlineLevel="0" collapsed="false">
      <c r="A1806" s="5" t="s">
        <v>454</v>
      </c>
      <c r="B1806" s="5" t="s">
        <v>43</v>
      </c>
      <c r="C1806" s="5" t="n">
        <v>2021</v>
      </c>
      <c r="D1806" s="5" t="s">
        <v>44</v>
      </c>
      <c r="E1806" s="5" t="s">
        <v>57</v>
      </c>
      <c r="F1806" s="5" t="s">
        <v>40</v>
      </c>
      <c r="G1806" s="6" t="n">
        <v>625</v>
      </c>
      <c r="H1806" s="6" t="n">
        <v>201</v>
      </c>
      <c r="I1806" s="7" t="n">
        <f aca="false">(G1806-H1806)/G1806</f>
        <v>0.6784</v>
      </c>
      <c r="J1806" s="15" t="n">
        <v>0.284</v>
      </c>
      <c r="K1806" s="11" t="str">
        <f aca="false">IF(I1806&lt;J1806,"TAK","NIE")</f>
        <v>NIE</v>
      </c>
    </row>
    <row r="1807" customFormat="false" ht="15" hidden="false" customHeight="false" outlineLevel="0" collapsed="false">
      <c r="A1807" s="5" t="s">
        <v>455</v>
      </c>
      <c r="B1807" s="5" t="s">
        <v>43</v>
      </c>
      <c r="C1807" s="5" t="n">
        <v>2021</v>
      </c>
      <c r="D1807" s="5" t="s">
        <v>44</v>
      </c>
      <c r="E1807" s="5" t="s">
        <v>57</v>
      </c>
      <c r="F1807" s="5" t="s">
        <v>40</v>
      </c>
      <c r="G1807" s="6" t="n">
        <v>625</v>
      </c>
      <c r="H1807" s="6" t="n">
        <v>210</v>
      </c>
      <c r="I1807" s="7" t="n">
        <f aca="false">(G1807-H1807)/G1807</f>
        <v>0.664</v>
      </c>
      <c r="J1807" s="15" t="n">
        <v>0.284</v>
      </c>
      <c r="K1807" s="11" t="str">
        <f aca="false">IF(I1807&lt;J1807,"TAK","NIE")</f>
        <v>NIE</v>
      </c>
    </row>
    <row r="1808" customFormat="false" ht="15" hidden="false" customHeight="false" outlineLevel="0" collapsed="false">
      <c r="A1808" s="5" t="s">
        <v>456</v>
      </c>
      <c r="B1808" s="5" t="s">
        <v>43</v>
      </c>
      <c r="C1808" s="5" t="n">
        <v>2021</v>
      </c>
      <c r="D1808" s="5" t="s">
        <v>44</v>
      </c>
      <c r="E1808" s="5" t="s">
        <v>57</v>
      </c>
      <c r="F1808" s="5" t="s">
        <v>40</v>
      </c>
      <c r="G1808" s="6" t="n">
        <v>625</v>
      </c>
      <c r="H1808" s="6" t="n">
        <v>321</v>
      </c>
      <c r="I1808" s="7" t="n">
        <f aca="false">(G1808-H1808)/G1808</f>
        <v>0.4864</v>
      </c>
      <c r="J1808" s="15" t="n">
        <v>0.284</v>
      </c>
      <c r="K1808" s="11" t="str">
        <f aca="false">IF(I1808&lt;J1808,"TAK","NIE")</f>
        <v>NIE</v>
      </c>
    </row>
    <row r="1809" customFormat="false" ht="15" hidden="false" customHeight="false" outlineLevel="0" collapsed="false">
      <c r="A1809" s="5" t="s">
        <v>457</v>
      </c>
      <c r="B1809" s="5" t="s">
        <v>43</v>
      </c>
      <c r="C1809" s="5" t="n">
        <v>2021</v>
      </c>
      <c r="D1809" s="5" t="s">
        <v>44</v>
      </c>
      <c r="E1809" s="5" t="s">
        <v>57</v>
      </c>
      <c r="F1809" s="5" t="s">
        <v>40</v>
      </c>
      <c r="G1809" s="6" t="n">
        <v>625</v>
      </c>
      <c r="H1809" s="6" t="n">
        <v>286</v>
      </c>
      <c r="I1809" s="7" t="n">
        <f aca="false">(G1809-H1809)/G1809</f>
        <v>0.5424</v>
      </c>
      <c r="J1809" s="15" t="n">
        <v>0.284</v>
      </c>
      <c r="K1809" s="11" t="str">
        <f aca="false">IF(I1809&lt;J1809,"TAK","NIE")</f>
        <v>NIE</v>
      </c>
    </row>
    <row r="1810" customFormat="false" ht="15" hidden="false" customHeight="false" outlineLevel="0" collapsed="false">
      <c r="A1810" s="5" t="s">
        <v>458</v>
      </c>
      <c r="B1810" s="5" t="s">
        <v>43</v>
      </c>
      <c r="C1810" s="5" t="n">
        <v>2021</v>
      </c>
      <c r="D1810" s="5" t="s">
        <v>44</v>
      </c>
      <c r="E1810" s="5" t="s">
        <v>57</v>
      </c>
      <c r="F1810" s="5" t="s">
        <v>40</v>
      </c>
      <c r="G1810" s="6" t="n">
        <v>625</v>
      </c>
      <c r="H1810" s="6" t="n">
        <v>314</v>
      </c>
      <c r="I1810" s="7" t="n">
        <f aca="false">(G1810-H1810)/G1810</f>
        <v>0.4976</v>
      </c>
      <c r="J1810" s="15" t="n">
        <v>0.284</v>
      </c>
      <c r="K1810" s="11" t="str">
        <f aca="false">IF(I1810&lt;J1810,"TAK","NIE")</f>
        <v>NIE</v>
      </c>
    </row>
    <row r="1811" customFormat="false" ht="15" hidden="false" customHeight="false" outlineLevel="0" collapsed="false">
      <c r="A1811" s="5" t="s">
        <v>460</v>
      </c>
      <c r="B1811" s="5" t="s">
        <v>88</v>
      </c>
      <c r="C1811" s="5" t="n">
        <v>2021</v>
      </c>
      <c r="D1811" s="5" t="s">
        <v>52</v>
      </c>
      <c r="E1811" s="5" t="s">
        <v>46</v>
      </c>
      <c r="F1811" s="5" t="s">
        <v>39</v>
      </c>
      <c r="G1811" s="6" t="n">
        <v>630</v>
      </c>
      <c r="H1811" s="6" t="n">
        <v>64</v>
      </c>
      <c r="I1811" s="7" t="n">
        <f aca="false">(G1811-H1811)/G1811</f>
        <v>0.898412698412698</v>
      </c>
      <c r="J1811" s="15" t="n">
        <v>0.5498</v>
      </c>
      <c r="K1811" s="11" t="str">
        <f aca="false">IF(I1811&lt;J1811,"TAK","NIE")</f>
        <v>NIE</v>
      </c>
    </row>
    <row r="1812" customFormat="false" ht="15" hidden="false" customHeight="false" outlineLevel="0" collapsed="false">
      <c r="A1812" s="5" t="s">
        <v>461</v>
      </c>
      <c r="B1812" s="5" t="s">
        <v>88</v>
      </c>
      <c r="C1812" s="5" t="n">
        <v>2021</v>
      </c>
      <c r="D1812" s="5" t="s">
        <v>52</v>
      </c>
      <c r="E1812" s="5" t="s">
        <v>46</v>
      </c>
      <c r="F1812" s="5" t="s">
        <v>39</v>
      </c>
      <c r="G1812" s="6" t="n">
        <v>661</v>
      </c>
      <c r="H1812" s="6" t="n">
        <v>55</v>
      </c>
      <c r="I1812" s="7" t="n">
        <f aca="false">(G1812-H1812)/G1812</f>
        <v>0.91679273827534</v>
      </c>
      <c r="J1812" s="15" t="n">
        <v>0.5498</v>
      </c>
      <c r="K1812" s="11" t="str">
        <f aca="false">IF(I1812&lt;J1812,"TAK","NIE")</f>
        <v>NIE</v>
      </c>
    </row>
    <row r="1813" customFormat="false" ht="15" hidden="false" customHeight="false" outlineLevel="0" collapsed="false">
      <c r="A1813" s="5" t="s">
        <v>462</v>
      </c>
      <c r="B1813" s="5" t="s">
        <v>88</v>
      </c>
      <c r="C1813" s="5" t="n">
        <v>2021</v>
      </c>
      <c r="D1813" s="5" t="s">
        <v>52</v>
      </c>
      <c r="E1813" s="5" t="s">
        <v>46</v>
      </c>
      <c r="F1813" s="5" t="s">
        <v>39</v>
      </c>
      <c r="G1813" s="6" t="n">
        <v>619</v>
      </c>
      <c r="H1813" s="6" t="n">
        <v>138</v>
      </c>
      <c r="I1813" s="7" t="n">
        <f aca="false">(G1813-H1813)/G1813</f>
        <v>0.777059773828756</v>
      </c>
      <c r="J1813" s="15" t="n">
        <v>0.5498</v>
      </c>
      <c r="K1813" s="11" t="str">
        <f aca="false">IF(I1813&lt;J1813,"TAK","NIE")</f>
        <v>NIE</v>
      </c>
    </row>
    <row r="1814" customFormat="false" ht="15" hidden="false" customHeight="false" outlineLevel="0" collapsed="false">
      <c r="A1814" s="5" t="s">
        <v>463</v>
      </c>
      <c r="B1814" s="5" t="s">
        <v>88</v>
      </c>
      <c r="C1814" s="5" t="n">
        <v>2021</v>
      </c>
      <c r="D1814" s="5" t="s">
        <v>52</v>
      </c>
      <c r="E1814" s="5" t="s">
        <v>46</v>
      </c>
      <c r="F1814" s="5" t="s">
        <v>39</v>
      </c>
      <c r="G1814" s="6" t="n">
        <v>661</v>
      </c>
      <c r="H1814" s="6" t="n">
        <v>27</v>
      </c>
      <c r="I1814" s="7" t="n">
        <f aca="false">(G1814-H1814)/G1814</f>
        <v>0.959152798789713</v>
      </c>
      <c r="J1814" s="15" t="n">
        <v>0.5498</v>
      </c>
      <c r="K1814" s="11" t="str">
        <f aca="false">IF(I1814&lt;J1814,"TAK","NIE")</f>
        <v>NIE</v>
      </c>
    </row>
    <row r="1815" customFormat="false" ht="15" hidden="false" customHeight="false" outlineLevel="0" collapsed="false">
      <c r="A1815" s="5" t="s">
        <v>464</v>
      </c>
      <c r="B1815" s="5" t="s">
        <v>88</v>
      </c>
      <c r="C1815" s="5" t="n">
        <v>2021</v>
      </c>
      <c r="D1815" s="5" t="s">
        <v>52</v>
      </c>
      <c r="E1815" s="5" t="s">
        <v>46</v>
      </c>
      <c r="F1815" s="5" t="s">
        <v>39</v>
      </c>
      <c r="G1815" s="6" t="n">
        <v>649</v>
      </c>
      <c r="H1815" s="6" t="n">
        <v>75</v>
      </c>
      <c r="I1815" s="7" t="n">
        <f aca="false">(G1815-H1815)/G1815</f>
        <v>0.884437596302003</v>
      </c>
      <c r="J1815" s="15" t="n">
        <v>0.5498</v>
      </c>
      <c r="K1815" s="11" t="str">
        <f aca="false">IF(I1815&lt;J1815,"TAK","NIE")</f>
        <v>NIE</v>
      </c>
    </row>
    <row r="1816" customFormat="false" ht="15" hidden="false" customHeight="false" outlineLevel="0" collapsed="false">
      <c r="A1816" s="5" t="s">
        <v>465</v>
      </c>
      <c r="B1816" s="5" t="s">
        <v>88</v>
      </c>
      <c r="C1816" s="5" t="n">
        <v>2021</v>
      </c>
      <c r="D1816" s="5" t="s">
        <v>52</v>
      </c>
      <c r="E1816" s="5" t="s">
        <v>46</v>
      </c>
      <c r="F1816" s="5" t="s">
        <v>39</v>
      </c>
      <c r="G1816" s="6" t="n">
        <v>649</v>
      </c>
      <c r="H1816" s="6" t="n">
        <v>18</v>
      </c>
      <c r="I1816" s="7" t="n">
        <f aca="false">(G1816-H1816)/G1816</f>
        <v>0.972265023112481</v>
      </c>
      <c r="J1816" s="15" t="n">
        <v>0.5498</v>
      </c>
      <c r="K1816" s="11" t="str">
        <f aca="false">IF(I1816&lt;J1816,"TAK","NIE")</f>
        <v>NIE</v>
      </c>
    </row>
    <row r="1817" customFormat="false" ht="15" hidden="false" customHeight="false" outlineLevel="0" collapsed="false">
      <c r="A1817" s="5" t="s">
        <v>466</v>
      </c>
      <c r="B1817" s="5" t="s">
        <v>88</v>
      </c>
      <c r="C1817" s="5" t="n">
        <v>2021</v>
      </c>
      <c r="D1817" s="5" t="s">
        <v>52</v>
      </c>
      <c r="E1817" s="5" t="s">
        <v>46</v>
      </c>
      <c r="F1817" s="5" t="s">
        <v>39</v>
      </c>
      <c r="G1817" s="6" t="n">
        <v>633</v>
      </c>
      <c r="H1817" s="6" t="n">
        <v>104</v>
      </c>
      <c r="I1817" s="7" t="n">
        <f aca="false">(G1817-H1817)/G1817</f>
        <v>0.835703001579779</v>
      </c>
      <c r="J1817" s="15" t="n">
        <v>0.5498</v>
      </c>
      <c r="K1817" s="11" t="str">
        <f aca="false">IF(I1817&lt;J1817,"TAK","NIE")</f>
        <v>NIE</v>
      </c>
    </row>
    <row r="1818" customFormat="false" ht="15" hidden="false" customHeight="false" outlineLevel="0" collapsed="false">
      <c r="A1818" s="5" t="s">
        <v>467</v>
      </c>
      <c r="B1818" s="5" t="s">
        <v>88</v>
      </c>
      <c r="C1818" s="5" t="n">
        <v>2021</v>
      </c>
      <c r="D1818" s="5" t="s">
        <v>52</v>
      </c>
      <c r="E1818" s="5" t="s">
        <v>46</v>
      </c>
      <c r="F1818" s="5" t="s">
        <v>39</v>
      </c>
      <c r="G1818" s="6" t="n">
        <v>661</v>
      </c>
      <c r="H1818" s="6" t="n">
        <v>121</v>
      </c>
      <c r="I1818" s="7" t="n">
        <f aca="false">(G1818-H1818)/G1818</f>
        <v>0.816944024205749</v>
      </c>
      <c r="J1818" s="15" t="n">
        <v>0.5498</v>
      </c>
      <c r="K1818" s="11" t="str">
        <f aca="false">IF(I1818&lt;J1818,"TAK","NIE")</f>
        <v>NIE</v>
      </c>
    </row>
    <row r="1819" customFormat="false" ht="15" hidden="false" customHeight="false" outlineLevel="0" collapsed="false">
      <c r="A1819" s="5" t="s">
        <v>468</v>
      </c>
      <c r="B1819" s="5" t="s">
        <v>88</v>
      </c>
      <c r="C1819" s="5" t="n">
        <v>2021</v>
      </c>
      <c r="D1819" s="5" t="s">
        <v>52</v>
      </c>
      <c r="E1819" s="5" t="s">
        <v>46</v>
      </c>
      <c r="F1819" s="5" t="s">
        <v>39</v>
      </c>
      <c r="G1819" s="6" t="n">
        <v>653</v>
      </c>
      <c r="H1819" s="6" t="n">
        <v>170</v>
      </c>
      <c r="I1819" s="7" t="n">
        <f aca="false">(G1819-H1819)/G1819</f>
        <v>0.739663093415008</v>
      </c>
      <c r="J1819" s="15" t="n">
        <v>0.5498</v>
      </c>
      <c r="K1819" s="11" t="str">
        <f aca="false">IF(I1819&lt;J1819,"TAK","NIE")</f>
        <v>NIE</v>
      </c>
    </row>
    <row r="1820" customFormat="false" ht="15" hidden="false" customHeight="false" outlineLevel="0" collapsed="false">
      <c r="A1820" s="5" t="s">
        <v>469</v>
      </c>
      <c r="B1820" s="5" t="s">
        <v>88</v>
      </c>
      <c r="C1820" s="5" t="n">
        <v>2021</v>
      </c>
      <c r="D1820" s="5" t="s">
        <v>52</v>
      </c>
      <c r="E1820" s="5" t="s">
        <v>46</v>
      </c>
      <c r="F1820" s="5" t="s">
        <v>39</v>
      </c>
      <c r="G1820" s="6" t="n">
        <v>649</v>
      </c>
      <c r="H1820" s="6" t="n">
        <v>22</v>
      </c>
      <c r="I1820" s="7" t="n">
        <f aca="false">(G1820-H1820)/G1820</f>
        <v>0.966101694915254</v>
      </c>
      <c r="J1820" s="15" t="n">
        <v>0.5498</v>
      </c>
      <c r="K1820" s="11" t="str">
        <f aca="false">IF(I1820&lt;J1820,"TAK","NIE")</f>
        <v>NIE</v>
      </c>
    </row>
    <row r="1821" customFormat="false" ht="15" hidden="false" customHeight="false" outlineLevel="0" collapsed="false">
      <c r="A1821" s="5" t="s">
        <v>470</v>
      </c>
      <c r="B1821" s="5" t="s">
        <v>88</v>
      </c>
      <c r="C1821" s="5" t="n">
        <v>2021</v>
      </c>
      <c r="D1821" s="5" t="s">
        <v>52</v>
      </c>
      <c r="E1821" s="5" t="s">
        <v>46</v>
      </c>
      <c r="F1821" s="5" t="s">
        <v>39</v>
      </c>
      <c r="G1821" s="6" t="n">
        <v>649</v>
      </c>
      <c r="H1821" s="6" t="n">
        <v>72</v>
      </c>
      <c r="I1821" s="7" t="n">
        <f aca="false">(G1821-H1821)/G1821</f>
        <v>0.889060092449923</v>
      </c>
      <c r="J1821" s="15" t="n">
        <v>0.5498</v>
      </c>
      <c r="K1821" s="11" t="str">
        <f aca="false">IF(I1821&lt;J1821,"TAK","NIE")</f>
        <v>NIE</v>
      </c>
    </row>
    <row r="1822" customFormat="false" ht="15" hidden="false" customHeight="false" outlineLevel="0" collapsed="false">
      <c r="A1822" s="5" t="s">
        <v>471</v>
      </c>
      <c r="B1822" s="5" t="s">
        <v>88</v>
      </c>
      <c r="C1822" s="5" t="n">
        <v>2021</v>
      </c>
      <c r="D1822" s="5" t="s">
        <v>52</v>
      </c>
      <c r="E1822" s="5" t="s">
        <v>46</v>
      </c>
      <c r="F1822" s="5" t="s">
        <v>39</v>
      </c>
      <c r="G1822" s="6" t="n">
        <v>148</v>
      </c>
      <c r="H1822" s="6" t="n">
        <v>34</v>
      </c>
      <c r="I1822" s="7" t="n">
        <f aca="false">(G1822-H1822)/G1822</f>
        <v>0.77027027027027</v>
      </c>
      <c r="J1822" s="15" t="n">
        <v>0.5498</v>
      </c>
      <c r="K1822" s="11" t="str">
        <f aca="false">IF(I1822&lt;J1822,"TAK","NIE")</f>
        <v>NIE</v>
      </c>
    </row>
    <row r="1823" customFormat="false" ht="15" hidden="false" customHeight="false" outlineLevel="0" collapsed="false">
      <c r="A1823" s="5" t="s">
        <v>472</v>
      </c>
      <c r="B1823" s="5" t="s">
        <v>88</v>
      </c>
      <c r="C1823" s="5" t="n">
        <v>2021</v>
      </c>
      <c r="D1823" s="5" t="s">
        <v>52</v>
      </c>
      <c r="E1823" s="5" t="s">
        <v>46</v>
      </c>
      <c r="F1823" s="5" t="s">
        <v>39</v>
      </c>
      <c r="G1823" s="6" t="n">
        <v>653</v>
      </c>
      <c r="H1823" s="6" t="n">
        <v>121</v>
      </c>
      <c r="I1823" s="7" t="n">
        <f aca="false">(G1823-H1823)/G1823</f>
        <v>0.814701378254211</v>
      </c>
      <c r="J1823" s="15" t="n">
        <v>0.5498</v>
      </c>
      <c r="K1823" s="11" t="str">
        <f aca="false">IF(I1823&lt;J1823,"TAK","NIE")</f>
        <v>NIE</v>
      </c>
    </row>
    <row r="1824" customFormat="false" ht="15" hidden="false" customHeight="false" outlineLevel="0" collapsed="false">
      <c r="A1824" s="5" t="s">
        <v>473</v>
      </c>
      <c r="B1824" s="5" t="s">
        <v>88</v>
      </c>
      <c r="C1824" s="5" t="n">
        <v>2021</v>
      </c>
      <c r="D1824" s="5" t="s">
        <v>52</v>
      </c>
      <c r="E1824" s="5" t="s">
        <v>46</v>
      </c>
      <c r="F1824" s="5" t="s">
        <v>39</v>
      </c>
      <c r="G1824" s="6" t="n">
        <v>641</v>
      </c>
      <c r="H1824" s="6" t="n">
        <v>159</v>
      </c>
      <c r="I1824" s="7" t="n">
        <f aca="false">(G1824-H1824)/G1824</f>
        <v>0.75195007800312</v>
      </c>
      <c r="J1824" s="15" t="n">
        <v>0.5498</v>
      </c>
      <c r="K1824" s="11" t="str">
        <f aca="false">IF(I1824&lt;J1824,"TAK","NIE")</f>
        <v>NIE</v>
      </c>
    </row>
    <row r="1825" customFormat="false" ht="15" hidden="false" customHeight="false" outlineLevel="0" collapsed="false">
      <c r="A1825" s="5" t="s">
        <v>474</v>
      </c>
      <c r="B1825" s="5" t="s">
        <v>88</v>
      </c>
      <c r="C1825" s="5" t="n">
        <v>2021</v>
      </c>
      <c r="D1825" s="5" t="s">
        <v>52</v>
      </c>
      <c r="E1825" s="5" t="s">
        <v>46</v>
      </c>
      <c r="F1825" s="5" t="s">
        <v>39</v>
      </c>
      <c r="G1825" s="6" t="n">
        <v>641</v>
      </c>
      <c r="H1825" s="6" t="n">
        <v>10</v>
      </c>
      <c r="I1825" s="7" t="n">
        <f aca="false">(G1825-H1825)/G1825</f>
        <v>0.984399375975039</v>
      </c>
      <c r="J1825" s="15" t="n">
        <v>0.5498</v>
      </c>
      <c r="K1825" s="11" t="str">
        <f aca="false">IF(I1825&lt;J1825,"TAK","NIE")</f>
        <v>NIE</v>
      </c>
    </row>
    <row r="1826" customFormat="false" ht="15" hidden="false" customHeight="false" outlineLevel="0" collapsed="false">
      <c r="A1826" s="5" t="s">
        <v>475</v>
      </c>
      <c r="B1826" s="5" t="s">
        <v>88</v>
      </c>
      <c r="C1826" s="5" t="n">
        <v>2021</v>
      </c>
      <c r="D1826" s="5" t="s">
        <v>52</v>
      </c>
      <c r="E1826" s="5" t="s">
        <v>46</v>
      </c>
      <c r="F1826" s="5" t="s">
        <v>39</v>
      </c>
      <c r="G1826" s="6" t="n">
        <v>649</v>
      </c>
      <c r="H1826" s="6" t="n">
        <v>66</v>
      </c>
      <c r="I1826" s="7" t="n">
        <f aca="false">(G1826-H1826)/G1826</f>
        <v>0.898305084745763</v>
      </c>
      <c r="J1826" s="15" t="n">
        <v>0.5498</v>
      </c>
      <c r="K1826" s="11" t="str">
        <f aca="false">IF(I1826&lt;J1826,"TAK","NIE")</f>
        <v>NIE</v>
      </c>
    </row>
    <row r="1827" customFormat="false" ht="15" hidden="false" customHeight="false" outlineLevel="0" collapsed="false">
      <c r="A1827" s="5" t="s">
        <v>476</v>
      </c>
      <c r="B1827" s="5" t="s">
        <v>88</v>
      </c>
      <c r="C1827" s="5" t="n">
        <v>2021</v>
      </c>
      <c r="D1827" s="5" t="s">
        <v>52</v>
      </c>
      <c r="E1827" s="5" t="s">
        <v>46</v>
      </c>
      <c r="F1827" s="5" t="s">
        <v>39</v>
      </c>
      <c r="G1827" s="6" t="n">
        <v>661</v>
      </c>
      <c r="H1827" s="6" t="n">
        <v>332</v>
      </c>
      <c r="I1827" s="7" t="n">
        <f aca="false">(G1827-H1827)/G1827</f>
        <v>0.497730711043873</v>
      </c>
      <c r="J1827" s="15" t="n">
        <v>0.5498</v>
      </c>
      <c r="K1827" s="11" t="str">
        <f aca="false">IF(I1827&lt;J1827,"TAK","NIE")</f>
        <v>TAK</v>
      </c>
    </row>
    <row r="1828" customFormat="false" ht="15" hidden="false" customHeight="false" outlineLevel="0" collapsed="false">
      <c r="A1828" s="5" t="s">
        <v>477</v>
      </c>
      <c r="B1828" s="5" t="s">
        <v>88</v>
      </c>
      <c r="C1828" s="5" t="n">
        <v>2021</v>
      </c>
      <c r="D1828" s="5" t="s">
        <v>52</v>
      </c>
      <c r="E1828" s="5" t="s">
        <v>46</v>
      </c>
      <c r="F1828" s="5" t="s">
        <v>39</v>
      </c>
      <c r="G1828" s="6" t="n">
        <v>649</v>
      </c>
      <c r="H1828" s="6" t="n">
        <v>172</v>
      </c>
      <c r="I1828" s="7" t="n">
        <f aca="false">(G1828-H1828)/G1828</f>
        <v>0.73497688751926</v>
      </c>
      <c r="J1828" s="15" t="n">
        <v>0.5498</v>
      </c>
      <c r="K1828" s="11" t="str">
        <f aca="false">IF(I1828&lt;J1828,"TAK","NIE")</f>
        <v>NIE</v>
      </c>
    </row>
    <row r="1829" customFormat="false" ht="15" hidden="false" customHeight="false" outlineLevel="0" collapsed="false">
      <c r="A1829" s="5" t="s">
        <v>478</v>
      </c>
      <c r="B1829" s="5" t="s">
        <v>88</v>
      </c>
      <c r="C1829" s="5" t="n">
        <v>2021</v>
      </c>
      <c r="D1829" s="5" t="s">
        <v>52</v>
      </c>
      <c r="E1829" s="5" t="s">
        <v>46</v>
      </c>
      <c r="F1829" s="5" t="s">
        <v>39</v>
      </c>
      <c r="G1829" s="6" t="n">
        <v>547</v>
      </c>
      <c r="H1829" s="6" t="n">
        <v>47</v>
      </c>
      <c r="I1829" s="7" t="n">
        <f aca="false">(G1829-H1829)/G1829</f>
        <v>0.914076782449726</v>
      </c>
      <c r="J1829" s="15" t="n">
        <v>0.5498</v>
      </c>
      <c r="K1829" s="11" t="str">
        <f aca="false">IF(I1829&lt;J1829,"TAK","NIE")</f>
        <v>NIE</v>
      </c>
    </row>
    <row r="1830" customFormat="false" ht="15" hidden="false" customHeight="false" outlineLevel="0" collapsed="false">
      <c r="A1830" s="5" t="s">
        <v>479</v>
      </c>
      <c r="B1830" s="5" t="s">
        <v>88</v>
      </c>
      <c r="C1830" s="5" t="n">
        <v>2021</v>
      </c>
      <c r="D1830" s="5" t="s">
        <v>52</v>
      </c>
      <c r="E1830" s="5" t="s">
        <v>46</v>
      </c>
      <c r="F1830" s="5" t="s">
        <v>39</v>
      </c>
      <c r="G1830" s="6" t="n">
        <v>649</v>
      </c>
      <c r="H1830" s="6" t="n">
        <v>132</v>
      </c>
      <c r="I1830" s="7" t="n">
        <f aca="false">(G1830-H1830)/G1830</f>
        <v>0.796610169491525</v>
      </c>
      <c r="J1830" s="15" t="n">
        <v>0.5498</v>
      </c>
      <c r="K1830" s="11" t="str">
        <f aca="false">IF(I1830&lt;J1830,"TAK","NIE")</f>
        <v>NIE</v>
      </c>
    </row>
    <row r="1831" customFormat="false" ht="15" hidden="false" customHeight="false" outlineLevel="0" collapsed="false">
      <c r="A1831" s="5" t="s">
        <v>480</v>
      </c>
      <c r="B1831" s="5" t="s">
        <v>88</v>
      </c>
      <c r="C1831" s="5" t="n">
        <v>2021</v>
      </c>
      <c r="D1831" s="5" t="s">
        <v>52</v>
      </c>
      <c r="E1831" s="5" t="s">
        <v>46</v>
      </c>
      <c r="F1831" s="5" t="s">
        <v>39</v>
      </c>
      <c r="G1831" s="6" t="n">
        <v>661</v>
      </c>
      <c r="H1831" s="6" t="n">
        <v>139</v>
      </c>
      <c r="I1831" s="7" t="n">
        <f aca="false">(G1831-H1831)/G1831</f>
        <v>0.789712556732224</v>
      </c>
      <c r="J1831" s="15" t="n">
        <v>0.5498</v>
      </c>
      <c r="K1831" s="11" t="str">
        <f aca="false">IF(I1831&lt;J1831,"TAK","NIE")</f>
        <v>NIE</v>
      </c>
    </row>
    <row r="1832" customFormat="false" ht="15" hidden="false" customHeight="false" outlineLevel="0" collapsed="false">
      <c r="A1832" s="5" t="s">
        <v>481</v>
      </c>
      <c r="B1832" s="5" t="s">
        <v>88</v>
      </c>
      <c r="C1832" s="5" t="n">
        <v>2021</v>
      </c>
      <c r="D1832" s="5" t="s">
        <v>52</v>
      </c>
      <c r="E1832" s="5" t="s">
        <v>46</v>
      </c>
      <c r="F1832" s="5" t="s">
        <v>39</v>
      </c>
      <c r="G1832" s="6" t="n">
        <v>649</v>
      </c>
      <c r="H1832" s="6" t="n">
        <v>6</v>
      </c>
      <c r="I1832" s="7" t="n">
        <f aca="false">(G1832-H1832)/G1832</f>
        <v>0.99075500770416</v>
      </c>
      <c r="J1832" s="15" t="n">
        <v>0.5498</v>
      </c>
      <c r="K1832" s="11" t="str">
        <f aca="false">IF(I1832&lt;J1832,"TAK","NIE")</f>
        <v>NIE</v>
      </c>
    </row>
    <row r="1833" customFormat="false" ht="15" hidden="false" customHeight="false" outlineLevel="0" collapsed="false">
      <c r="A1833" s="5" t="s">
        <v>482</v>
      </c>
      <c r="B1833" s="5" t="s">
        <v>88</v>
      </c>
      <c r="C1833" s="5" t="n">
        <v>2021</v>
      </c>
      <c r="D1833" s="5" t="s">
        <v>52</v>
      </c>
      <c r="E1833" s="5" t="s">
        <v>46</v>
      </c>
      <c r="F1833" s="5" t="s">
        <v>39</v>
      </c>
      <c r="G1833" s="6" t="n">
        <v>649</v>
      </c>
      <c r="H1833" s="6" t="n">
        <v>39</v>
      </c>
      <c r="I1833" s="7" t="n">
        <f aca="false">(G1833-H1833)/G1833</f>
        <v>0.939907550077042</v>
      </c>
      <c r="J1833" s="15" t="n">
        <v>0.5498</v>
      </c>
      <c r="K1833" s="11" t="str">
        <f aca="false">IF(I1833&lt;J1833,"TAK","NIE")</f>
        <v>NIE</v>
      </c>
    </row>
    <row r="1834" customFormat="false" ht="15" hidden="false" customHeight="false" outlineLevel="0" collapsed="false">
      <c r="A1834" s="5" t="s">
        <v>483</v>
      </c>
      <c r="B1834" s="5" t="s">
        <v>88</v>
      </c>
      <c r="C1834" s="5" t="n">
        <v>2021</v>
      </c>
      <c r="D1834" s="5" t="s">
        <v>52</v>
      </c>
      <c r="E1834" s="5" t="s">
        <v>46</v>
      </c>
      <c r="F1834" s="5" t="s">
        <v>39</v>
      </c>
      <c r="G1834" s="6" t="n">
        <v>653</v>
      </c>
      <c r="H1834" s="6" t="n">
        <v>155</v>
      </c>
      <c r="I1834" s="7" t="n">
        <f aca="false">(G1834-H1834)/G1834</f>
        <v>0.762633996937213</v>
      </c>
      <c r="J1834" s="15" t="n">
        <v>0.5498</v>
      </c>
      <c r="K1834" s="11" t="str">
        <f aca="false">IF(I1834&lt;J1834,"TAK","NIE")</f>
        <v>NIE</v>
      </c>
    </row>
    <row r="1835" customFormat="false" ht="15" hidden="false" customHeight="false" outlineLevel="0" collapsed="false">
      <c r="A1835" s="5" t="s">
        <v>484</v>
      </c>
      <c r="B1835" s="5" t="s">
        <v>88</v>
      </c>
      <c r="C1835" s="5" t="n">
        <v>2021</v>
      </c>
      <c r="D1835" s="5" t="s">
        <v>52</v>
      </c>
      <c r="E1835" s="5" t="s">
        <v>46</v>
      </c>
      <c r="F1835" s="5" t="s">
        <v>39</v>
      </c>
      <c r="G1835" s="6" t="n">
        <v>649</v>
      </c>
      <c r="H1835" s="6" t="n">
        <v>10</v>
      </c>
      <c r="I1835" s="7" t="n">
        <f aca="false">(G1835-H1835)/G1835</f>
        <v>0.984591679506934</v>
      </c>
      <c r="J1835" s="15" t="n">
        <v>0.5498</v>
      </c>
      <c r="K1835" s="11" t="str">
        <f aca="false">IF(I1835&lt;J1835,"TAK","NIE")</f>
        <v>NIE</v>
      </c>
    </row>
    <row r="1836" customFormat="false" ht="15" hidden="false" customHeight="false" outlineLevel="0" collapsed="false">
      <c r="A1836" s="5" t="s">
        <v>485</v>
      </c>
      <c r="B1836" s="5" t="s">
        <v>88</v>
      </c>
      <c r="C1836" s="5" t="n">
        <v>2021</v>
      </c>
      <c r="D1836" s="5" t="s">
        <v>52</v>
      </c>
      <c r="E1836" s="5" t="s">
        <v>46</v>
      </c>
      <c r="F1836" s="5" t="s">
        <v>39</v>
      </c>
      <c r="G1836" s="6" t="n">
        <v>653</v>
      </c>
      <c r="H1836" s="6" t="n">
        <v>24</v>
      </c>
      <c r="I1836" s="7" t="n">
        <f aca="false">(G1836-H1836)/G1836</f>
        <v>0.963246554364472</v>
      </c>
      <c r="J1836" s="15" t="n">
        <v>0.5498</v>
      </c>
      <c r="K1836" s="11" t="str">
        <f aca="false">IF(I1836&lt;J1836,"TAK","NIE")</f>
        <v>NIE</v>
      </c>
    </row>
    <row r="1837" customFormat="false" ht="15" hidden="false" customHeight="false" outlineLevel="0" collapsed="false">
      <c r="A1837" s="5" t="s">
        <v>486</v>
      </c>
      <c r="B1837" s="5" t="s">
        <v>88</v>
      </c>
      <c r="C1837" s="5" t="n">
        <v>2021</v>
      </c>
      <c r="D1837" s="5" t="s">
        <v>52</v>
      </c>
      <c r="E1837" s="5" t="s">
        <v>46</v>
      </c>
      <c r="F1837" s="5" t="s">
        <v>39</v>
      </c>
      <c r="G1837" s="6" t="n">
        <v>653</v>
      </c>
      <c r="H1837" s="6" t="n">
        <v>87</v>
      </c>
      <c r="I1837" s="7" t="n">
        <f aca="false">(G1837-H1837)/G1837</f>
        <v>0.86676875957121</v>
      </c>
      <c r="J1837" s="15" t="n">
        <v>0.5498</v>
      </c>
      <c r="K1837" s="11" t="str">
        <f aca="false">IF(I1837&lt;J1837,"TAK","NIE")</f>
        <v>NIE</v>
      </c>
    </row>
    <row r="1838" customFormat="false" ht="15" hidden="false" customHeight="false" outlineLevel="0" collapsed="false">
      <c r="A1838" s="5" t="s">
        <v>487</v>
      </c>
      <c r="B1838" s="5" t="s">
        <v>88</v>
      </c>
      <c r="C1838" s="5" t="n">
        <v>2021</v>
      </c>
      <c r="D1838" s="5" t="s">
        <v>52</v>
      </c>
      <c r="E1838" s="5" t="s">
        <v>46</v>
      </c>
      <c r="F1838" s="5" t="s">
        <v>39</v>
      </c>
      <c r="G1838" s="6" t="n">
        <v>653</v>
      </c>
      <c r="H1838" s="6" t="n">
        <v>89</v>
      </c>
      <c r="I1838" s="7" t="n">
        <f aca="false">(G1838-H1838)/G1838</f>
        <v>0.863705972434916</v>
      </c>
      <c r="J1838" s="15" t="n">
        <v>0.5498</v>
      </c>
      <c r="K1838" s="11" t="str">
        <f aca="false">IF(I1838&lt;J1838,"TAK","NIE")</f>
        <v>NIE</v>
      </c>
    </row>
    <row r="1839" customFormat="false" ht="15" hidden="false" customHeight="false" outlineLevel="0" collapsed="false">
      <c r="A1839" s="5" t="s">
        <v>460</v>
      </c>
      <c r="B1839" s="5" t="s">
        <v>88</v>
      </c>
      <c r="C1839" s="5" t="n">
        <v>2021</v>
      </c>
      <c r="D1839" s="5" t="s">
        <v>52</v>
      </c>
      <c r="E1839" s="5" t="s">
        <v>46</v>
      </c>
      <c r="F1839" s="5" t="s">
        <v>40</v>
      </c>
      <c r="G1839" s="6" t="n">
        <v>579</v>
      </c>
      <c r="H1839" s="6" t="n">
        <v>74</v>
      </c>
      <c r="I1839" s="7" t="n">
        <f aca="false">(G1839-H1839)/G1839</f>
        <v>0.872193436960276</v>
      </c>
      <c r="J1839" s="15" t="n">
        <v>0.6485</v>
      </c>
      <c r="K1839" s="11" t="str">
        <f aca="false">IF(I1839&lt;J1839,"TAK","NIE")</f>
        <v>NIE</v>
      </c>
    </row>
    <row r="1840" customFormat="false" ht="15" hidden="false" customHeight="false" outlineLevel="0" collapsed="false">
      <c r="A1840" s="5" t="s">
        <v>461</v>
      </c>
      <c r="B1840" s="5" t="s">
        <v>88</v>
      </c>
      <c r="C1840" s="5" t="n">
        <v>2021</v>
      </c>
      <c r="D1840" s="5" t="s">
        <v>52</v>
      </c>
      <c r="E1840" s="5" t="s">
        <v>46</v>
      </c>
      <c r="F1840" s="5" t="s">
        <v>40</v>
      </c>
      <c r="G1840" s="6" t="n">
        <v>611</v>
      </c>
      <c r="H1840" s="6" t="n">
        <v>125</v>
      </c>
      <c r="I1840" s="7" t="n">
        <f aca="false">(G1840-H1840)/G1840</f>
        <v>0.795417348608838</v>
      </c>
      <c r="J1840" s="15" t="n">
        <v>0.6485</v>
      </c>
      <c r="K1840" s="11" t="str">
        <f aca="false">IF(I1840&lt;J1840,"TAK","NIE")</f>
        <v>NIE</v>
      </c>
    </row>
    <row r="1841" customFormat="false" ht="15" hidden="false" customHeight="false" outlineLevel="0" collapsed="false">
      <c r="A1841" s="5" t="s">
        <v>462</v>
      </c>
      <c r="B1841" s="5" t="s">
        <v>88</v>
      </c>
      <c r="C1841" s="5" t="n">
        <v>2021</v>
      </c>
      <c r="D1841" s="5" t="s">
        <v>52</v>
      </c>
      <c r="E1841" s="5" t="s">
        <v>46</v>
      </c>
      <c r="F1841" s="5" t="s">
        <v>40</v>
      </c>
      <c r="G1841" s="6" t="n">
        <v>579</v>
      </c>
      <c r="H1841" s="6" t="n">
        <v>199</v>
      </c>
      <c r="I1841" s="7" t="n">
        <f aca="false">(G1841-H1841)/G1841</f>
        <v>0.656303972366149</v>
      </c>
      <c r="J1841" s="15" t="n">
        <v>0.6485</v>
      </c>
      <c r="K1841" s="11" t="str">
        <f aca="false">IF(I1841&lt;J1841,"TAK","NIE")</f>
        <v>NIE</v>
      </c>
    </row>
    <row r="1842" customFormat="false" ht="15" hidden="false" customHeight="false" outlineLevel="0" collapsed="false">
      <c r="A1842" s="5" t="s">
        <v>463</v>
      </c>
      <c r="B1842" s="5" t="s">
        <v>88</v>
      </c>
      <c r="C1842" s="5" t="n">
        <v>2021</v>
      </c>
      <c r="D1842" s="5" t="s">
        <v>52</v>
      </c>
      <c r="E1842" s="5" t="s">
        <v>46</v>
      </c>
      <c r="F1842" s="5" t="s">
        <v>40</v>
      </c>
      <c r="G1842" s="6" t="n">
        <v>611</v>
      </c>
      <c r="H1842" s="6" t="n">
        <v>97</v>
      </c>
      <c r="I1842" s="7" t="n">
        <f aca="false">(G1842-H1842)/G1842</f>
        <v>0.841243862520458</v>
      </c>
      <c r="J1842" s="15" t="n">
        <v>0.6485</v>
      </c>
      <c r="K1842" s="11" t="str">
        <f aca="false">IF(I1842&lt;J1842,"TAK","NIE")</f>
        <v>NIE</v>
      </c>
    </row>
    <row r="1843" customFormat="false" ht="15" hidden="false" customHeight="false" outlineLevel="0" collapsed="false">
      <c r="A1843" s="5" t="s">
        <v>464</v>
      </c>
      <c r="B1843" s="5" t="s">
        <v>88</v>
      </c>
      <c r="C1843" s="5" t="n">
        <v>2021</v>
      </c>
      <c r="D1843" s="5" t="s">
        <v>52</v>
      </c>
      <c r="E1843" s="5" t="s">
        <v>46</v>
      </c>
      <c r="F1843" s="5" t="s">
        <v>40</v>
      </c>
      <c r="G1843" s="6" t="n">
        <v>611</v>
      </c>
      <c r="H1843" s="6" t="n">
        <v>192</v>
      </c>
      <c r="I1843" s="7" t="n">
        <f aca="false">(G1843-H1843)/G1843</f>
        <v>0.685761047463175</v>
      </c>
      <c r="J1843" s="15" t="n">
        <v>0.6485</v>
      </c>
      <c r="K1843" s="11" t="str">
        <f aca="false">IF(I1843&lt;J1843,"TAK","NIE")</f>
        <v>NIE</v>
      </c>
    </row>
    <row r="1844" customFormat="false" ht="15" hidden="false" customHeight="false" outlineLevel="0" collapsed="false">
      <c r="A1844" s="5" t="s">
        <v>465</v>
      </c>
      <c r="B1844" s="5" t="s">
        <v>88</v>
      </c>
      <c r="C1844" s="5" t="n">
        <v>2021</v>
      </c>
      <c r="D1844" s="5" t="s">
        <v>52</v>
      </c>
      <c r="E1844" s="5" t="s">
        <v>46</v>
      </c>
      <c r="F1844" s="5" t="s">
        <v>40</v>
      </c>
      <c r="G1844" s="6" t="n">
        <v>611</v>
      </c>
      <c r="H1844" s="6" t="n">
        <v>59</v>
      </c>
      <c r="I1844" s="7" t="n">
        <f aca="false">(G1844-H1844)/G1844</f>
        <v>0.903436988543372</v>
      </c>
      <c r="J1844" s="15" t="n">
        <v>0.6485</v>
      </c>
      <c r="K1844" s="11" t="str">
        <f aca="false">IF(I1844&lt;J1844,"TAK","NIE")</f>
        <v>NIE</v>
      </c>
    </row>
    <row r="1845" customFormat="false" ht="15" hidden="false" customHeight="false" outlineLevel="0" collapsed="false">
      <c r="A1845" s="5" t="s">
        <v>466</v>
      </c>
      <c r="B1845" s="5" t="s">
        <v>88</v>
      </c>
      <c r="C1845" s="5" t="n">
        <v>2021</v>
      </c>
      <c r="D1845" s="5" t="s">
        <v>52</v>
      </c>
      <c r="E1845" s="5" t="s">
        <v>46</v>
      </c>
      <c r="F1845" s="5" t="s">
        <v>40</v>
      </c>
      <c r="G1845" s="6" t="n">
        <v>579</v>
      </c>
      <c r="H1845" s="6" t="n">
        <v>259</v>
      </c>
      <c r="I1845" s="7" t="n">
        <f aca="false">(G1845-H1845)/G1845</f>
        <v>0.552677029360967</v>
      </c>
      <c r="J1845" s="15" t="n">
        <v>0.6485</v>
      </c>
      <c r="K1845" s="11" t="str">
        <f aca="false">IF(I1845&lt;J1845,"TAK","NIE")</f>
        <v>TAK</v>
      </c>
    </row>
    <row r="1846" customFormat="false" ht="15" hidden="false" customHeight="false" outlineLevel="0" collapsed="false">
      <c r="A1846" s="5" t="s">
        <v>467</v>
      </c>
      <c r="B1846" s="5" t="s">
        <v>88</v>
      </c>
      <c r="C1846" s="5" t="n">
        <v>2021</v>
      </c>
      <c r="D1846" s="5" t="s">
        <v>52</v>
      </c>
      <c r="E1846" s="5" t="s">
        <v>46</v>
      </c>
      <c r="F1846" s="5" t="s">
        <v>40</v>
      </c>
      <c r="G1846" s="6" t="n">
        <v>611</v>
      </c>
      <c r="H1846" s="6" t="n">
        <v>146</v>
      </c>
      <c r="I1846" s="7" t="n">
        <f aca="false">(G1846-H1846)/G1846</f>
        <v>0.761047463175123</v>
      </c>
      <c r="J1846" s="15" t="n">
        <v>0.6485</v>
      </c>
      <c r="K1846" s="11" t="str">
        <f aca="false">IF(I1846&lt;J1846,"TAK","NIE")</f>
        <v>NIE</v>
      </c>
    </row>
    <row r="1847" customFormat="false" ht="15" hidden="false" customHeight="false" outlineLevel="0" collapsed="false">
      <c r="A1847" s="5" t="s">
        <v>468</v>
      </c>
      <c r="B1847" s="5" t="s">
        <v>88</v>
      </c>
      <c r="C1847" s="5" t="n">
        <v>2021</v>
      </c>
      <c r="D1847" s="5" t="s">
        <v>52</v>
      </c>
      <c r="E1847" s="5" t="s">
        <v>46</v>
      </c>
      <c r="F1847" s="5" t="s">
        <v>40</v>
      </c>
      <c r="G1847" s="6" t="n">
        <v>611</v>
      </c>
      <c r="H1847" s="6" t="n">
        <v>261</v>
      </c>
      <c r="I1847" s="7" t="n">
        <f aca="false">(G1847-H1847)/G1847</f>
        <v>0.572831423895254</v>
      </c>
      <c r="J1847" s="15" t="n">
        <v>0.6485</v>
      </c>
      <c r="K1847" s="11" t="str">
        <f aca="false">IF(I1847&lt;J1847,"TAK","NIE")</f>
        <v>TAK</v>
      </c>
    </row>
    <row r="1848" customFormat="false" ht="15" hidden="false" customHeight="false" outlineLevel="0" collapsed="false">
      <c r="A1848" s="5" t="s">
        <v>469</v>
      </c>
      <c r="B1848" s="5" t="s">
        <v>88</v>
      </c>
      <c r="C1848" s="5" t="n">
        <v>2021</v>
      </c>
      <c r="D1848" s="5" t="s">
        <v>52</v>
      </c>
      <c r="E1848" s="5" t="s">
        <v>46</v>
      </c>
      <c r="F1848" s="5" t="s">
        <v>40</v>
      </c>
      <c r="G1848" s="6" t="n">
        <v>611</v>
      </c>
      <c r="H1848" s="6" t="n">
        <v>101</v>
      </c>
      <c r="I1848" s="7" t="n">
        <f aca="false">(G1848-H1848)/G1848</f>
        <v>0.834697217675941</v>
      </c>
      <c r="J1848" s="15" t="n">
        <v>0.6485</v>
      </c>
      <c r="K1848" s="11" t="str">
        <f aca="false">IF(I1848&lt;J1848,"TAK","NIE")</f>
        <v>NIE</v>
      </c>
    </row>
    <row r="1849" customFormat="false" ht="15" hidden="false" customHeight="false" outlineLevel="0" collapsed="false">
      <c r="A1849" s="5" t="s">
        <v>470</v>
      </c>
      <c r="B1849" s="5" t="s">
        <v>88</v>
      </c>
      <c r="C1849" s="5" t="n">
        <v>2021</v>
      </c>
      <c r="D1849" s="5" t="s">
        <v>52</v>
      </c>
      <c r="E1849" s="5" t="s">
        <v>46</v>
      </c>
      <c r="F1849" s="5" t="s">
        <v>40</v>
      </c>
      <c r="G1849" s="6" t="n">
        <v>611</v>
      </c>
      <c r="H1849" s="6" t="n">
        <v>150</v>
      </c>
      <c r="I1849" s="7" t="n">
        <f aca="false">(G1849-H1849)/G1849</f>
        <v>0.754500818330606</v>
      </c>
      <c r="J1849" s="15" t="n">
        <v>0.6485</v>
      </c>
      <c r="K1849" s="11" t="str">
        <f aca="false">IF(I1849&lt;J1849,"TAK","NIE")</f>
        <v>NIE</v>
      </c>
    </row>
    <row r="1850" customFormat="false" ht="15" hidden="false" customHeight="false" outlineLevel="0" collapsed="false">
      <c r="A1850" s="5" t="s">
        <v>472</v>
      </c>
      <c r="B1850" s="5" t="s">
        <v>88</v>
      </c>
      <c r="C1850" s="5" t="n">
        <v>2021</v>
      </c>
      <c r="D1850" s="5" t="s">
        <v>52</v>
      </c>
      <c r="E1850" s="5" t="s">
        <v>46</v>
      </c>
      <c r="F1850" s="5" t="s">
        <v>40</v>
      </c>
      <c r="G1850" s="6" t="n">
        <v>611</v>
      </c>
      <c r="H1850" s="6" t="n">
        <v>142</v>
      </c>
      <c r="I1850" s="7" t="n">
        <f aca="false">(G1850-H1850)/G1850</f>
        <v>0.76759410801964</v>
      </c>
      <c r="J1850" s="15" t="n">
        <v>0.6485</v>
      </c>
      <c r="K1850" s="11" t="str">
        <f aca="false">IF(I1850&lt;J1850,"TAK","NIE")</f>
        <v>NIE</v>
      </c>
    </row>
    <row r="1851" customFormat="false" ht="15" hidden="false" customHeight="false" outlineLevel="0" collapsed="false">
      <c r="A1851" s="5" t="s">
        <v>473</v>
      </c>
      <c r="B1851" s="5" t="s">
        <v>88</v>
      </c>
      <c r="C1851" s="5" t="n">
        <v>2021</v>
      </c>
      <c r="D1851" s="5" t="s">
        <v>52</v>
      </c>
      <c r="E1851" s="5" t="s">
        <v>46</v>
      </c>
      <c r="F1851" s="5" t="s">
        <v>40</v>
      </c>
      <c r="G1851" s="6" t="n">
        <v>611</v>
      </c>
      <c r="H1851" s="6" t="n">
        <v>212</v>
      </c>
      <c r="I1851" s="7" t="n">
        <f aca="false">(G1851-H1851)/G1851</f>
        <v>0.653027823240589</v>
      </c>
      <c r="J1851" s="15" t="n">
        <v>0.6485</v>
      </c>
      <c r="K1851" s="11" t="str">
        <f aca="false">IF(I1851&lt;J1851,"TAK","NIE")</f>
        <v>NIE</v>
      </c>
    </row>
    <row r="1852" customFormat="false" ht="15" hidden="false" customHeight="false" outlineLevel="0" collapsed="false">
      <c r="A1852" s="5" t="s">
        <v>474</v>
      </c>
      <c r="B1852" s="5" t="s">
        <v>88</v>
      </c>
      <c r="C1852" s="5" t="n">
        <v>2021</v>
      </c>
      <c r="D1852" s="5" t="s">
        <v>52</v>
      </c>
      <c r="E1852" s="5" t="s">
        <v>46</v>
      </c>
      <c r="F1852" s="5" t="s">
        <v>40</v>
      </c>
      <c r="G1852" s="6" t="n">
        <v>589</v>
      </c>
      <c r="H1852" s="6" t="n">
        <v>110</v>
      </c>
      <c r="I1852" s="7" t="n">
        <f aca="false">(G1852-H1852)/G1852</f>
        <v>0.813242784380306</v>
      </c>
      <c r="J1852" s="15" t="n">
        <v>0.6485</v>
      </c>
      <c r="K1852" s="11" t="str">
        <f aca="false">IF(I1852&lt;J1852,"TAK","NIE")</f>
        <v>NIE</v>
      </c>
    </row>
    <row r="1853" customFormat="false" ht="15" hidden="false" customHeight="false" outlineLevel="0" collapsed="false">
      <c r="A1853" s="5" t="s">
        <v>475</v>
      </c>
      <c r="B1853" s="5" t="s">
        <v>88</v>
      </c>
      <c r="C1853" s="5" t="n">
        <v>2021</v>
      </c>
      <c r="D1853" s="5" t="s">
        <v>52</v>
      </c>
      <c r="E1853" s="5" t="s">
        <v>46</v>
      </c>
      <c r="F1853" s="5" t="s">
        <v>40</v>
      </c>
      <c r="G1853" s="6" t="n">
        <v>611</v>
      </c>
      <c r="H1853" s="6" t="n">
        <v>122</v>
      </c>
      <c r="I1853" s="7" t="n">
        <f aca="false">(G1853-H1853)/G1853</f>
        <v>0.800327332242226</v>
      </c>
      <c r="J1853" s="15" t="n">
        <v>0.6485</v>
      </c>
      <c r="K1853" s="11" t="str">
        <f aca="false">IF(I1853&lt;J1853,"TAK","NIE")</f>
        <v>NIE</v>
      </c>
    </row>
    <row r="1854" customFormat="false" ht="15" hidden="false" customHeight="false" outlineLevel="0" collapsed="false">
      <c r="A1854" s="5" t="s">
        <v>476</v>
      </c>
      <c r="B1854" s="5" t="s">
        <v>88</v>
      </c>
      <c r="C1854" s="5" t="n">
        <v>2021</v>
      </c>
      <c r="D1854" s="5" t="s">
        <v>52</v>
      </c>
      <c r="E1854" s="5" t="s">
        <v>46</v>
      </c>
      <c r="F1854" s="5" t="s">
        <v>40</v>
      </c>
      <c r="G1854" s="6" t="n">
        <v>611</v>
      </c>
      <c r="H1854" s="6" t="n">
        <v>512</v>
      </c>
      <c r="I1854" s="7" t="n">
        <f aca="false">(G1854-H1854)/G1854</f>
        <v>0.1620294599018</v>
      </c>
      <c r="J1854" s="15" t="n">
        <v>0.6485</v>
      </c>
      <c r="K1854" s="11" t="str">
        <f aca="false">IF(I1854&lt;J1854,"TAK","NIE")</f>
        <v>TAK</v>
      </c>
    </row>
    <row r="1855" customFormat="false" ht="15" hidden="false" customHeight="false" outlineLevel="0" collapsed="false">
      <c r="A1855" s="5" t="s">
        <v>477</v>
      </c>
      <c r="B1855" s="5" t="s">
        <v>88</v>
      </c>
      <c r="C1855" s="5" t="n">
        <v>2021</v>
      </c>
      <c r="D1855" s="5" t="s">
        <v>52</v>
      </c>
      <c r="E1855" s="5" t="s">
        <v>46</v>
      </c>
      <c r="F1855" s="5" t="s">
        <v>40</v>
      </c>
      <c r="G1855" s="6" t="n">
        <v>611</v>
      </c>
      <c r="H1855" s="6" t="n">
        <v>113</v>
      </c>
      <c r="I1855" s="7" t="n">
        <f aca="false">(G1855-H1855)/G1855</f>
        <v>0.81505728314239</v>
      </c>
      <c r="J1855" s="15" t="n">
        <v>0.6485</v>
      </c>
      <c r="K1855" s="11" t="str">
        <f aca="false">IF(I1855&lt;J1855,"TAK","NIE")</f>
        <v>NIE</v>
      </c>
    </row>
    <row r="1856" customFormat="false" ht="15" hidden="false" customHeight="false" outlineLevel="0" collapsed="false">
      <c r="A1856" s="5" t="s">
        <v>478</v>
      </c>
      <c r="B1856" s="5" t="s">
        <v>88</v>
      </c>
      <c r="C1856" s="5" t="n">
        <v>2021</v>
      </c>
      <c r="D1856" s="5" t="s">
        <v>52</v>
      </c>
      <c r="E1856" s="5" t="s">
        <v>46</v>
      </c>
      <c r="F1856" s="5" t="s">
        <v>40</v>
      </c>
      <c r="G1856" s="6" t="n">
        <v>611</v>
      </c>
      <c r="H1856" s="6" t="n">
        <v>76</v>
      </c>
      <c r="I1856" s="7" t="n">
        <f aca="false">(G1856-H1856)/G1856</f>
        <v>0.875613747954174</v>
      </c>
      <c r="J1856" s="15" t="n">
        <v>0.6485</v>
      </c>
      <c r="K1856" s="11" t="str">
        <f aca="false">IF(I1856&lt;J1856,"TAK","NIE")</f>
        <v>NIE</v>
      </c>
    </row>
    <row r="1857" customFormat="false" ht="15" hidden="false" customHeight="false" outlineLevel="0" collapsed="false">
      <c r="A1857" s="5" t="s">
        <v>479</v>
      </c>
      <c r="B1857" s="5" t="s">
        <v>88</v>
      </c>
      <c r="C1857" s="5" t="n">
        <v>2021</v>
      </c>
      <c r="D1857" s="5" t="s">
        <v>52</v>
      </c>
      <c r="E1857" s="5" t="s">
        <v>46</v>
      </c>
      <c r="F1857" s="5" t="s">
        <v>40</v>
      </c>
      <c r="G1857" s="6" t="n">
        <v>611</v>
      </c>
      <c r="H1857" s="6" t="n">
        <v>123</v>
      </c>
      <c r="I1857" s="7" t="n">
        <f aca="false">(G1857-H1857)/G1857</f>
        <v>0.798690671031097</v>
      </c>
      <c r="J1857" s="15" t="n">
        <v>0.6485</v>
      </c>
      <c r="K1857" s="11" t="str">
        <f aca="false">IF(I1857&lt;J1857,"TAK","NIE")</f>
        <v>NIE</v>
      </c>
    </row>
    <row r="1858" customFormat="false" ht="15" hidden="false" customHeight="false" outlineLevel="0" collapsed="false">
      <c r="A1858" s="5" t="s">
        <v>480</v>
      </c>
      <c r="B1858" s="5" t="s">
        <v>88</v>
      </c>
      <c r="C1858" s="5" t="n">
        <v>2021</v>
      </c>
      <c r="D1858" s="5" t="s">
        <v>52</v>
      </c>
      <c r="E1858" s="5" t="s">
        <v>46</v>
      </c>
      <c r="F1858" s="5" t="s">
        <v>40</v>
      </c>
      <c r="G1858" s="6" t="n">
        <v>611</v>
      </c>
      <c r="H1858" s="6" t="n">
        <v>118</v>
      </c>
      <c r="I1858" s="7" t="n">
        <f aca="false">(G1858-H1858)/G1858</f>
        <v>0.806873977086743</v>
      </c>
      <c r="J1858" s="15" t="n">
        <v>0.6485</v>
      </c>
      <c r="K1858" s="11" t="str">
        <f aca="false">IF(I1858&lt;J1858,"TAK","NIE")</f>
        <v>NIE</v>
      </c>
    </row>
    <row r="1859" customFormat="false" ht="15" hidden="false" customHeight="false" outlineLevel="0" collapsed="false">
      <c r="A1859" s="5" t="s">
        <v>481</v>
      </c>
      <c r="B1859" s="5" t="s">
        <v>88</v>
      </c>
      <c r="C1859" s="5" t="n">
        <v>2021</v>
      </c>
      <c r="D1859" s="5" t="s">
        <v>52</v>
      </c>
      <c r="E1859" s="5" t="s">
        <v>46</v>
      </c>
      <c r="F1859" s="5" t="s">
        <v>40</v>
      </c>
      <c r="G1859" s="6" t="n">
        <v>611</v>
      </c>
      <c r="H1859" s="6" t="n">
        <v>33</v>
      </c>
      <c r="I1859" s="7" t="n">
        <f aca="false">(G1859-H1859)/G1859</f>
        <v>0.945990180032733</v>
      </c>
      <c r="J1859" s="15" t="n">
        <v>0.6485</v>
      </c>
      <c r="K1859" s="11" t="str">
        <f aca="false">IF(I1859&lt;J1859,"TAK","NIE")</f>
        <v>NIE</v>
      </c>
    </row>
    <row r="1860" customFormat="false" ht="15" hidden="false" customHeight="false" outlineLevel="0" collapsed="false">
      <c r="A1860" s="5" t="s">
        <v>482</v>
      </c>
      <c r="B1860" s="5" t="s">
        <v>88</v>
      </c>
      <c r="C1860" s="5" t="n">
        <v>2021</v>
      </c>
      <c r="D1860" s="5" t="s">
        <v>52</v>
      </c>
      <c r="E1860" s="5" t="s">
        <v>46</v>
      </c>
      <c r="F1860" s="5" t="s">
        <v>40</v>
      </c>
      <c r="G1860" s="6" t="n">
        <v>611</v>
      </c>
      <c r="H1860" s="6" t="n">
        <v>139</v>
      </c>
      <c r="I1860" s="7" t="n">
        <f aca="false">(G1860-H1860)/G1860</f>
        <v>0.772504091653028</v>
      </c>
      <c r="J1860" s="15" t="n">
        <v>0.6485</v>
      </c>
      <c r="K1860" s="11" t="str">
        <f aca="false">IF(I1860&lt;J1860,"TAK","NIE")</f>
        <v>NIE</v>
      </c>
    </row>
    <row r="1861" customFormat="false" ht="15" hidden="false" customHeight="false" outlineLevel="0" collapsed="false">
      <c r="A1861" s="5" t="s">
        <v>483</v>
      </c>
      <c r="B1861" s="5" t="s">
        <v>88</v>
      </c>
      <c r="C1861" s="5" t="n">
        <v>2021</v>
      </c>
      <c r="D1861" s="5" t="s">
        <v>52</v>
      </c>
      <c r="E1861" s="5" t="s">
        <v>46</v>
      </c>
      <c r="F1861" s="5" t="s">
        <v>40</v>
      </c>
      <c r="G1861" s="6" t="n">
        <v>611</v>
      </c>
      <c r="H1861" s="6" t="n">
        <v>132</v>
      </c>
      <c r="I1861" s="7" t="n">
        <f aca="false">(G1861-H1861)/G1861</f>
        <v>0.783960720130933</v>
      </c>
      <c r="J1861" s="15" t="n">
        <v>0.6485</v>
      </c>
      <c r="K1861" s="11" t="str">
        <f aca="false">IF(I1861&lt;J1861,"TAK","NIE")</f>
        <v>NIE</v>
      </c>
    </row>
    <row r="1862" customFormat="false" ht="15" hidden="false" customHeight="false" outlineLevel="0" collapsed="false">
      <c r="A1862" s="5" t="s">
        <v>484</v>
      </c>
      <c r="B1862" s="5" t="s">
        <v>88</v>
      </c>
      <c r="C1862" s="5" t="n">
        <v>2021</v>
      </c>
      <c r="D1862" s="5" t="s">
        <v>52</v>
      </c>
      <c r="E1862" s="5" t="s">
        <v>46</v>
      </c>
      <c r="F1862" s="5" t="s">
        <v>40</v>
      </c>
      <c r="G1862" s="6" t="n">
        <v>611</v>
      </c>
      <c r="H1862" s="6" t="n">
        <v>142</v>
      </c>
      <c r="I1862" s="7" t="n">
        <f aca="false">(G1862-H1862)/G1862</f>
        <v>0.76759410801964</v>
      </c>
      <c r="J1862" s="15" t="n">
        <v>0.6485</v>
      </c>
      <c r="K1862" s="11" t="str">
        <f aca="false">IF(I1862&lt;J1862,"TAK","NIE")</f>
        <v>NIE</v>
      </c>
    </row>
    <row r="1863" customFormat="false" ht="15" hidden="false" customHeight="false" outlineLevel="0" collapsed="false">
      <c r="A1863" s="5" t="s">
        <v>485</v>
      </c>
      <c r="B1863" s="5" t="s">
        <v>88</v>
      </c>
      <c r="C1863" s="5" t="n">
        <v>2021</v>
      </c>
      <c r="D1863" s="5" t="s">
        <v>52</v>
      </c>
      <c r="E1863" s="5" t="s">
        <v>46</v>
      </c>
      <c r="F1863" s="5" t="s">
        <v>40</v>
      </c>
      <c r="G1863" s="6" t="n">
        <v>611</v>
      </c>
      <c r="H1863" s="6" t="n">
        <v>61</v>
      </c>
      <c r="I1863" s="7" t="n">
        <f aca="false">(G1863-H1863)/G1863</f>
        <v>0.900163666121113</v>
      </c>
      <c r="J1863" s="15" t="n">
        <v>0.6485</v>
      </c>
      <c r="K1863" s="11" t="str">
        <f aca="false">IF(I1863&lt;J1863,"TAK","NIE")</f>
        <v>NIE</v>
      </c>
    </row>
    <row r="1864" customFormat="false" ht="15" hidden="false" customHeight="false" outlineLevel="0" collapsed="false">
      <c r="A1864" s="5" t="s">
        <v>486</v>
      </c>
      <c r="B1864" s="5" t="s">
        <v>88</v>
      </c>
      <c r="C1864" s="5" t="n">
        <v>2021</v>
      </c>
      <c r="D1864" s="5" t="s">
        <v>52</v>
      </c>
      <c r="E1864" s="5" t="s">
        <v>46</v>
      </c>
      <c r="F1864" s="5" t="s">
        <v>40</v>
      </c>
      <c r="G1864" s="6" t="n">
        <v>611</v>
      </c>
      <c r="H1864" s="6" t="n">
        <v>106</v>
      </c>
      <c r="I1864" s="7" t="n">
        <f aca="false">(G1864-H1864)/G1864</f>
        <v>0.826513911620295</v>
      </c>
      <c r="J1864" s="15" t="n">
        <v>0.6485</v>
      </c>
      <c r="K1864" s="11" t="str">
        <f aca="false">IF(I1864&lt;J1864,"TAK","NIE")</f>
        <v>NIE</v>
      </c>
    </row>
    <row r="1865" customFormat="false" ht="15" hidden="false" customHeight="false" outlineLevel="0" collapsed="false">
      <c r="A1865" s="5" t="s">
        <v>487</v>
      </c>
      <c r="B1865" s="5" t="s">
        <v>88</v>
      </c>
      <c r="C1865" s="5" t="n">
        <v>2021</v>
      </c>
      <c r="D1865" s="5" t="s">
        <v>52</v>
      </c>
      <c r="E1865" s="5" t="s">
        <v>46</v>
      </c>
      <c r="F1865" s="5" t="s">
        <v>40</v>
      </c>
      <c r="G1865" s="6" t="n">
        <v>611</v>
      </c>
      <c r="H1865" s="6" t="n">
        <v>129</v>
      </c>
      <c r="I1865" s="7" t="n">
        <f aca="false">(G1865-H1865)/G1865</f>
        <v>0.788870703764321</v>
      </c>
      <c r="J1865" s="15" t="n">
        <v>0.6485</v>
      </c>
      <c r="K1865" s="11" t="str">
        <f aca="false">IF(I1865&lt;J1865,"TAK","NIE")</f>
        <v>NIE</v>
      </c>
    </row>
    <row r="1866" customFormat="false" ht="15" hidden="false" customHeight="false" outlineLevel="0" collapsed="false">
      <c r="A1866" s="5" t="s">
        <v>460</v>
      </c>
      <c r="B1866" s="5" t="s">
        <v>51</v>
      </c>
      <c r="C1866" s="5" t="n">
        <v>2021</v>
      </c>
      <c r="D1866" s="5" t="s">
        <v>52</v>
      </c>
      <c r="E1866" s="5" t="s">
        <v>55</v>
      </c>
      <c r="F1866" s="5" t="s">
        <v>39</v>
      </c>
      <c r="G1866" s="6" t="n">
        <v>738</v>
      </c>
      <c r="H1866" s="6" t="n">
        <v>96</v>
      </c>
      <c r="I1866" s="7" t="n">
        <f aca="false">(G1866-H1866)/G1866</f>
        <v>0.869918699186992</v>
      </c>
      <c r="J1866" s="15" t="n">
        <v>0.6025</v>
      </c>
      <c r="K1866" s="11" t="str">
        <f aca="false">IF(I1866&lt;J1866,"TAK","NIE")</f>
        <v>NIE</v>
      </c>
    </row>
    <row r="1867" customFormat="false" ht="15" hidden="false" customHeight="false" outlineLevel="0" collapsed="false">
      <c r="A1867" s="5" t="s">
        <v>461</v>
      </c>
      <c r="B1867" s="5" t="s">
        <v>51</v>
      </c>
      <c r="C1867" s="5" t="n">
        <v>2021</v>
      </c>
      <c r="D1867" s="5" t="s">
        <v>52</v>
      </c>
      <c r="E1867" s="5" t="s">
        <v>55</v>
      </c>
      <c r="F1867" s="5" t="s">
        <v>39</v>
      </c>
      <c r="G1867" s="6" t="n">
        <v>754</v>
      </c>
      <c r="H1867" s="6" t="n">
        <v>118</v>
      </c>
      <c r="I1867" s="7" t="n">
        <f aca="false">(G1867-H1867)/G1867</f>
        <v>0.843501326259947</v>
      </c>
      <c r="J1867" s="15" t="n">
        <v>0.6025</v>
      </c>
      <c r="K1867" s="11" t="str">
        <f aca="false">IF(I1867&lt;J1867,"TAK","NIE")</f>
        <v>NIE</v>
      </c>
    </row>
    <row r="1868" customFormat="false" ht="15" hidden="false" customHeight="false" outlineLevel="0" collapsed="false">
      <c r="A1868" s="5" t="s">
        <v>462</v>
      </c>
      <c r="B1868" s="5" t="s">
        <v>51</v>
      </c>
      <c r="C1868" s="5" t="n">
        <v>2021</v>
      </c>
      <c r="D1868" s="5" t="s">
        <v>52</v>
      </c>
      <c r="E1868" s="5" t="s">
        <v>55</v>
      </c>
      <c r="F1868" s="5" t="s">
        <v>39</v>
      </c>
      <c r="G1868" s="6" t="n">
        <v>755</v>
      </c>
      <c r="H1868" s="6" t="n">
        <v>154</v>
      </c>
      <c r="I1868" s="7" t="n">
        <f aca="false">(G1868-H1868)/G1868</f>
        <v>0.796026490066225</v>
      </c>
      <c r="J1868" s="15" t="n">
        <v>0.6025</v>
      </c>
      <c r="K1868" s="11" t="str">
        <f aca="false">IF(I1868&lt;J1868,"TAK","NIE")</f>
        <v>NIE</v>
      </c>
    </row>
    <row r="1869" customFormat="false" ht="15" hidden="false" customHeight="false" outlineLevel="0" collapsed="false">
      <c r="A1869" s="5" t="s">
        <v>463</v>
      </c>
      <c r="B1869" s="5" t="s">
        <v>51</v>
      </c>
      <c r="C1869" s="5" t="n">
        <v>2021</v>
      </c>
      <c r="D1869" s="5" t="s">
        <v>52</v>
      </c>
      <c r="E1869" s="5" t="s">
        <v>55</v>
      </c>
      <c r="F1869" s="5" t="s">
        <v>39</v>
      </c>
      <c r="G1869" s="6" t="n">
        <v>754</v>
      </c>
      <c r="H1869" s="6" t="n">
        <v>35</v>
      </c>
      <c r="I1869" s="7" t="n">
        <f aca="false">(G1869-H1869)/G1869</f>
        <v>0.953580901856764</v>
      </c>
      <c r="J1869" s="15" t="n">
        <v>0.6025</v>
      </c>
      <c r="K1869" s="11" t="str">
        <f aca="false">IF(I1869&lt;J1869,"TAK","NIE")</f>
        <v>NIE</v>
      </c>
    </row>
    <row r="1870" customFormat="false" ht="15" hidden="false" customHeight="false" outlineLevel="0" collapsed="false">
      <c r="A1870" s="5" t="s">
        <v>464</v>
      </c>
      <c r="B1870" s="5" t="s">
        <v>51</v>
      </c>
      <c r="C1870" s="5" t="n">
        <v>2021</v>
      </c>
      <c r="D1870" s="5" t="s">
        <v>52</v>
      </c>
      <c r="E1870" s="5" t="s">
        <v>55</v>
      </c>
      <c r="F1870" s="5" t="s">
        <v>39</v>
      </c>
      <c r="G1870" s="6" t="n">
        <v>771</v>
      </c>
      <c r="H1870" s="6" t="n">
        <v>251</v>
      </c>
      <c r="I1870" s="7" t="n">
        <f aca="false">(G1870-H1870)/G1870</f>
        <v>0.674448767833982</v>
      </c>
      <c r="J1870" s="15" t="n">
        <v>0.6025</v>
      </c>
      <c r="K1870" s="11" t="str">
        <f aca="false">IF(I1870&lt;J1870,"TAK","NIE")</f>
        <v>NIE</v>
      </c>
    </row>
    <row r="1871" customFormat="false" ht="15" hidden="false" customHeight="false" outlineLevel="0" collapsed="false">
      <c r="A1871" s="5" t="s">
        <v>465</v>
      </c>
      <c r="B1871" s="5" t="s">
        <v>51</v>
      </c>
      <c r="C1871" s="5" t="n">
        <v>2021</v>
      </c>
      <c r="D1871" s="5" t="s">
        <v>52</v>
      </c>
      <c r="E1871" s="5" t="s">
        <v>55</v>
      </c>
      <c r="F1871" s="5" t="s">
        <v>39</v>
      </c>
      <c r="G1871" s="6" t="n">
        <v>771</v>
      </c>
      <c r="H1871" s="6" t="n">
        <v>58</v>
      </c>
      <c r="I1871" s="7" t="n">
        <f aca="false">(G1871-H1871)/G1871</f>
        <v>0.924773022049287</v>
      </c>
      <c r="J1871" s="15" t="n">
        <v>0.6025</v>
      </c>
      <c r="K1871" s="11" t="str">
        <f aca="false">IF(I1871&lt;J1871,"TAK","NIE")</f>
        <v>NIE</v>
      </c>
    </row>
    <row r="1872" customFormat="false" ht="15" hidden="false" customHeight="false" outlineLevel="0" collapsed="false">
      <c r="A1872" s="5" t="s">
        <v>466</v>
      </c>
      <c r="B1872" s="5" t="s">
        <v>51</v>
      </c>
      <c r="C1872" s="5" t="n">
        <v>2021</v>
      </c>
      <c r="D1872" s="5" t="s">
        <v>52</v>
      </c>
      <c r="E1872" s="5" t="s">
        <v>55</v>
      </c>
      <c r="F1872" s="5" t="s">
        <v>39</v>
      </c>
      <c r="G1872" s="6" t="n">
        <v>738</v>
      </c>
      <c r="H1872" s="6" t="n">
        <v>125</v>
      </c>
      <c r="I1872" s="7" t="n">
        <f aca="false">(G1872-H1872)/G1872</f>
        <v>0.830623306233062</v>
      </c>
      <c r="J1872" s="15" t="n">
        <v>0.6025</v>
      </c>
      <c r="K1872" s="11" t="str">
        <f aca="false">IF(I1872&lt;J1872,"TAK","NIE")</f>
        <v>NIE</v>
      </c>
    </row>
    <row r="1873" customFormat="false" ht="15" hidden="false" customHeight="false" outlineLevel="0" collapsed="false">
      <c r="A1873" s="5" t="s">
        <v>468</v>
      </c>
      <c r="B1873" s="5" t="s">
        <v>51</v>
      </c>
      <c r="C1873" s="5" t="n">
        <v>2021</v>
      </c>
      <c r="D1873" s="5" t="s">
        <v>52</v>
      </c>
      <c r="E1873" s="5" t="s">
        <v>55</v>
      </c>
      <c r="F1873" s="5" t="s">
        <v>39</v>
      </c>
      <c r="G1873" s="6" t="n">
        <v>743</v>
      </c>
      <c r="H1873" s="6" t="n">
        <v>154</v>
      </c>
      <c r="I1873" s="7" t="n">
        <f aca="false">(G1873-H1873)/G1873</f>
        <v>0.792732166890983</v>
      </c>
      <c r="J1873" s="15" t="n">
        <v>0.6025</v>
      </c>
      <c r="K1873" s="11" t="str">
        <f aca="false">IF(I1873&lt;J1873,"TAK","NIE")</f>
        <v>NIE</v>
      </c>
    </row>
    <row r="1874" customFormat="false" ht="15" hidden="false" customHeight="false" outlineLevel="0" collapsed="false">
      <c r="A1874" s="5" t="s">
        <v>469</v>
      </c>
      <c r="B1874" s="5" t="s">
        <v>51</v>
      </c>
      <c r="C1874" s="5" t="n">
        <v>2021</v>
      </c>
      <c r="D1874" s="5" t="s">
        <v>52</v>
      </c>
      <c r="E1874" s="5" t="s">
        <v>55</v>
      </c>
      <c r="F1874" s="5" t="s">
        <v>39</v>
      </c>
      <c r="G1874" s="6" t="n">
        <v>771</v>
      </c>
      <c r="H1874" s="6" t="n">
        <v>54</v>
      </c>
      <c r="I1874" s="7" t="n">
        <f aca="false">(G1874-H1874)/G1874</f>
        <v>0.929961089494164</v>
      </c>
      <c r="J1874" s="15" t="n">
        <v>0.6025</v>
      </c>
      <c r="K1874" s="11" t="str">
        <f aca="false">IF(I1874&lt;J1874,"TAK","NIE")</f>
        <v>NIE</v>
      </c>
    </row>
    <row r="1875" customFormat="false" ht="15" hidden="false" customHeight="false" outlineLevel="0" collapsed="false">
      <c r="A1875" s="5" t="s">
        <v>470</v>
      </c>
      <c r="B1875" s="5" t="s">
        <v>51</v>
      </c>
      <c r="C1875" s="5" t="n">
        <v>2021</v>
      </c>
      <c r="D1875" s="5" t="s">
        <v>52</v>
      </c>
      <c r="E1875" s="5" t="s">
        <v>55</v>
      </c>
      <c r="F1875" s="5" t="s">
        <v>39</v>
      </c>
      <c r="G1875" s="6" t="n">
        <v>771</v>
      </c>
      <c r="H1875" s="6" t="n">
        <v>163</v>
      </c>
      <c r="I1875" s="7" t="n">
        <f aca="false">(G1875-H1875)/G1875</f>
        <v>0.788586251621271</v>
      </c>
      <c r="J1875" s="15" t="n">
        <v>0.6025</v>
      </c>
      <c r="K1875" s="11" t="str">
        <f aca="false">IF(I1875&lt;J1875,"TAK","NIE")</f>
        <v>NIE</v>
      </c>
    </row>
    <row r="1876" customFormat="false" ht="15" hidden="false" customHeight="false" outlineLevel="0" collapsed="false">
      <c r="A1876" s="5" t="s">
        <v>472</v>
      </c>
      <c r="B1876" s="5" t="s">
        <v>51</v>
      </c>
      <c r="C1876" s="5" t="n">
        <v>2021</v>
      </c>
      <c r="D1876" s="5" t="s">
        <v>52</v>
      </c>
      <c r="E1876" s="5" t="s">
        <v>55</v>
      </c>
      <c r="F1876" s="5" t="s">
        <v>39</v>
      </c>
      <c r="G1876" s="6" t="n">
        <v>743</v>
      </c>
      <c r="H1876" s="6" t="n">
        <v>98</v>
      </c>
      <c r="I1876" s="7" t="n">
        <f aca="false">(G1876-H1876)/G1876</f>
        <v>0.868102288021534</v>
      </c>
      <c r="J1876" s="15" t="n">
        <v>0.6025</v>
      </c>
      <c r="K1876" s="11" t="str">
        <f aca="false">IF(I1876&lt;J1876,"TAK","NIE")</f>
        <v>NIE</v>
      </c>
    </row>
    <row r="1877" customFormat="false" ht="15" hidden="false" customHeight="false" outlineLevel="0" collapsed="false">
      <c r="A1877" s="5" t="s">
        <v>473</v>
      </c>
      <c r="B1877" s="5" t="s">
        <v>51</v>
      </c>
      <c r="C1877" s="5" t="n">
        <v>2021</v>
      </c>
      <c r="D1877" s="5" t="s">
        <v>52</v>
      </c>
      <c r="E1877" s="5" t="s">
        <v>55</v>
      </c>
      <c r="F1877" s="5" t="s">
        <v>39</v>
      </c>
      <c r="G1877" s="6" t="n">
        <v>760</v>
      </c>
      <c r="H1877" s="6" t="n">
        <v>214</v>
      </c>
      <c r="I1877" s="7" t="n">
        <f aca="false">(G1877-H1877)/G1877</f>
        <v>0.718421052631579</v>
      </c>
      <c r="J1877" s="15" t="n">
        <v>0.6025</v>
      </c>
      <c r="K1877" s="11" t="str">
        <f aca="false">IF(I1877&lt;J1877,"TAK","NIE")</f>
        <v>NIE</v>
      </c>
    </row>
    <row r="1878" customFormat="false" ht="15" hidden="false" customHeight="false" outlineLevel="0" collapsed="false">
      <c r="A1878" s="5" t="s">
        <v>474</v>
      </c>
      <c r="B1878" s="5" t="s">
        <v>51</v>
      </c>
      <c r="C1878" s="5" t="n">
        <v>2021</v>
      </c>
      <c r="D1878" s="5" t="s">
        <v>52</v>
      </c>
      <c r="E1878" s="5" t="s">
        <v>55</v>
      </c>
      <c r="F1878" s="5" t="s">
        <v>39</v>
      </c>
      <c r="G1878" s="6" t="n">
        <v>755</v>
      </c>
      <c r="H1878" s="6" t="n">
        <v>71</v>
      </c>
      <c r="I1878" s="7" t="n">
        <f aca="false">(G1878-H1878)/G1878</f>
        <v>0.905960264900662</v>
      </c>
      <c r="J1878" s="15" t="n">
        <v>0.6025</v>
      </c>
      <c r="K1878" s="11" t="str">
        <f aca="false">IF(I1878&lt;J1878,"TAK","NIE")</f>
        <v>NIE</v>
      </c>
    </row>
    <row r="1879" customFormat="false" ht="15" hidden="false" customHeight="false" outlineLevel="0" collapsed="false">
      <c r="A1879" s="5" t="s">
        <v>475</v>
      </c>
      <c r="B1879" s="5" t="s">
        <v>51</v>
      </c>
      <c r="C1879" s="5" t="n">
        <v>2021</v>
      </c>
      <c r="D1879" s="5" t="s">
        <v>52</v>
      </c>
      <c r="E1879" s="5" t="s">
        <v>55</v>
      </c>
      <c r="F1879" s="5" t="s">
        <v>39</v>
      </c>
      <c r="G1879" s="6" t="n">
        <v>771</v>
      </c>
      <c r="H1879" s="6" t="n">
        <v>139</v>
      </c>
      <c r="I1879" s="7" t="n">
        <f aca="false">(G1879-H1879)/G1879</f>
        <v>0.819714656290532</v>
      </c>
      <c r="J1879" s="15" t="n">
        <v>0.6025</v>
      </c>
      <c r="K1879" s="11" t="str">
        <f aca="false">IF(I1879&lt;J1879,"TAK","NIE")</f>
        <v>NIE</v>
      </c>
    </row>
    <row r="1880" customFormat="false" ht="15" hidden="false" customHeight="false" outlineLevel="0" collapsed="false">
      <c r="A1880" s="5" t="s">
        <v>477</v>
      </c>
      <c r="B1880" s="5" t="s">
        <v>51</v>
      </c>
      <c r="C1880" s="5" t="n">
        <v>2021</v>
      </c>
      <c r="D1880" s="5" t="s">
        <v>52</v>
      </c>
      <c r="E1880" s="5" t="s">
        <v>55</v>
      </c>
      <c r="F1880" s="5" t="s">
        <v>39</v>
      </c>
      <c r="G1880" s="6" t="n">
        <v>771</v>
      </c>
      <c r="H1880" s="6" t="n">
        <v>127</v>
      </c>
      <c r="I1880" s="7" t="n">
        <f aca="false">(G1880-H1880)/G1880</f>
        <v>0.835278858625162</v>
      </c>
      <c r="J1880" s="15" t="n">
        <v>0.6025</v>
      </c>
      <c r="K1880" s="11" t="str">
        <f aca="false">IF(I1880&lt;J1880,"TAK","NIE")</f>
        <v>NIE</v>
      </c>
    </row>
    <row r="1881" customFormat="false" ht="15" hidden="false" customHeight="false" outlineLevel="0" collapsed="false">
      <c r="A1881" s="5" t="s">
        <v>478</v>
      </c>
      <c r="B1881" s="5" t="s">
        <v>51</v>
      </c>
      <c r="C1881" s="5" t="n">
        <v>2021</v>
      </c>
      <c r="D1881" s="5" t="s">
        <v>52</v>
      </c>
      <c r="E1881" s="5" t="s">
        <v>55</v>
      </c>
      <c r="F1881" s="5" t="s">
        <v>39</v>
      </c>
      <c r="G1881" s="6" t="n">
        <v>743</v>
      </c>
      <c r="H1881" s="6" t="n">
        <v>51</v>
      </c>
      <c r="I1881" s="7" t="n">
        <f aca="false">(G1881-H1881)/G1881</f>
        <v>0.93135935397039</v>
      </c>
      <c r="J1881" s="15" t="n">
        <v>0.6025</v>
      </c>
      <c r="K1881" s="11" t="str">
        <f aca="false">IF(I1881&lt;J1881,"TAK","NIE")</f>
        <v>NIE</v>
      </c>
    </row>
    <row r="1882" customFormat="false" ht="15" hidden="false" customHeight="false" outlineLevel="0" collapsed="false">
      <c r="A1882" s="5" t="s">
        <v>479</v>
      </c>
      <c r="B1882" s="5" t="s">
        <v>51</v>
      </c>
      <c r="C1882" s="5" t="n">
        <v>2021</v>
      </c>
      <c r="D1882" s="5" t="s">
        <v>52</v>
      </c>
      <c r="E1882" s="5" t="s">
        <v>55</v>
      </c>
      <c r="F1882" s="5" t="s">
        <v>39</v>
      </c>
      <c r="G1882" s="6" t="n">
        <v>771</v>
      </c>
      <c r="H1882" s="6" t="n">
        <v>175</v>
      </c>
      <c r="I1882" s="7" t="n">
        <f aca="false">(G1882-H1882)/G1882</f>
        <v>0.773022049286641</v>
      </c>
      <c r="J1882" s="15" t="n">
        <v>0.6025</v>
      </c>
      <c r="K1882" s="11" t="str">
        <f aca="false">IF(I1882&lt;J1882,"TAK","NIE")</f>
        <v>NIE</v>
      </c>
    </row>
    <row r="1883" customFormat="false" ht="15" hidden="false" customHeight="false" outlineLevel="0" collapsed="false">
      <c r="A1883" s="5" t="s">
        <v>480</v>
      </c>
      <c r="B1883" s="5" t="s">
        <v>51</v>
      </c>
      <c r="C1883" s="5" t="n">
        <v>2021</v>
      </c>
      <c r="D1883" s="5" t="s">
        <v>52</v>
      </c>
      <c r="E1883" s="5" t="s">
        <v>55</v>
      </c>
      <c r="F1883" s="5" t="s">
        <v>39</v>
      </c>
      <c r="G1883" s="6" t="n">
        <v>754</v>
      </c>
      <c r="H1883" s="6" t="n">
        <v>146</v>
      </c>
      <c r="I1883" s="7" t="n">
        <f aca="false">(G1883-H1883)/G1883</f>
        <v>0.806366047745358</v>
      </c>
      <c r="J1883" s="15" t="n">
        <v>0.6025</v>
      </c>
      <c r="K1883" s="11" t="str">
        <f aca="false">IF(I1883&lt;J1883,"TAK","NIE")</f>
        <v>NIE</v>
      </c>
    </row>
    <row r="1884" customFormat="false" ht="15" hidden="false" customHeight="false" outlineLevel="0" collapsed="false">
      <c r="A1884" s="5" t="s">
        <v>481</v>
      </c>
      <c r="B1884" s="5" t="s">
        <v>51</v>
      </c>
      <c r="C1884" s="5" t="n">
        <v>2021</v>
      </c>
      <c r="D1884" s="5" t="s">
        <v>52</v>
      </c>
      <c r="E1884" s="5" t="s">
        <v>55</v>
      </c>
      <c r="F1884" s="5" t="s">
        <v>39</v>
      </c>
      <c r="G1884" s="6" t="n">
        <v>771</v>
      </c>
      <c r="H1884" s="6" t="n">
        <v>1</v>
      </c>
      <c r="I1884" s="7" t="n">
        <f aca="false">(G1884-H1884)/G1884</f>
        <v>0.998702983138781</v>
      </c>
      <c r="J1884" s="15" t="n">
        <v>0.6025</v>
      </c>
      <c r="K1884" s="11" t="str">
        <f aca="false">IF(I1884&lt;J1884,"TAK","NIE")</f>
        <v>NIE</v>
      </c>
    </row>
    <row r="1885" customFormat="false" ht="15" hidden="false" customHeight="false" outlineLevel="0" collapsed="false">
      <c r="A1885" s="5" t="s">
        <v>482</v>
      </c>
      <c r="B1885" s="5" t="s">
        <v>51</v>
      </c>
      <c r="C1885" s="5" t="n">
        <v>2021</v>
      </c>
      <c r="D1885" s="5" t="s">
        <v>52</v>
      </c>
      <c r="E1885" s="5" t="s">
        <v>55</v>
      </c>
      <c r="F1885" s="5" t="s">
        <v>39</v>
      </c>
      <c r="G1885" s="6" t="n">
        <v>771</v>
      </c>
      <c r="H1885" s="6" t="n">
        <v>93</v>
      </c>
      <c r="I1885" s="7" t="n">
        <f aca="false">(G1885-H1885)/G1885</f>
        <v>0.879377431906615</v>
      </c>
      <c r="J1885" s="15" t="n">
        <v>0.6025</v>
      </c>
      <c r="K1885" s="11" t="str">
        <f aca="false">IF(I1885&lt;J1885,"TAK","NIE")</f>
        <v>NIE</v>
      </c>
    </row>
    <row r="1886" customFormat="false" ht="15" hidden="false" customHeight="false" outlineLevel="0" collapsed="false">
      <c r="A1886" s="5" t="s">
        <v>483</v>
      </c>
      <c r="B1886" s="5" t="s">
        <v>51</v>
      </c>
      <c r="C1886" s="5" t="n">
        <v>2021</v>
      </c>
      <c r="D1886" s="5" t="s">
        <v>52</v>
      </c>
      <c r="E1886" s="5" t="s">
        <v>55</v>
      </c>
      <c r="F1886" s="5" t="s">
        <v>39</v>
      </c>
      <c r="G1886" s="6" t="n">
        <v>743</v>
      </c>
      <c r="H1886" s="6" t="n">
        <v>138</v>
      </c>
      <c r="I1886" s="7" t="n">
        <f aca="false">(G1886-H1886)/G1886</f>
        <v>0.814266487213997</v>
      </c>
      <c r="J1886" s="15" t="n">
        <v>0.6025</v>
      </c>
      <c r="K1886" s="11" t="str">
        <f aca="false">IF(I1886&lt;J1886,"TAK","NIE")</f>
        <v>NIE</v>
      </c>
    </row>
    <row r="1887" customFormat="false" ht="15" hidden="false" customHeight="false" outlineLevel="0" collapsed="false">
      <c r="A1887" s="5" t="s">
        <v>484</v>
      </c>
      <c r="B1887" s="5" t="s">
        <v>51</v>
      </c>
      <c r="C1887" s="5" t="n">
        <v>2021</v>
      </c>
      <c r="D1887" s="5" t="s">
        <v>52</v>
      </c>
      <c r="E1887" s="5" t="s">
        <v>55</v>
      </c>
      <c r="F1887" s="5" t="s">
        <v>39</v>
      </c>
      <c r="G1887" s="6" t="n">
        <v>771</v>
      </c>
      <c r="H1887" s="6" t="n">
        <v>37</v>
      </c>
      <c r="I1887" s="7" t="n">
        <f aca="false">(G1887-H1887)/G1887</f>
        <v>0.95201037613489</v>
      </c>
      <c r="J1887" s="15" t="n">
        <v>0.6025</v>
      </c>
      <c r="K1887" s="11" t="str">
        <f aca="false">IF(I1887&lt;J1887,"TAK","NIE")</f>
        <v>NIE</v>
      </c>
    </row>
    <row r="1888" customFormat="false" ht="15" hidden="false" customHeight="false" outlineLevel="0" collapsed="false">
      <c r="A1888" s="5" t="s">
        <v>485</v>
      </c>
      <c r="B1888" s="5" t="s">
        <v>51</v>
      </c>
      <c r="C1888" s="5" t="n">
        <v>2021</v>
      </c>
      <c r="D1888" s="5" t="s">
        <v>52</v>
      </c>
      <c r="E1888" s="5" t="s">
        <v>55</v>
      </c>
      <c r="F1888" s="5" t="s">
        <v>39</v>
      </c>
      <c r="G1888" s="6" t="n">
        <v>738</v>
      </c>
      <c r="H1888" s="6" t="n">
        <v>49</v>
      </c>
      <c r="I1888" s="7" t="n">
        <f aca="false">(G1888-H1888)/G1888</f>
        <v>0.933604336043361</v>
      </c>
      <c r="J1888" s="15" t="n">
        <v>0.6025</v>
      </c>
      <c r="K1888" s="11" t="str">
        <f aca="false">IF(I1888&lt;J1888,"TAK","NIE")</f>
        <v>NIE</v>
      </c>
    </row>
    <row r="1889" customFormat="false" ht="15" hidden="false" customHeight="false" outlineLevel="0" collapsed="false">
      <c r="A1889" s="5" t="s">
        <v>486</v>
      </c>
      <c r="B1889" s="5" t="s">
        <v>51</v>
      </c>
      <c r="C1889" s="5" t="n">
        <v>2021</v>
      </c>
      <c r="D1889" s="5" t="s">
        <v>52</v>
      </c>
      <c r="E1889" s="5" t="s">
        <v>55</v>
      </c>
      <c r="F1889" s="5" t="s">
        <v>39</v>
      </c>
      <c r="G1889" s="6" t="n">
        <v>743</v>
      </c>
      <c r="H1889" s="6" t="n">
        <v>61</v>
      </c>
      <c r="I1889" s="7" t="n">
        <f aca="false">(G1889-H1889)/G1889</f>
        <v>0.917900403768506</v>
      </c>
      <c r="J1889" s="15" t="n">
        <v>0.6025</v>
      </c>
      <c r="K1889" s="11" t="str">
        <f aca="false">IF(I1889&lt;J1889,"TAK","NIE")</f>
        <v>NIE</v>
      </c>
    </row>
    <row r="1890" customFormat="false" ht="15" hidden="false" customHeight="false" outlineLevel="0" collapsed="false">
      <c r="A1890" s="5" t="s">
        <v>487</v>
      </c>
      <c r="B1890" s="5" t="s">
        <v>51</v>
      </c>
      <c r="C1890" s="5" t="n">
        <v>2021</v>
      </c>
      <c r="D1890" s="5" t="s">
        <v>52</v>
      </c>
      <c r="E1890" s="5" t="s">
        <v>55</v>
      </c>
      <c r="F1890" s="5" t="s">
        <v>39</v>
      </c>
      <c r="G1890" s="6" t="n">
        <v>743</v>
      </c>
      <c r="H1890" s="6" t="n">
        <v>165</v>
      </c>
      <c r="I1890" s="7" t="n">
        <f aca="false">(G1890-H1890)/G1890</f>
        <v>0.77792732166891</v>
      </c>
      <c r="J1890" s="15" t="n">
        <v>0.6025</v>
      </c>
      <c r="K1890" s="11" t="str">
        <f aca="false">IF(I1890&lt;J1890,"TAK","NIE")</f>
        <v>NIE</v>
      </c>
    </row>
    <row r="1891" customFormat="false" ht="15" hidden="false" customHeight="false" outlineLevel="0" collapsed="false">
      <c r="A1891" s="5" t="s">
        <v>460</v>
      </c>
      <c r="B1891" s="5" t="s">
        <v>51</v>
      </c>
      <c r="C1891" s="5" t="n">
        <v>2021</v>
      </c>
      <c r="D1891" s="5" t="s">
        <v>52</v>
      </c>
      <c r="E1891" s="5" t="s">
        <v>55</v>
      </c>
      <c r="F1891" s="5" t="s">
        <v>40</v>
      </c>
      <c r="G1891" s="6" t="n">
        <v>421</v>
      </c>
      <c r="H1891" s="6" t="n">
        <v>116</v>
      </c>
      <c r="I1891" s="7" t="n">
        <f aca="false">(G1891-H1891)/G1891</f>
        <v>0.724465558194774</v>
      </c>
      <c r="J1891" s="15" t="n">
        <v>0.2595</v>
      </c>
      <c r="K1891" s="11" t="str">
        <f aca="false">IF(I1891&lt;J1891,"TAK","NIE")</f>
        <v>NIE</v>
      </c>
    </row>
    <row r="1892" customFormat="false" ht="15" hidden="false" customHeight="false" outlineLevel="0" collapsed="false">
      <c r="A1892" s="5" t="s">
        <v>461</v>
      </c>
      <c r="B1892" s="5" t="s">
        <v>51</v>
      </c>
      <c r="C1892" s="5" t="n">
        <v>2021</v>
      </c>
      <c r="D1892" s="5" t="s">
        <v>52</v>
      </c>
      <c r="E1892" s="5" t="s">
        <v>55</v>
      </c>
      <c r="F1892" s="5" t="s">
        <v>40</v>
      </c>
      <c r="G1892" s="6" t="n">
        <v>442</v>
      </c>
      <c r="H1892" s="6" t="n">
        <v>177</v>
      </c>
      <c r="I1892" s="7" t="n">
        <f aca="false">(G1892-H1892)/G1892</f>
        <v>0.599547511312217</v>
      </c>
      <c r="J1892" s="15" t="n">
        <v>0.2595</v>
      </c>
      <c r="K1892" s="11" t="str">
        <f aca="false">IF(I1892&lt;J1892,"TAK","NIE")</f>
        <v>NIE</v>
      </c>
    </row>
    <row r="1893" customFormat="false" ht="15" hidden="false" customHeight="false" outlineLevel="0" collapsed="false">
      <c r="A1893" s="5" t="s">
        <v>462</v>
      </c>
      <c r="B1893" s="5" t="s">
        <v>51</v>
      </c>
      <c r="C1893" s="5" t="n">
        <v>2021</v>
      </c>
      <c r="D1893" s="5" t="s">
        <v>52</v>
      </c>
      <c r="E1893" s="5" t="s">
        <v>55</v>
      </c>
      <c r="F1893" s="5" t="s">
        <v>40</v>
      </c>
      <c r="G1893" s="6" t="n">
        <v>429</v>
      </c>
      <c r="H1893" s="6" t="n">
        <v>131</v>
      </c>
      <c r="I1893" s="7" t="n">
        <f aca="false">(G1893-H1893)/G1893</f>
        <v>0.694638694638695</v>
      </c>
      <c r="J1893" s="15" t="n">
        <v>0.2595</v>
      </c>
      <c r="K1893" s="11" t="str">
        <f aca="false">IF(I1893&lt;J1893,"TAK","NIE")</f>
        <v>NIE</v>
      </c>
    </row>
    <row r="1894" customFormat="false" ht="15" hidden="false" customHeight="false" outlineLevel="0" collapsed="false">
      <c r="A1894" s="5" t="s">
        <v>463</v>
      </c>
      <c r="B1894" s="5" t="s">
        <v>51</v>
      </c>
      <c r="C1894" s="5" t="n">
        <v>2021</v>
      </c>
      <c r="D1894" s="5" t="s">
        <v>52</v>
      </c>
      <c r="E1894" s="5" t="s">
        <v>55</v>
      </c>
      <c r="F1894" s="5" t="s">
        <v>40</v>
      </c>
      <c r="G1894" s="6" t="n">
        <v>442</v>
      </c>
      <c r="H1894" s="6" t="n">
        <v>210</v>
      </c>
      <c r="I1894" s="7" t="n">
        <f aca="false">(G1894-H1894)/G1894</f>
        <v>0.524886877828054</v>
      </c>
      <c r="J1894" s="15" t="n">
        <v>0.2595</v>
      </c>
      <c r="K1894" s="11" t="str">
        <f aca="false">IF(I1894&lt;J1894,"TAK","NIE")</f>
        <v>NIE</v>
      </c>
    </row>
    <row r="1895" customFormat="false" ht="15" hidden="false" customHeight="false" outlineLevel="0" collapsed="false">
      <c r="A1895" s="5" t="s">
        <v>464</v>
      </c>
      <c r="B1895" s="5" t="s">
        <v>51</v>
      </c>
      <c r="C1895" s="5" t="n">
        <v>2021</v>
      </c>
      <c r="D1895" s="5" t="s">
        <v>52</v>
      </c>
      <c r="E1895" s="5" t="s">
        <v>55</v>
      </c>
      <c r="F1895" s="5" t="s">
        <v>40</v>
      </c>
      <c r="G1895" s="6" t="n">
        <v>450</v>
      </c>
      <c r="H1895" s="6" t="n">
        <v>137</v>
      </c>
      <c r="I1895" s="7" t="n">
        <f aca="false">(G1895-H1895)/G1895</f>
        <v>0.695555555555556</v>
      </c>
      <c r="J1895" s="15" t="n">
        <v>0.2595</v>
      </c>
      <c r="K1895" s="11" t="str">
        <f aca="false">IF(I1895&lt;J1895,"TAK","NIE")</f>
        <v>NIE</v>
      </c>
    </row>
    <row r="1896" customFormat="false" ht="15" hidden="false" customHeight="false" outlineLevel="0" collapsed="false">
      <c r="A1896" s="5" t="s">
        <v>465</v>
      </c>
      <c r="B1896" s="5" t="s">
        <v>51</v>
      </c>
      <c r="C1896" s="5" t="n">
        <v>2021</v>
      </c>
      <c r="D1896" s="5" t="s">
        <v>52</v>
      </c>
      <c r="E1896" s="5" t="s">
        <v>55</v>
      </c>
      <c r="F1896" s="5" t="s">
        <v>40</v>
      </c>
      <c r="G1896" s="6" t="n">
        <v>450</v>
      </c>
      <c r="H1896" s="6" t="n">
        <v>64</v>
      </c>
      <c r="I1896" s="7" t="n">
        <f aca="false">(G1896-H1896)/G1896</f>
        <v>0.857777777777778</v>
      </c>
      <c r="J1896" s="15" t="n">
        <v>0.2595</v>
      </c>
      <c r="K1896" s="11" t="str">
        <f aca="false">IF(I1896&lt;J1896,"TAK","NIE")</f>
        <v>NIE</v>
      </c>
    </row>
    <row r="1897" customFormat="false" ht="15" hidden="false" customHeight="false" outlineLevel="0" collapsed="false">
      <c r="A1897" s="5" t="s">
        <v>466</v>
      </c>
      <c r="B1897" s="5" t="s">
        <v>51</v>
      </c>
      <c r="C1897" s="5" t="n">
        <v>2021</v>
      </c>
      <c r="D1897" s="5" t="s">
        <v>52</v>
      </c>
      <c r="E1897" s="5" t="s">
        <v>55</v>
      </c>
      <c r="F1897" s="5" t="s">
        <v>40</v>
      </c>
      <c r="G1897" s="6" t="n">
        <v>421</v>
      </c>
      <c r="H1897" s="6" t="n">
        <v>118</v>
      </c>
      <c r="I1897" s="7" t="n">
        <f aca="false">(G1897-H1897)/G1897</f>
        <v>0.719714964370546</v>
      </c>
      <c r="J1897" s="15" t="n">
        <v>0.2595</v>
      </c>
      <c r="K1897" s="11" t="str">
        <f aca="false">IF(I1897&lt;J1897,"TAK","NIE")</f>
        <v>NIE</v>
      </c>
    </row>
    <row r="1898" customFormat="false" ht="15" hidden="false" customHeight="false" outlineLevel="0" collapsed="false">
      <c r="A1898" s="5" t="s">
        <v>468</v>
      </c>
      <c r="B1898" s="5" t="s">
        <v>51</v>
      </c>
      <c r="C1898" s="5" t="n">
        <v>2021</v>
      </c>
      <c r="D1898" s="5" t="s">
        <v>52</v>
      </c>
      <c r="E1898" s="5" t="s">
        <v>55</v>
      </c>
      <c r="F1898" s="5" t="s">
        <v>40</v>
      </c>
      <c r="G1898" s="6" t="n">
        <v>443</v>
      </c>
      <c r="H1898" s="6" t="n">
        <v>216</v>
      </c>
      <c r="I1898" s="7" t="n">
        <f aca="false">(G1898-H1898)/G1898</f>
        <v>0.512415349887133</v>
      </c>
      <c r="J1898" s="15" t="n">
        <v>0.2595</v>
      </c>
      <c r="K1898" s="11" t="str">
        <f aca="false">IF(I1898&lt;J1898,"TAK","NIE")</f>
        <v>NIE</v>
      </c>
    </row>
    <row r="1899" customFormat="false" ht="15" hidden="false" customHeight="false" outlineLevel="0" collapsed="false">
      <c r="A1899" s="5" t="s">
        <v>469</v>
      </c>
      <c r="B1899" s="5" t="s">
        <v>51</v>
      </c>
      <c r="C1899" s="5" t="n">
        <v>2021</v>
      </c>
      <c r="D1899" s="5" t="s">
        <v>52</v>
      </c>
      <c r="E1899" s="5" t="s">
        <v>55</v>
      </c>
      <c r="F1899" s="5" t="s">
        <v>40</v>
      </c>
      <c r="G1899" s="6" t="n">
        <v>450</v>
      </c>
      <c r="H1899" s="6" t="n">
        <v>78</v>
      </c>
      <c r="I1899" s="7" t="n">
        <f aca="false">(G1899-H1899)/G1899</f>
        <v>0.826666666666667</v>
      </c>
      <c r="J1899" s="15" t="n">
        <v>0.2595</v>
      </c>
      <c r="K1899" s="11" t="str">
        <f aca="false">IF(I1899&lt;J1899,"TAK","NIE")</f>
        <v>NIE</v>
      </c>
    </row>
    <row r="1900" customFormat="false" ht="15" hidden="false" customHeight="false" outlineLevel="0" collapsed="false">
      <c r="A1900" s="5" t="s">
        <v>470</v>
      </c>
      <c r="B1900" s="5" t="s">
        <v>51</v>
      </c>
      <c r="C1900" s="5" t="n">
        <v>2021</v>
      </c>
      <c r="D1900" s="5" t="s">
        <v>52</v>
      </c>
      <c r="E1900" s="5" t="s">
        <v>55</v>
      </c>
      <c r="F1900" s="5" t="s">
        <v>40</v>
      </c>
      <c r="G1900" s="6" t="n">
        <v>450</v>
      </c>
      <c r="H1900" s="6" t="n">
        <v>142</v>
      </c>
      <c r="I1900" s="7" t="n">
        <f aca="false">(G1900-H1900)/G1900</f>
        <v>0.684444444444444</v>
      </c>
      <c r="J1900" s="15" t="n">
        <v>0.2595</v>
      </c>
      <c r="K1900" s="11" t="str">
        <f aca="false">IF(I1900&lt;J1900,"TAK","NIE")</f>
        <v>NIE</v>
      </c>
    </row>
    <row r="1901" customFormat="false" ht="15" hidden="false" customHeight="false" outlineLevel="0" collapsed="false">
      <c r="A1901" s="5" t="s">
        <v>472</v>
      </c>
      <c r="B1901" s="5" t="s">
        <v>51</v>
      </c>
      <c r="C1901" s="5" t="n">
        <v>2021</v>
      </c>
      <c r="D1901" s="5" t="s">
        <v>52</v>
      </c>
      <c r="E1901" s="5" t="s">
        <v>55</v>
      </c>
      <c r="F1901" s="5" t="s">
        <v>40</v>
      </c>
      <c r="G1901" s="6" t="n">
        <v>442</v>
      </c>
      <c r="H1901" s="6" t="n">
        <v>183</v>
      </c>
      <c r="I1901" s="7" t="n">
        <f aca="false">(G1901-H1901)/G1901</f>
        <v>0.585972850678733</v>
      </c>
      <c r="J1901" s="15" t="n">
        <v>0.2595</v>
      </c>
      <c r="K1901" s="11" t="str">
        <f aca="false">IF(I1901&lt;J1901,"TAK","NIE")</f>
        <v>NIE</v>
      </c>
    </row>
    <row r="1902" customFormat="false" ht="15" hidden="false" customHeight="false" outlineLevel="0" collapsed="false">
      <c r="A1902" s="5" t="s">
        <v>473</v>
      </c>
      <c r="B1902" s="5" t="s">
        <v>51</v>
      </c>
      <c r="C1902" s="5" t="n">
        <v>2021</v>
      </c>
      <c r="D1902" s="5" t="s">
        <v>52</v>
      </c>
      <c r="E1902" s="5" t="s">
        <v>55</v>
      </c>
      <c r="F1902" s="5" t="s">
        <v>40</v>
      </c>
      <c r="G1902" s="6" t="n">
        <v>450</v>
      </c>
      <c r="H1902" s="6" t="n">
        <v>183</v>
      </c>
      <c r="I1902" s="7" t="n">
        <f aca="false">(G1902-H1902)/G1902</f>
        <v>0.593333333333333</v>
      </c>
      <c r="J1902" s="15" t="n">
        <v>0.2595</v>
      </c>
      <c r="K1902" s="11" t="str">
        <f aca="false">IF(I1902&lt;J1902,"TAK","NIE")</f>
        <v>NIE</v>
      </c>
    </row>
    <row r="1903" customFormat="false" ht="15" hidden="false" customHeight="false" outlineLevel="0" collapsed="false">
      <c r="A1903" s="5" t="s">
        <v>474</v>
      </c>
      <c r="B1903" s="5" t="s">
        <v>51</v>
      </c>
      <c r="C1903" s="5" t="n">
        <v>2021</v>
      </c>
      <c r="D1903" s="5" t="s">
        <v>52</v>
      </c>
      <c r="E1903" s="5" t="s">
        <v>55</v>
      </c>
      <c r="F1903" s="5" t="s">
        <v>40</v>
      </c>
      <c r="G1903" s="6" t="n">
        <v>428</v>
      </c>
      <c r="H1903" s="6" t="n">
        <v>73</v>
      </c>
      <c r="I1903" s="7" t="n">
        <f aca="false">(G1903-H1903)/G1903</f>
        <v>0.829439252336449</v>
      </c>
      <c r="J1903" s="15" t="n">
        <v>0.2595</v>
      </c>
      <c r="K1903" s="11" t="str">
        <f aca="false">IF(I1903&lt;J1903,"TAK","NIE")</f>
        <v>NIE</v>
      </c>
    </row>
    <row r="1904" customFormat="false" ht="15" hidden="false" customHeight="false" outlineLevel="0" collapsed="false">
      <c r="A1904" s="5" t="s">
        <v>475</v>
      </c>
      <c r="B1904" s="5" t="s">
        <v>51</v>
      </c>
      <c r="C1904" s="5" t="n">
        <v>2021</v>
      </c>
      <c r="D1904" s="5" t="s">
        <v>52</v>
      </c>
      <c r="E1904" s="5" t="s">
        <v>55</v>
      </c>
      <c r="F1904" s="5" t="s">
        <v>40</v>
      </c>
      <c r="G1904" s="6" t="n">
        <v>450</v>
      </c>
      <c r="H1904" s="6" t="n">
        <v>147</v>
      </c>
      <c r="I1904" s="7" t="n">
        <f aca="false">(G1904-H1904)/G1904</f>
        <v>0.673333333333333</v>
      </c>
      <c r="J1904" s="15" t="n">
        <v>0.2595</v>
      </c>
      <c r="K1904" s="11" t="str">
        <f aca="false">IF(I1904&lt;J1904,"TAK","NIE")</f>
        <v>NIE</v>
      </c>
    </row>
    <row r="1905" customFormat="false" ht="15" hidden="false" customHeight="false" outlineLevel="0" collapsed="false">
      <c r="A1905" s="5" t="s">
        <v>477</v>
      </c>
      <c r="B1905" s="5" t="s">
        <v>51</v>
      </c>
      <c r="C1905" s="5" t="n">
        <v>2021</v>
      </c>
      <c r="D1905" s="5" t="s">
        <v>52</v>
      </c>
      <c r="E1905" s="5" t="s">
        <v>55</v>
      </c>
      <c r="F1905" s="5" t="s">
        <v>40</v>
      </c>
      <c r="G1905" s="6" t="n">
        <v>450</v>
      </c>
      <c r="H1905" s="6" t="n">
        <v>52</v>
      </c>
      <c r="I1905" s="7" t="n">
        <f aca="false">(G1905-H1905)/G1905</f>
        <v>0.884444444444445</v>
      </c>
      <c r="J1905" s="15" t="n">
        <v>0.2595</v>
      </c>
      <c r="K1905" s="11" t="str">
        <f aca="false">IF(I1905&lt;J1905,"TAK","NIE")</f>
        <v>NIE</v>
      </c>
    </row>
    <row r="1906" customFormat="false" ht="15" hidden="false" customHeight="false" outlineLevel="0" collapsed="false">
      <c r="A1906" s="5" t="s">
        <v>478</v>
      </c>
      <c r="B1906" s="5" t="s">
        <v>51</v>
      </c>
      <c r="C1906" s="5" t="n">
        <v>2021</v>
      </c>
      <c r="D1906" s="5" t="s">
        <v>52</v>
      </c>
      <c r="E1906" s="5" t="s">
        <v>55</v>
      </c>
      <c r="F1906" s="5" t="s">
        <v>40</v>
      </c>
      <c r="G1906" s="6" t="n">
        <v>443</v>
      </c>
      <c r="H1906" s="6" t="n">
        <v>168</v>
      </c>
      <c r="I1906" s="7" t="n">
        <f aca="false">(G1906-H1906)/G1906</f>
        <v>0.620767494356659</v>
      </c>
      <c r="J1906" s="15" t="n">
        <v>0.2595</v>
      </c>
      <c r="K1906" s="11" t="str">
        <f aca="false">IF(I1906&lt;J1906,"TAK","NIE")</f>
        <v>NIE</v>
      </c>
    </row>
    <row r="1907" customFormat="false" ht="15" hidden="false" customHeight="false" outlineLevel="0" collapsed="false">
      <c r="A1907" s="5" t="s">
        <v>479</v>
      </c>
      <c r="B1907" s="5" t="s">
        <v>51</v>
      </c>
      <c r="C1907" s="5" t="n">
        <v>2021</v>
      </c>
      <c r="D1907" s="5" t="s">
        <v>52</v>
      </c>
      <c r="E1907" s="5" t="s">
        <v>55</v>
      </c>
      <c r="F1907" s="5" t="s">
        <v>40</v>
      </c>
      <c r="G1907" s="6" t="n">
        <v>450</v>
      </c>
      <c r="H1907" s="6" t="n">
        <v>73</v>
      </c>
      <c r="I1907" s="7" t="n">
        <f aca="false">(G1907-H1907)/G1907</f>
        <v>0.837777777777778</v>
      </c>
      <c r="J1907" s="15" t="n">
        <v>0.2595</v>
      </c>
      <c r="K1907" s="11" t="str">
        <f aca="false">IF(I1907&lt;J1907,"TAK","NIE")</f>
        <v>NIE</v>
      </c>
    </row>
    <row r="1908" customFormat="false" ht="15" hidden="false" customHeight="false" outlineLevel="0" collapsed="false">
      <c r="A1908" s="5" t="s">
        <v>480</v>
      </c>
      <c r="B1908" s="5" t="s">
        <v>51</v>
      </c>
      <c r="C1908" s="5" t="n">
        <v>2021</v>
      </c>
      <c r="D1908" s="5" t="s">
        <v>52</v>
      </c>
      <c r="E1908" s="5" t="s">
        <v>55</v>
      </c>
      <c r="F1908" s="5" t="s">
        <v>40</v>
      </c>
      <c r="G1908" s="6" t="n">
        <v>442</v>
      </c>
      <c r="H1908" s="6" t="n">
        <v>192</v>
      </c>
      <c r="I1908" s="7" t="n">
        <f aca="false">(G1908-H1908)/G1908</f>
        <v>0.565610859728507</v>
      </c>
      <c r="J1908" s="15" t="n">
        <v>0.2595</v>
      </c>
      <c r="K1908" s="11" t="str">
        <f aca="false">IF(I1908&lt;J1908,"TAK","NIE")</f>
        <v>NIE</v>
      </c>
    </row>
    <row r="1909" customFormat="false" ht="15" hidden="false" customHeight="false" outlineLevel="0" collapsed="false">
      <c r="A1909" s="5" t="s">
        <v>481</v>
      </c>
      <c r="B1909" s="5" t="s">
        <v>51</v>
      </c>
      <c r="C1909" s="5" t="n">
        <v>2021</v>
      </c>
      <c r="D1909" s="5" t="s">
        <v>52</v>
      </c>
      <c r="E1909" s="5" t="s">
        <v>55</v>
      </c>
      <c r="F1909" s="5" t="s">
        <v>40</v>
      </c>
      <c r="G1909" s="6" t="n">
        <v>450</v>
      </c>
      <c r="H1909" s="6" t="n">
        <v>71</v>
      </c>
      <c r="I1909" s="7" t="n">
        <f aca="false">(G1909-H1909)/G1909</f>
        <v>0.842222222222222</v>
      </c>
      <c r="J1909" s="15" t="n">
        <v>0.2595</v>
      </c>
      <c r="K1909" s="11" t="str">
        <f aca="false">IF(I1909&lt;J1909,"TAK","NIE")</f>
        <v>NIE</v>
      </c>
    </row>
    <row r="1910" customFormat="false" ht="15" hidden="false" customHeight="false" outlineLevel="0" collapsed="false">
      <c r="A1910" s="5" t="s">
        <v>482</v>
      </c>
      <c r="B1910" s="5" t="s">
        <v>51</v>
      </c>
      <c r="C1910" s="5" t="n">
        <v>2021</v>
      </c>
      <c r="D1910" s="5" t="s">
        <v>52</v>
      </c>
      <c r="E1910" s="5" t="s">
        <v>55</v>
      </c>
      <c r="F1910" s="5" t="s">
        <v>40</v>
      </c>
      <c r="G1910" s="6" t="n">
        <v>450</v>
      </c>
      <c r="H1910" s="6" t="n">
        <v>152</v>
      </c>
      <c r="I1910" s="7" t="n">
        <f aca="false">(G1910-H1910)/G1910</f>
        <v>0.662222222222222</v>
      </c>
      <c r="J1910" s="15" t="n">
        <v>0.2595</v>
      </c>
      <c r="K1910" s="11" t="str">
        <f aca="false">IF(I1910&lt;J1910,"TAK","NIE")</f>
        <v>NIE</v>
      </c>
    </row>
    <row r="1911" customFormat="false" ht="15" hidden="false" customHeight="false" outlineLevel="0" collapsed="false">
      <c r="A1911" s="5" t="s">
        <v>483</v>
      </c>
      <c r="B1911" s="5" t="s">
        <v>51</v>
      </c>
      <c r="C1911" s="5" t="n">
        <v>2021</v>
      </c>
      <c r="D1911" s="5" t="s">
        <v>52</v>
      </c>
      <c r="E1911" s="5" t="s">
        <v>55</v>
      </c>
      <c r="F1911" s="5" t="s">
        <v>40</v>
      </c>
      <c r="G1911" s="6" t="n">
        <v>442</v>
      </c>
      <c r="H1911" s="6" t="n">
        <v>175</v>
      </c>
      <c r="I1911" s="7" t="n">
        <f aca="false">(G1911-H1911)/G1911</f>
        <v>0.604072398190045</v>
      </c>
      <c r="J1911" s="15" t="n">
        <v>0.2595</v>
      </c>
      <c r="K1911" s="11" t="str">
        <f aca="false">IF(I1911&lt;J1911,"TAK","NIE")</f>
        <v>NIE</v>
      </c>
    </row>
    <row r="1912" customFormat="false" ht="15" hidden="false" customHeight="false" outlineLevel="0" collapsed="false">
      <c r="A1912" s="5" t="s">
        <v>484</v>
      </c>
      <c r="B1912" s="5" t="s">
        <v>51</v>
      </c>
      <c r="C1912" s="5" t="n">
        <v>2021</v>
      </c>
      <c r="D1912" s="5" t="s">
        <v>52</v>
      </c>
      <c r="E1912" s="5" t="s">
        <v>55</v>
      </c>
      <c r="F1912" s="5" t="s">
        <v>40</v>
      </c>
      <c r="G1912" s="6" t="n">
        <v>450</v>
      </c>
      <c r="H1912" s="6" t="n">
        <v>58</v>
      </c>
      <c r="I1912" s="7" t="n">
        <f aca="false">(G1912-H1912)/G1912</f>
        <v>0.871111111111111</v>
      </c>
      <c r="J1912" s="15" t="n">
        <v>0.2595</v>
      </c>
      <c r="K1912" s="11" t="str">
        <f aca="false">IF(I1912&lt;J1912,"TAK","NIE")</f>
        <v>NIE</v>
      </c>
    </row>
    <row r="1913" customFormat="false" ht="15" hidden="false" customHeight="false" outlineLevel="0" collapsed="false">
      <c r="A1913" s="5" t="s">
        <v>485</v>
      </c>
      <c r="B1913" s="5" t="s">
        <v>51</v>
      </c>
      <c r="C1913" s="5" t="n">
        <v>2021</v>
      </c>
      <c r="D1913" s="5" t="s">
        <v>52</v>
      </c>
      <c r="E1913" s="5" t="s">
        <v>55</v>
      </c>
      <c r="F1913" s="5" t="s">
        <v>40</v>
      </c>
      <c r="G1913" s="6" t="n">
        <v>421</v>
      </c>
      <c r="H1913" s="6" t="n">
        <v>121</v>
      </c>
      <c r="I1913" s="7" t="n">
        <f aca="false">(G1913-H1913)/G1913</f>
        <v>0.712589073634204</v>
      </c>
      <c r="J1913" s="15" t="n">
        <v>0.2595</v>
      </c>
      <c r="K1913" s="11" t="str">
        <f aca="false">IF(I1913&lt;J1913,"TAK","NIE")</f>
        <v>NIE</v>
      </c>
    </row>
    <row r="1914" customFormat="false" ht="15" hidden="false" customHeight="false" outlineLevel="0" collapsed="false">
      <c r="A1914" s="5" t="s">
        <v>486</v>
      </c>
      <c r="B1914" s="5" t="s">
        <v>51</v>
      </c>
      <c r="C1914" s="5" t="n">
        <v>2021</v>
      </c>
      <c r="D1914" s="5" t="s">
        <v>52</v>
      </c>
      <c r="E1914" s="5" t="s">
        <v>55</v>
      </c>
      <c r="F1914" s="5" t="s">
        <v>40</v>
      </c>
      <c r="G1914" s="6" t="n">
        <v>443</v>
      </c>
      <c r="H1914" s="6" t="n">
        <v>183</v>
      </c>
      <c r="I1914" s="7" t="n">
        <f aca="false">(G1914-H1914)/G1914</f>
        <v>0.586907449209932</v>
      </c>
      <c r="J1914" s="15" t="n">
        <v>0.2595</v>
      </c>
      <c r="K1914" s="11" t="str">
        <f aca="false">IF(I1914&lt;J1914,"TAK","NIE")</f>
        <v>NIE</v>
      </c>
    </row>
    <row r="1915" customFormat="false" ht="15" hidden="false" customHeight="false" outlineLevel="0" collapsed="false">
      <c r="A1915" s="5" t="s">
        <v>487</v>
      </c>
      <c r="B1915" s="5" t="s">
        <v>51</v>
      </c>
      <c r="C1915" s="5" t="n">
        <v>2021</v>
      </c>
      <c r="D1915" s="5" t="s">
        <v>52</v>
      </c>
      <c r="E1915" s="5" t="s">
        <v>55</v>
      </c>
      <c r="F1915" s="5" t="s">
        <v>40</v>
      </c>
      <c r="G1915" s="6" t="n">
        <v>442</v>
      </c>
      <c r="H1915" s="6" t="n">
        <v>168</v>
      </c>
      <c r="I1915" s="7" t="n">
        <f aca="false">(G1915-H1915)/G1915</f>
        <v>0.619909502262444</v>
      </c>
      <c r="J1915" s="15" t="n">
        <v>0.2595</v>
      </c>
      <c r="K1915" s="11" t="str">
        <f aca="false">IF(I1915&lt;J1915,"TAK","NIE")</f>
        <v>NIE</v>
      </c>
    </row>
    <row r="1916" customFormat="false" ht="15" hidden="false" customHeight="false" outlineLevel="0" collapsed="false">
      <c r="A1916" s="5" t="s">
        <v>460</v>
      </c>
      <c r="B1916" s="5" t="s">
        <v>53</v>
      </c>
      <c r="C1916" s="5" t="n">
        <v>2021</v>
      </c>
      <c r="D1916" s="5" t="s">
        <v>52</v>
      </c>
      <c r="E1916" s="5" t="s">
        <v>57</v>
      </c>
      <c r="F1916" s="5" t="s">
        <v>39</v>
      </c>
      <c r="G1916" s="6" t="n">
        <v>600</v>
      </c>
      <c r="H1916" s="6" t="n">
        <v>148</v>
      </c>
      <c r="I1916" s="7" t="n">
        <f aca="false">(G1916-H1916)/G1916</f>
        <v>0.753333333333333</v>
      </c>
      <c r="J1916" s="15" t="n">
        <v>0.5763</v>
      </c>
      <c r="K1916" s="11" t="str">
        <f aca="false">IF(I1916&lt;J1916,"TAK","NIE")</f>
        <v>NIE</v>
      </c>
    </row>
    <row r="1917" customFormat="false" ht="15" hidden="false" customHeight="false" outlineLevel="0" collapsed="false">
      <c r="A1917" s="5" t="s">
        <v>461</v>
      </c>
      <c r="B1917" s="5" t="s">
        <v>53</v>
      </c>
      <c r="C1917" s="5" t="n">
        <v>2021</v>
      </c>
      <c r="D1917" s="5" t="s">
        <v>52</v>
      </c>
      <c r="E1917" s="5" t="s">
        <v>57</v>
      </c>
      <c r="F1917" s="5" t="s">
        <v>39</v>
      </c>
      <c r="G1917" s="6" t="n">
        <v>627</v>
      </c>
      <c r="H1917" s="6" t="n">
        <v>131</v>
      </c>
      <c r="I1917" s="7" t="n">
        <f aca="false">(G1917-H1917)/G1917</f>
        <v>0.791068580542265</v>
      </c>
      <c r="J1917" s="15" t="n">
        <v>0.5763</v>
      </c>
      <c r="K1917" s="11" t="str">
        <f aca="false">IF(I1917&lt;J1917,"TAK","NIE")</f>
        <v>NIE</v>
      </c>
    </row>
    <row r="1918" customFormat="false" ht="15" hidden="false" customHeight="false" outlineLevel="0" collapsed="false">
      <c r="A1918" s="5" t="s">
        <v>462</v>
      </c>
      <c r="B1918" s="5" t="s">
        <v>53</v>
      </c>
      <c r="C1918" s="5" t="n">
        <v>2021</v>
      </c>
      <c r="D1918" s="5" t="s">
        <v>52</v>
      </c>
      <c r="E1918" s="5" t="s">
        <v>57</v>
      </c>
      <c r="F1918" s="5" t="s">
        <v>39</v>
      </c>
      <c r="G1918" s="6" t="n">
        <v>611</v>
      </c>
      <c r="H1918" s="6" t="n">
        <v>101</v>
      </c>
      <c r="I1918" s="7" t="n">
        <f aca="false">(G1918-H1918)/G1918</f>
        <v>0.834697217675941</v>
      </c>
      <c r="J1918" s="15" t="n">
        <v>0.5763</v>
      </c>
      <c r="K1918" s="11" t="str">
        <f aca="false">IF(I1918&lt;J1918,"TAK","NIE")</f>
        <v>NIE</v>
      </c>
    </row>
    <row r="1919" customFormat="false" ht="15" hidden="false" customHeight="false" outlineLevel="0" collapsed="false">
      <c r="A1919" s="5" t="s">
        <v>463</v>
      </c>
      <c r="B1919" s="5" t="s">
        <v>53</v>
      </c>
      <c r="C1919" s="5" t="n">
        <v>2021</v>
      </c>
      <c r="D1919" s="5" t="s">
        <v>52</v>
      </c>
      <c r="E1919" s="5" t="s">
        <v>57</v>
      </c>
      <c r="F1919" s="5" t="s">
        <v>39</v>
      </c>
      <c r="G1919" s="6" t="n">
        <v>627</v>
      </c>
      <c r="H1919" s="6" t="n">
        <v>189</v>
      </c>
      <c r="I1919" s="7" t="n">
        <f aca="false">(G1919-H1919)/G1919</f>
        <v>0.698564593301435</v>
      </c>
      <c r="J1919" s="15" t="n">
        <v>0.5763</v>
      </c>
      <c r="K1919" s="11" t="str">
        <f aca="false">IF(I1919&lt;J1919,"TAK","NIE")</f>
        <v>NIE</v>
      </c>
    </row>
    <row r="1920" customFormat="false" ht="15" hidden="false" customHeight="false" outlineLevel="0" collapsed="false">
      <c r="A1920" s="5" t="s">
        <v>464</v>
      </c>
      <c r="B1920" s="5" t="s">
        <v>53</v>
      </c>
      <c r="C1920" s="5" t="n">
        <v>2021</v>
      </c>
      <c r="D1920" s="5" t="s">
        <v>52</v>
      </c>
      <c r="E1920" s="5" t="s">
        <v>57</v>
      </c>
      <c r="F1920" s="5" t="s">
        <v>39</v>
      </c>
      <c r="G1920" s="6" t="n">
        <v>638</v>
      </c>
      <c r="H1920" s="6" t="n">
        <v>176</v>
      </c>
      <c r="I1920" s="7" t="n">
        <f aca="false">(G1920-H1920)/G1920</f>
        <v>0.724137931034483</v>
      </c>
      <c r="J1920" s="15" t="n">
        <v>0.5763</v>
      </c>
      <c r="K1920" s="11" t="str">
        <f aca="false">IF(I1920&lt;J1920,"TAK","NIE")</f>
        <v>NIE</v>
      </c>
    </row>
    <row r="1921" customFormat="false" ht="15" hidden="false" customHeight="false" outlineLevel="0" collapsed="false">
      <c r="A1921" s="5" t="s">
        <v>465</v>
      </c>
      <c r="B1921" s="5" t="s">
        <v>53</v>
      </c>
      <c r="C1921" s="5" t="n">
        <v>2021</v>
      </c>
      <c r="D1921" s="5" t="s">
        <v>52</v>
      </c>
      <c r="E1921" s="5" t="s">
        <v>57</v>
      </c>
      <c r="F1921" s="5" t="s">
        <v>39</v>
      </c>
      <c r="G1921" s="6" t="n">
        <v>638</v>
      </c>
      <c r="H1921" s="6" t="n">
        <v>82</v>
      </c>
      <c r="I1921" s="7" t="n">
        <f aca="false">(G1921-H1921)/G1921</f>
        <v>0.871473354231975</v>
      </c>
      <c r="J1921" s="15" t="n">
        <v>0.5763</v>
      </c>
      <c r="K1921" s="11" t="str">
        <f aca="false">IF(I1921&lt;J1921,"TAK","NIE")</f>
        <v>NIE</v>
      </c>
    </row>
    <row r="1922" customFormat="false" ht="15" hidden="false" customHeight="false" outlineLevel="0" collapsed="false">
      <c r="A1922" s="5" t="s">
        <v>466</v>
      </c>
      <c r="B1922" s="5" t="s">
        <v>53</v>
      </c>
      <c r="C1922" s="5" t="n">
        <v>2021</v>
      </c>
      <c r="D1922" s="5" t="s">
        <v>52</v>
      </c>
      <c r="E1922" s="5" t="s">
        <v>57</v>
      </c>
      <c r="F1922" s="5" t="s">
        <v>39</v>
      </c>
      <c r="G1922" s="6" t="n">
        <v>600</v>
      </c>
      <c r="H1922" s="6" t="n">
        <v>183</v>
      </c>
      <c r="I1922" s="7" t="n">
        <f aca="false">(G1922-H1922)/G1922</f>
        <v>0.695</v>
      </c>
      <c r="J1922" s="15" t="n">
        <v>0.5763</v>
      </c>
      <c r="K1922" s="11" t="str">
        <f aca="false">IF(I1922&lt;J1922,"TAK","NIE")</f>
        <v>NIE</v>
      </c>
    </row>
    <row r="1923" customFormat="false" ht="15" hidden="false" customHeight="false" outlineLevel="0" collapsed="false">
      <c r="A1923" s="5" t="s">
        <v>468</v>
      </c>
      <c r="B1923" s="5" t="s">
        <v>53</v>
      </c>
      <c r="C1923" s="5" t="n">
        <v>2021</v>
      </c>
      <c r="D1923" s="5" t="s">
        <v>52</v>
      </c>
      <c r="E1923" s="5" t="s">
        <v>57</v>
      </c>
      <c r="F1923" s="5" t="s">
        <v>39</v>
      </c>
      <c r="G1923" s="6" t="n">
        <v>627</v>
      </c>
      <c r="H1923" s="6" t="n">
        <v>154</v>
      </c>
      <c r="I1923" s="7" t="n">
        <f aca="false">(G1923-H1923)/G1923</f>
        <v>0.754385964912281</v>
      </c>
      <c r="J1923" s="15" t="n">
        <v>0.5763</v>
      </c>
      <c r="K1923" s="11" t="str">
        <f aca="false">IF(I1923&lt;J1923,"TAK","NIE")</f>
        <v>NIE</v>
      </c>
    </row>
    <row r="1924" customFormat="false" ht="15" hidden="false" customHeight="false" outlineLevel="0" collapsed="false">
      <c r="A1924" s="5" t="s">
        <v>469</v>
      </c>
      <c r="B1924" s="5" t="s">
        <v>53</v>
      </c>
      <c r="C1924" s="5" t="n">
        <v>2021</v>
      </c>
      <c r="D1924" s="5" t="s">
        <v>52</v>
      </c>
      <c r="E1924" s="5" t="s">
        <v>57</v>
      </c>
      <c r="F1924" s="5" t="s">
        <v>39</v>
      </c>
      <c r="G1924" s="6" t="n">
        <v>638</v>
      </c>
      <c r="H1924" s="6" t="n">
        <v>80</v>
      </c>
      <c r="I1924" s="7" t="n">
        <f aca="false">(G1924-H1924)/G1924</f>
        <v>0.874608150470219</v>
      </c>
      <c r="J1924" s="15" t="n">
        <v>0.5763</v>
      </c>
      <c r="K1924" s="11" t="str">
        <f aca="false">IF(I1924&lt;J1924,"TAK","NIE")</f>
        <v>NIE</v>
      </c>
    </row>
    <row r="1925" customFormat="false" ht="15" hidden="false" customHeight="false" outlineLevel="0" collapsed="false">
      <c r="A1925" s="5" t="s">
        <v>470</v>
      </c>
      <c r="B1925" s="5" t="s">
        <v>53</v>
      </c>
      <c r="C1925" s="5" t="n">
        <v>2021</v>
      </c>
      <c r="D1925" s="5" t="s">
        <v>52</v>
      </c>
      <c r="E1925" s="5" t="s">
        <v>57</v>
      </c>
      <c r="F1925" s="5" t="s">
        <v>39</v>
      </c>
      <c r="G1925" s="6" t="n">
        <v>638</v>
      </c>
      <c r="H1925" s="6" t="n">
        <v>117</v>
      </c>
      <c r="I1925" s="7" t="n">
        <f aca="false">(G1925-H1925)/G1925</f>
        <v>0.816614420062696</v>
      </c>
      <c r="J1925" s="15" t="n">
        <v>0.5763</v>
      </c>
      <c r="K1925" s="11" t="str">
        <f aca="false">IF(I1925&lt;J1925,"TAK","NIE")</f>
        <v>NIE</v>
      </c>
    </row>
    <row r="1926" customFormat="false" ht="15" hidden="false" customHeight="false" outlineLevel="0" collapsed="false">
      <c r="A1926" s="5" t="s">
        <v>472</v>
      </c>
      <c r="B1926" s="5" t="s">
        <v>53</v>
      </c>
      <c r="C1926" s="5" t="n">
        <v>2021</v>
      </c>
      <c r="D1926" s="5" t="s">
        <v>52</v>
      </c>
      <c r="E1926" s="5" t="s">
        <v>57</v>
      </c>
      <c r="F1926" s="5" t="s">
        <v>39</v>
      </c>
      <c r="G1926" s="6" t="n">
        <v>627</v>
      </c>
      <c r="H1926" s="6" t="n">
        <v>174</v>
      </c>
      <c r="I1926" s="7" t="n">
        <f aca="false">(G1926-H1926)/G1926</f>
        <v>0.722488038277512</v>
      </c>
      <c r="J1926" s="15" t="n">
        <v>0.5763</v>
      </c>
      <c r="K1926" s="11" t="str">
        <f aca="false">IF(I1926&lt;J1926,"TAK","NIE")</f>
        <v>NIE</v>
      </c>
    </row>
    <row r="1927" customFormat="false" ht="15" hidden="false" customHeight="false" outlineLevel="0" collapsed="false">
      <c r="A1927" s="5" t="s">
        <v>473</v>
      </c>
      <c r="B1927" s="5" t="s">
        <v>53</v>
      </c>
      <c r="C1927" s="5" t="n">
        <v>2021</v>
      </c>
      <c r="D1927" s="5" t="s">
        <v>52</v>
      </c>
      <c r="E1927" s="5" t="s">
        <v>57</v>
      </c>
      <c r="F1927" s="5" t="s">
        <v>39</v>
      </c>
      <c r="G1927" s="6" t="n">
        <v>638</v>
      </c>
      <c r="H1927" s="6" t="n">
        <v>199</v>
      </c>
      <c r="I1927" s="7" t="n">
        <f aca="false">(G1927-H1927)/G1927</f>
        <v>0.688087774294671</v>
      </c>
      <c r="J1927" s="15" t="n">
        <v>0.5763</v>
      </c>
      <c r="K1927" s="11" t="str">
        <f aca="false">IF(I1927&lt;J1927,"TAK","NIE")</f>
        <v>NIE</v>
      </c>
    </row>
    <row r="1928" customFormat="false" ht="15" hidden="false" customHeight="false" outlineLevel="0" collapsed="false">
      <c r="A1928" s="5" t="s">
        <v>474</v>
      </c>
      <c r="B1928" s="5" t="s">
        <v>53</v>
      </c>
      <c r="C1928" s="5" t="n">
        <v>2021</v>
      </c>
      <c r="D1928" s="5" t="s">
        <v>52</v>
      </c>
      <c r="E1928" s="5" t="s">
        <v>57</v>
      </c>
      <c r="F1928" s="5" t="s">
        <v>39</v>
      </c>
      <c r="G1928" s="6" t="n">
        <v>611</v>
      </c>
      <c r="H1928" s="6" t="n">
        <v>81</v>
      </c>
      <c r="I1928" s="7" t="n">
        <f aca="false">(G1928-H1928)/G1928</f>
        <v>0.867430441898527</v>
      </c>
      <c r="J1928" s="15" t="n">
        <v>0.5763</v>
      </c>
      <c r="K1928" s="11" t="str">
        <f aca="false">IF(I1928&lt;J1928,"TAK","NIE")</f>
        <v>NIE</v>
      </c>
    </row>
    <row r="1929" customFormat="false" ht="15" hidden="false" customHeight="false" outlineLevel="0" collapsed="false">
      <c r="A1929" s="5" t="s">
        <v>475</v>
      </c>
      <c r="B1929" s="5" t="s">
        <v>53</v>
      </c>
      <c r="C1929" s="5" t="n">
        <v>2021</v>
      </c>
      <c r="D1929" s="5" t="s">
        <v>52</v>
      </c>
      <c r="E1929" s="5" t="s">
        <v>57</v>
      </c>
      <c r="F1929" s="5" t="s">
        <v>39</v>
      </c>
      <c r="G1929" s="6" t="n">
        <v>638</v>
      </c>
      <c r="H1929" s="6" t="n">
        <v>149</v>
      </c>
      <c r="I1929" s="7" t="n">
        <f aca="false">(G1929-H1929)/G1929</f>
        <v>0.766457680250784</v>
      </c>
      <c r="J1929" s="15" t="n">
        <v>0.5763</v>
      </c>
      <c r="K1929" s="11" t="str">
        <f aca="false">IF(I1929&lt;J1929,"TAK","NIE")</f>
        <v>NIE</v>
      </c>
    </row>
    <row r="1930" customFormat="false" ht="15" hidden="false" customHeight="false" outlineLevel="0" collapsed="false">
      <c r="A1930" s="5" t="s">
        <v>477</v>
      </c>
      <c r="B1930" s="5" t="s">
        <v>53</v>
      </c>
      <c r="C1930" s="5" t="n">
        <v>2021</v>
      </c>
      <c r="D1930" s="5" t="s">
        <v>52</v>
      </c>
      <c r="E1930" s="5" t="s">
        <v>57</v>
      </c>
      <c r="F1930" s="5" t="s">
        <v>39</v>
      </c>
      <c r="G1930" s="6" t="n">
        <v>638</v>
      </c>
      <c r="H1930" s="6" t="n">
        <v>115</v>
      </c>
      <c r="I1930" s="7" t="n">
        <f aca="false">(G1930-H1930)/G1930</f>
        <v>0.81974921630094</v>
      </c>
      <c r="J1930" s="15" t="n">
        <v>0.5763</v>
      </c>
      <c r="K1930" s="11" t="str">
        <f aca="false">IF(I1930&lt;J1930,"TAK","NIE")</f>
        <v>NIE</v>
      </c>
    </row>
    <row r="1931" customFormat="false" ht="15" hidden="false" customHeight="false" outlineLevel="0" collapsed="false">
      <c r="A1931" s="5" t="s">
        <v>478</v>
      </c>
      <c r="B1931" s="5" t="s">
        <v>53</v>
      </c>
      <c r="C1931" s="5" t="n">
        <v>2021</v>
      </c>
      <c r="D1931" s="5" t="s">
        <v>52</v>
      </c>
      <c r="E1931" s="5" t="s">
        <v>57</v>
      </c>
      <c r="F1931" s="5" t="s">
        <v>39</v>
      </c>
      <c r="G1931" s="6" t="n">
        <v>627</v>
      </c>
      <c r="H1931" s="6" t="n">
        <v>157</v>
      </c>
      <c r="I1931" s="7" t="n">
        <f aca="false">(G1931-H1931)/G1931</f>
        <v>0.749601275917065</v>
      </c>
      <c r="J1931" s="15" t="n">
        <v>0.5763</v>
      </c>
      <c r="K1931" s="11" t="str">
        <f aca="false">IF(I1931&lt;J1931,"TAK","NIE")</f>
        <v>NIE</v>
      </c>
    </row>
    <row r="1932" customFormat="false" ht="15" hidden="false" customHeight="false" outlineLevel="0" collapsed="false">
      <c r="A1932" s="5" t="s">
        <v>479</v>
      </c>
      <c r="B1932" s="5" t="s">
        <v>53</v>
      </c>
      <c r="C1932" s="5" t="n">
        <v>2021</v>
      </c>
      <c r="D1932" s="5" t="s">
        <v>52</v>
      </c>
      <c r="E1932" s="5" t="s">
        <v>57</v>
      </c>
      <c r="F1932" s="5" t="s">
        <v>39</v>
      </c>
      <c r="G1932" s="6" t="n">
        <v>638</v>
      </c>
      <c r="H1932" s="6" t="n">
        <v>147</v>
      </c>
      <c r="I1932" s="7" t="n">
        <f aca="false">(G1932-H1932)/G1932</f>
        <v>0.769592476489028</v>
      </c>
      <c r="J1932" s="15" t="n">
        <v>0.5763</v>
      </c>
      <c r="K1932" s="11" t="str">
        <f aca="false">IF(I1932&lt;J1932,"TAK","NIE")</f>
        <v>NIE</v>
      </c>
    </row>
    <row r="1933" customFormat="false" ht="15" hidden="false" customHeight="false" outlineLevel="0" collapsed="false">
      <c r="A1933" s="5" t="s">
        <v>480</v>
      </c>
      <c r="B1933" s="5" t="s">
        <v>53</v>
      </c>
      <c r="C1933" s="5" t="n">
        <v>2021</v>
      </c>
      <c r="D1933" s="5" t="s">
        <v>52</v>
      </c>
      <c r="E1933" s="5" t="s">
        <v>57</v>
      </c>
      <c r="F1933" s="5" t="s">
        <v>39</v>
      </c>
      <c r="G1933" s="6" t="n">
        <v>627</v>
      </c>
      <c r="H1933" s="6" t="n">
        <v>183</v>
      </c>
      <c r="I1933" s="7" t="n">
        <f aca="false">(G1933-H1933)/G1933</f>
        <v>0.708133971291866</v>
      </c>
      <c r="J1933" s="15" t="n">
        <v>0.5763</v>
      </c>
      <c r="K1933" s="11" t="str">
        <f aca="false">IF(I1933&lt;J1933,"TAK","NIE")</f>
        <v>NIE</v>
      </c>
    </row>
    <row r="1934" customFormat="false" ht="15" hidden="false" customHeight="false" outlineLevel="0" collapsed="false">
      <c r="A1934" s="5" t="s">
        <v>481</v>
      </c>
      <c r="B1934" s="5" t="s">
        <v>53</v>
      </c>
      <c r="C1934" s="5" t="n">
        <v>2021</v>
      </c>
      <c r="D1934" s="5" t="s">
        <v>52</v>
      </c>
      <c r="E1934" s="5" t="s">
        <v>57</v>
      </c>
      <c r="F1934" s="5" t="s">
        <v>39</v>
      </c>
      <c r="G1934" s="6" t="n">
        <v>638</v>
      </c>
      <c r="H1934" s="6" t="n">
        <v>1</v>
      </c>
      <c r="I1934" s="7" t="n">
        <f aca="false">(G1934-H1934)/G1934</f>
        <v>0.998432601880878</v>
      </c>
      <c r="J1934" s="15" t="n">
        <v>0.5763</v>
      </c>
      <c r="K1934" s="11" t="str">
        <f aca="false">IF(I1934&lt;J1934,"TAK","NIE")</f>
        <v>NIE</v>
      </c>
    </row>
    <row r="1935" customFormat="false" ht="15" hidden="false" customHeight="false" outlineLevel="0" collapsed="false">
      <c r="A1935" s="5" t="s">
        <v>482</v>
      </c>
      <c r="B1935" s="5" t="s">
        <v>53</v>
      </c>
      <c r="C1935" s="5" t="n">
        <v>2021</v>
      </c>
      <c r="D1935" s="5" t="s">
        <v>52</v>
      </c>
      <c r="E1935" s="5" t="s">
        <v>57</v>
      </c>
      <c r="F1935" s="5" t="s">
        <v>39</v>
      </c>
      <c r="G1935" s="6" t="n">
        <v>638</v>
      </c>
      <c r="H1935" s="6" t="n">
        <v>163</v>
      </c>
      <c r="I1935" s="7" t="n">
        <f aca="false">(G1935-H1935)/G1935</f>
        <v>0.744514106583072</v>
      </c>
      <c r="J1935" s="15" t="n">
        <v>0.5763</v>
      </c>
      <c r="K1935" s="11" t="str">
        <f aca="false">IF(I1935&lt;J1935,"TAK","NIE")</f>
        <v>NIE</v>
      </c>
    </row>
    <row r="1936" customFormat="false" ht="15" hidden="false" customHeight="false" outlineLevel="0" collapsed="false">
      <c r="A1936" s="5" t="s">
        <v>442</v>
      </c>
      <c r="B1936" s="5" t="s">
        <v>53</v>
      </c>
      <c r="C1936" s="5" t="n">
        <v>2021</v>
      </c>
      <c r="D1936" s="5" t="s">
        <v>52</v>
      </c>
      <c r="E1936" s="5" t="s">
        <v>57</v>
      </c>
      <c r="F1936" s="5" t="s">
        <v>39</v>
      </c>
      <c r="G1936" s="6" t="n">
        <v>319</v>
      </c>
      <c r="H1936" s="6" t="n">
        <v>257</v>
      </c>
      <c r="I1936" s="7" t="n">
        <f aca="false">(G1936-H1936)/G1936</f>
        <v>0.19435736677116</v>
      </c>
      <c r="J1936" s="15" t="n">
        <v>0.5763</v>
      </c>
      <c r="K1936" s="11" t="str">
        <f aca="false">IF(I1936&lt;J1936,"TAK","NIE")</f>
        <v>TAK</v>
      </c>
    </row>
    <row r="1937" customFormat="false" ht="15" hidden="false" customHeight="false" outlineLevel="0" collapsed="false">
      <c r="A1937" s="5" t="s">
        <v>483</v>
      </c>
      <c r="B1937" s="5" t="s">
        <v>53</v>
      </c>
      <c r="C1937" s="5" t="n">
        <v>2021</v>
      </c>
      <c r="D1937" s="5" t="s">
        <v>52</v>
      </c>
      <c r="E1937" s="5" t="s">
        <v>57</v>
      </c>
      <c r="F1937" s="5" t="s">
        <v>39</v>
      </c>
      <c r="G1937" s="6" t="n">
        <v>627</v>
      </c>
      <c r="H1937" s="6" t="n">
        <v>145</v>
      </c>
      <c r="I1937" s="7" t="n">
        <f aca="false">(G1937-H1937)/G1937</f>
        <v>0.768740031897927</v>
      </c>
      <c r="J1937" s="15" t="n">
        <v>0.5763</v>
      </c>
      <c r="K1937" s="11" t="str">
        <f aca="false">IF(I1937&lt;J1937,"TAK","NIE")</f>
        <v>NIE</v>
      </c>
    </row>
    <row r="1938" customFormat="false" ht="15" hidden="false" customHeight="false" outlineLevel="0" collapsed="false">
      <c r="A1938" s="5" t="s">
        <v>484</v>
      </c>
      <c r="B1938" s="5" t="s">
        <v>53</v>
      </c>
      <c r="C1938" s="5" t="n">
        <v>2021</v>
      </c>
      <c r="D1938" s="5" t="s">
        <v>52</v>
      </c>
      <c r="E1938" s="5" t="s">
        <v>57</v>
      </c>
      <c r="F1938" s="5" t="s">
        <v>39</v>
      </c>
      <c r="G1938" s="6" t="n">
        <v>638</v>
      </c>
      <c r="H1938" s="6" t="n">
        <v>22</v>
      </c>
      <c r="I1938" s="7" t="n">
        <f aca="false">(G1938-H1938)/G1938</f>
        <v>0.96551724137931</v>
      </c>
      <c r="J1938" s="15" t="n">
        <v>0.5763</v>
      </c>
      <c r="K1938" s="11" t="str">
        <f aca="false">IF(I1938&lt;J1938,"TAK","NIE")</f>
        <v>NIE</v>
      </c>
    </row>
    <row r="1939" customFormat="false" ht="15" hidden="false" customHeight="false" outlineLevel="0" collapsed="false">
      <c r="A1939" s="5" t="s">
        <v>485</v>
      </c>
      <c r="B1939" s="5" t="s">
        <v>53</v>
      </c>
      <c r="C1939" s="5" t="n">
        <v>2021</v>
      </c>
      <c r="D1939" s="5" t="s">
        <v>52</v>
      </c>
      <c r="E1939" s="5" t="s">
        <v>57</v>
      </c>
      <c r="F1939" s="5" t="s">
        <v>39</v>
      </c>
      <c r="G1939" s="6" t="n">
        <v>600</v>
      </c>
      <c r="H1939" s="6" t="n">
        <v>83</v>
      </c>
      <c r="I1939" s="7" t="n">
        <f aca="false">(G1939-H1939)/G1939</f>
        <v>0.861666666666667</v>
      </c>
      <c r="J1939" s="15" t="n">
        <v>0.5763</v>
      </c>
      <c r="K1939" s="11" t="str">
        <f aca="false">IF(I1939&lt;J1939,"TAK","NIE")</f>
        <v>NIE</v>
      </c>
    </row>
    <row r="1940" customFormat="false" ht="15" hidden="false" customHeight="false" outlineLevel="0" collapsed="false">
      <c r="A1940" s="5" t="s">
        <v>486</v>
      </c>
      <c r="B1940" s="5" t="s">
        <v>53</v>
      </c>
      <c r="C1940" s="5" t="n">
        <v>2021</v>
      </c>
      <c r="D1940" s="5" t="s">
        <v>52</v>
      </c>
      <c r="E1940" s="5" t="s">
        <v>57</v>
      </c>
      <c r="F1940" s="5" t="s">
        <v>39</v>
      </c>
      <c r="G1940" s="6" t="n">
        <v>627</v>
      </c>
      <c r="H1940" s="6" t="n">
        <v>148</v>
      </c>
      <c r="I1940" s="7" t="n">
        <f aca="false">(G1940-H1940)/G1940</f>
        <v>0.763955342902711</v>
      </c>
      <c r="J1940" s="15" t="n">
        <v>0.5763</v>
      </c>
      <c r="K1940" s="11" t="str">
        <f aca="false">IF(I1940&lt;J1940,"TAK","NIE")</f>
        <v>NIE</v>
      </c>
    </row>
    <row r="1941" customFormat="false" ht="15" hidden="false" customHeight="false" outlineLevel="0" collapsed="false">
      <c r="A1941" s="5" t="s">
        <v>487</v>
      </c>
      <c r="B1941" s="5" t="s">
        <v>53</v>
      </c>
      <c r="C1941" s="5" t="n">
        <v>2021</v>
      </c>
      <c r="D1941" s="5" t="s">
        <v>52</v>
      </c>
      <c r="E1941" s="5" t="s">
        <v>57</v>
      </c>
      <c r="F1941" s="5" t="s">
        <v>39</v>
      </c>
      <c r="G1941" s="6" t="n">
        <v>627</v>
      </c>
      <c r="H1941" s="6" t="n">
        <v>119</v>
      </c>
      <c r="I1941" s="7" t="n">
        <f aca="false">(G1941-H1941)/G1941</f>
        <v>0.810207336523126</v>
      </c>
      <c r="J1941" s="15" t="n">
        <v>0.5763</v>
      </c>
      <c r="K1941" s="11" t="str">
        <f aca="false">IF(I1941&lt;J1941,"TAK","NIE")</f>
        <v>NIE</v>
      </c>
    </row>
    <row r="1942" customFormat="false" ht="15" hidden="false" customHeight="false" outlineLevel="0" collapsed="false">
      <c r="A1942" s="5" t="s">
        <v>460</v>
      </c>
      <c r="B1942" s="5" t="s">
        <v>53</v>
      </c>
      <c r="C1942" s="5" t="n">
        <v>2021</v>
      </c>
      <c r="D1942" s="5" t="s">
        <v>52</v>
      </c>
      <c r="E1942" s="5" t="s">
        <v>57</v>
      </c>
      <c r="F1942" s="5" t="s">
        <v>40</v>
      </c>
      <c r="G1942" s="6" t="n">
        <v>570</v>
      </c>
      <c r="H1942" s="6" t="n">
        <v>228</v>
      </c>
      <c r="I1942" s="7" t="n">
        <f aca="false">(G1942-H1942)/G1942</f>
        <v>0.6</v>
      </c>
      <c r="J1942" s="15" t="n">
        <v>0.4416</v>
      </c>
      <c r="K1942" s="11" t="str">
        <f aca="false">IF(I1942&lt;J1942,"TAK","NIE")</f>
        <v>NIE</v>
      </c>
    </row>
    <row r="1943" customFormat="false" ht="15" hidden="false" customHeight="false" outlineLevel="0" collapsed="false">
      <c r="A1943" s="5" t="s">
        <v>461</v>
      </c>
      <c r="B1943" s="5" t="s">
        <v>53</v>
      </c>
      <c r="C1943" s="5" t="n">
        <v>2021</v>
      </c>
      <c r="D1943" s="5" t="s">
        <v>52</v>
      </c>
      <c r="E1943" s="5" t="s">
        <v>57</v>
      </c>
      <c r="F1943" s="5" t="s">
        <v>40</v>
      </c>
      <c r="G1943" s="6" t="n">
        <v>583</v>
      </c>
      <c r="H1943" s="6" t="n">
        <v>166</v>
      </c>
      <c r="I1943" s="7" t="n">
        <f aca="false">(G1943-H1943)/G1943</f>
        <v>0.715265866209263</v>
      </c>
      <c r="J1943" s="15" t="n">
        <v>0.4416</v>
      </c>
      <c r="K1943" s="11" t="str">
        <f aca="false">IF(I1943&lt;J1943,"TAK","NIE")</f>
        <v>NIE</v>
      </c>
    </row>
    <row r="1944" customFormat="false" ht="15" hidden="false" customHeight="false" outlineLevel="0" collapsed="false">
      <c r="A1944" s="5" t="s">
        <v>462</v>
      </c>
      <c r="B1944" s="5" t="s">
        <v>53</v>
      </c>
      <c r="C1944" s="5" t="n">
        <v>2021</v>
      </c>
      <c r="D1944" s="5" t="s">
        <v>52</v>
      </c>
      <c r="E1944" s="5" t="s">
        <v>57</v>
      </c>
      <c r="F1944" s="5" t="s">
        <v>40</v>
      </c>
      <c r="G1944" s="6" t="n">
        <v>592</v>
      </c>
      <c r="H1944" s="6" t="n">
        <v>160</v>
      </c>
      <c r="I1944" s="7" t="n">
        <f aca="false">(G1944-H1944)/G1944</f>
        <v>0.72972972972973</v>
      </c>
      <c r="J1944" s="15" t="n">
        <v>0.4416</v>
      </c>
      <c r="K1944" s="11" t="str">
        <f aca="false">IF(I1944&lt;J1944,"TAK","NIE")</f>
        <v>NIE</v>
      </c>
    </row>
    <row r="1945" customFormat="false" ht="15" hidden="false" customHeight="false" outlineLevel="0" collapsed="false">
      <c r="A1945" s="5" t="s">
        <v>463</v>
      </c>
      <c r="B1945" s="5" t="s">
        <v>53</v>
      </c>
      <c r="C1945" s="5" t="n">
        <v>2021</v>
      </c>
      <c r="D1945" s="5" t="s">
        <v>52</v>
      </c>
      <c r="E1945" s="5" t="s">
        <v>57</v>
      </c>
      <c r="F1945" s="5" t="s">
        <v>40</v>
      </c>
      <c r="G1945" s="6" t="n">
        <v>584</v>
      </c>
      <c r="H1945" s="6" t="n">
        <v>182</v>
      </c>
      <c r="I1945" s="7" t="n">
        <f aca="false">(G1945-H1945)/G1945</f>
        <v>0.688356164383562</v>
      </c>
      <c r="J1945" s="15" t="n">
        <v>0.4416</v>
      </c>
      <c r="K1945" s="11" t="str">
        <f aca="false">IF(I1945&lt;J1945,"TAK","NIE")</f>
        <v>NIE</v>
      </c>
    </row>
    <row r="1946" customFormat="false" ht="15" hidden="false" customHeight="false" outlineLevel="0" collapsed="false">
      <c r="A1946" s="5" t="s">
        <v>464</v>
      </c>
      <c r="B1946" s="5" t="s">
        <v>53</v>
      </c>
      <c r="C1946" s="5" t="n">
        <v>2021</v>
      </c>
      <c r="D1946" s="5" t="s">
        <v>52</v>
      </c>
      <c r="E1946" s="5" t="s">
        <v>57</v>
      </c>
      <c r="F1946" s="5" t="s">
        <v>40</v>
      </c>
      <c r="G1946" s="6" t="n">
        <v>613</v>
      </c>
      <c r="H1946" s="6" t="n">
        <v>318</v>
      </c>
      <c r="I1946" s="7" t="n">
        <f aca="false">(G1946-H1946)/G1946</f>
        <v>0.481239804241436</v>
      </c>
      <c r="J1946" s="15" t="n">
        <v>0.4416</v>
      </c>
      <c r="K1946" s="11" t="str">
        <f aca="false">IF(I1946&lt;J1946,"TAK","NIE")</f>
        <v>NIE</v>
      </c>
    </row>
    <row r="1947" customFormat="false" ht="15" hidden="false" customHeight="false" outlineLevel="0" collapsed="false">
      <c r="A1947" s="5" t="s">
        <v>465</v>
      </c>
      <c r="B1947" s="5" t="s">
        <v>53</v>
      </c>
      <c r="C1947" s="5" t="n">
        <v>2021</v>
      </c>
      <c r="D1947" s="5" t="s">
        <v>52</v>
      </c>
      <c r="E1947" s="5" t="s">
        <v>57</v>
      </c>
      <c r="F1947" s="5" t="s">
        <v>40</v>
      </c>
      <c r="G1947" s="6" t="n">
        <v>613</v>
      </c>
      <c r="H1947" s="6" t="n">
        <v>160</v>
      </c>
      <c r="I1947" s="7" t="n">
        <f aca="false">(G1947-H1947)/G1947</f>
        <v>0.738988580750408</v>
      </c>
      <c r="J1947" s="15" t="n">
        <v>0.4416</v>
      </c>
      <c r="K1947" s="11" t="str">
        <f aca="false">IF(I1947&lt;J1947,"TAK","NIE")</f>
        <v>NIE</v>
      </c>
    </row>
    <row r="1948" customFormat="false" ht="15" hidden="false" customHeight="false" outlineLevel="0" collapsed="false">
      <c r="A1948" s="5" t="s">
        <v>466</v>
      </c>
      <c r="B1948" s="5" t="s">
        <v>53</v>
      </c>
      <c r="C1948" s="5" t="n">
        <v>2021</v>
      </c>
      <c r="D1948" s="5" t="s">
        <v>52</v>
      </c>
      <c r="E1948" s="5" t="s">
        <v>57</v>
      </c>
      <c r="F1948" s="5" t="s">
        <v>40</v>
      </c>
      <c r="G1948" s="6" t="n">
        <v>564</v>
      </c>
      <c r="H1948" s="6" t="n">
        <v>176</v>
      </c>
      <c r="I1948" s="7" t="n">
        <f aca="false">(G1948-H1948)/G1948</f>
        <v>0.687943262411348</v>
      </c>
      <c r="J1948" s="15" t="n">
        <v>0.4416</v>
      </c>
      <c r="K1948" s="11" t="str">
        <f aca="false">IF(I1948&lt;J1948,"TAK","NIE")</f>
        <v>NIE</v>
      </c>
    </row>
    <row r="1949" customFormat="false" ht="15" hidden="false" customHeight="false" outlineLevel="0" collapsed="false">
      <c r="A1949" s="5" t="s">
        <v>468</v>
      </c>
      <c r="B1949" s="5" t="s">
        <v>53</v>
      </c>
      <c r="C1949" s="5" t="n">
        <v>2021</v>
      </c>
      <c r="D1949" s="5" t="s">
        <v>52</v>
      </c>
      <c r="E1949" s="5" t="s">
        <v>57</v>
      </c>
      <c r="F1949" s="5" t="s">
        <v>40</v>
      </c>
      <c r="G1949" s="6" t="n">
        <v>585</v>
      </c>
      <c r="H1949" s="6" t="n">
        <v>255</v>
      </c>
      <c r="I1949" s="7" t="n">
        <f aca="false">(G1949-H1949)/G1949</f>
        <v>0.564102564102564</v>
      </c>
      <c r="J1949" s="15" t="n">
        <v>0.4416</v>
      </c>
      <c r="K1949" s="11" t="str">
        <f aca="false">IF(I1949&lt;J1949,"TAK","NIE")</f>
        <v>NIE</v>
      </c>
    </row>
    <row r="1950" customFormat="false" ht="15" hidden="false" customHeight="false" outlineLevel="0" collapsed="false">
      <c r="A1950" s="5" t="s">
        <v>469</v>
      </c>
      <c r="B1950" s="5" t="s">
        <v>53</v>
      </c>
      <c r="C1950" s="5" t="n">
        <v>2021</v>
      </c>
      <c r="D1950" s="5" t="s">
        <v>52</v>
      </c>
      <c r="E1950" s="5" t="s">
        <v>57</v>
      </c>
      <c r="F1950" s="5" t="s">
        <v>40</v>
      </c>
      <c r="G1950" s="6" t="n">
        <v>613</v>
      </c>
      <c r="H1950" s="6" t="n">
        <v>159</v>
      </c>
      <c r="I1950" s="7" t="n">
        <f aca="false">(G1950-H1950)/G1950</f>
        <v>0.740619902120718</v>
      </c>
      <c r="J1950" s="15" t="n">
        <v>0.4416</v>
      </c>
      <c r="K1950" s="11" t="str">
        <f aca="false">IF(I1950&lt;J1950,"TAK","NIE")</f>
        <v>NIE</v>
      </c>
    </row>
    <row r="1951" customFormat="false" ht="15" hidden="false" customHeight="false" outlineLevel="0" collapsed="false">
      <c r="A1951" s="5" t="s">
        <v>470</v>
      </c>
      <c r="B1951" s="5" t="s">
        <v>53</v>
      </c>
      <c r="C1951" s="5" t="n">
        <v>2021</v>
      </c>
      <c r="D1951" s="5" t="s">
        <v>52</v>
      </c>
      <c r="E1951" s="5" t="s">
        <v>57</v>
      </c>
      <c r="F1951" s="5" t="s">
        <v>40</v>
      </c>
      <c r="G1951" s="6" t="n">
        <v>613</v>
      </c>
      <c r="H1951" s="6" t="n">
        <v>247</v>
      </c>
      <c r="I1951" s="7" t="n">
        <f aca="false">(G1951-H1951)/G1951</f>
        <v>0.597063621533442</v>
      </c>
      <c r="J1951" s="15" t="n">
        <v>0.4416</v>
      </c>
      <c r="K1951" s="11" t="str">
        <f aca="false">IF(I1951&lt;J1951,"TAK","NIE")</f>
        <v>NIE</v>
      </c>
    </row>
    <row r="1952" customFormat="false" ht="15" hidden="false" customHeight="false" outlineLevel="0" collapsed="false">
      <c r="A1952" s="5" t="s">
        <v>472</v>
      </c>
      <c r="B1952" s="5" t="s">
        <v>53</v>
      </c>
      <c r="C1952" s="5" t="n">
        <v>2021</v>
      </c>
      <c r="D1952" s="5" t="s">
        <v>52</v>
      </c>
      <c r="E1952" s="5" t="s">
        <v>57</v>
      </c>
      <c r="F1952" s="5" t="s">
        <v>40</v>
      </c>
      <c r="G1952" s="6" t="n">
        <v>584</v>
      </c>
      <c r="H1952" s="6" t="n">
        <v>231</v>
      </c>
      <c r="I1952" s="7" t="n">
        <f aca="false">(G1952-H1952)/G1952</f>
        <v>0.604452054794521</v>
      </c>
      <c r="J1952" s="15" t="n">
        <v>0.4416</v>
      </c>
      <c r="K1952" s="11" t="str">
        <f aca="false">IF(I1952&lt;J1952,"TAK","NIE")</f>
        <v>NIE</v>
      </c>
    </row>
    <row r="1953" customFormat="false" ht="15" hidden="false" customHeight="false" outlineLevel="0" collapsed="false">
      <c r="A1953" s="5" t="s">
        <v>473</v>
      </c>
      <c r="B1953" s="5" t="s">
        <v>53</v>
      </c>
      <c r="C1953" s="5" t="n">
        <v>2021</v>
      </c>
      <c r="D1953" s="5" t="s">
        <v>52</v>
      </c>
      <c r="E1953" s="5" t="s">
        <v>57</v>
      </c>
      <c r="F1953" s="5" t="s">
        <v>40</v>
      </c>
      <c r="G1953" s="6" t="n">
        <v>613</v>
      </c>
      <c r="H1953" s="6" t="n">
        <v>283</v>
      </c>
      <c r="I1953" s="7" t="n">
        <f aca="false">(G1953-H1953)/G1953</f>
        <v>0.538336052202284</v>
      </c>
      <c r="J1953" s="15" t="n">
        <v>0.4416</v>
      </c>
      <c r="K1953" s="11" t="str">
        <f aca="false">IF(I1953&lt;J1953,"TAK","NIE")</f>
        <v>NIE</v>
      </c>
    </row>
    <row r="1954" customFormat="false" ht="15" hidden="false" customHeight="false" outlineLevel="0" collapsed="false">
      <c r="A1954" s="5" t="s">
        <v>474</v>
      </c>
      <c r="B1954" s="5" t="s">
        <v>53</v>
      </c>
      <c r="C1954" s="5" t="n">
        <v>2021</v>
      </c>
      <c r="D1954" s="5" t="s">
        <v>52</v>
      </c>
      <c r="E1954" s="5" t="s">
        <v>57</v>
      </c>
      <c r="F1954" s="5" t="s">
        <v>40</v>
      </c>
      <c r="G1954" s="6" t="n">
        <v>592</v>
      </c>
      <c r="H1954" s="6" t="n">
        <v>118</v>
      </c>
      <c r="I1954" s="7" t="n">
        <f aca="false">(G1954-H1954)/G1954</f>
        <v>0.800675675675676</v>
      </c>
      <c r="J1954" s="15" t="n">
        <v>0.4416</v>
      </c>
      <c r="K1954" s="11" t="str">
        <f aca="false">IF(I1954&lt;J1954,"TAK","NIE")</f>
        <v>NIE</v>
      </c>
    </row>
    <row r="1955" customFormat="false" ht="15" hidden="false" customHeight="false" outlineLevel="0" collapsed="false">
      <c r="A1955" s="5" t="s">
        <v>475</v>
      </c>
      <c r="B1955" s="5" t="s">
        <v>53</v>
      </c>
      <c r="C1955" s="5" t="n">
        <v>2021</v>
      </c>
      <c r="D1955" s="5" t="s">
        <v>52</v>
      </c>
      <c r="E1955" s="5" t="s">
        <v>57</v>
      </c>
      <c r="F1955" s="5" t="s">
        <v>40</v>
      </c>
      <c r="G1955" s="6" t="n">
        <v>613</v>
      </c>
      <c r="H1955" s="6" t="n">
        <v>241</v>
      </c>
      <c r="I1955" s="7" t="n">
        <f aca="false">(G1955-H1955)/G1955</f>
        <v>0.606851549755302</v>
      </c>
      <c r="J1955" s="15" t="n">
        <v>0.4416</v>
      </c>
      <c r="K1955" s="11" t="str">
        <f aca="false">IF(I1955&lt;J1955,"TAK","NIE")</f>
        <v>NIE</v>
      </c>
    </row>
    <row r="1956" customFormat="false" ht="15" hidden="false" customHeight="false" outlineLevel="0" collapsed="false">
      <c r="A1956" s="5" t="s">
        <v>477</v>
      </c>
      <c r="B1956" s="5" t="s">
        <v>53</v>
      </c>
      <c r="C1956" s="5" t="n">
        <v>2021</v>
      </c>
      <c r="D1956" s="5" t="s">
        <v>52</v>
      </c>
      <c r="E1956" s="5" t="s">
        <v>57</v>
      </c>
      <c r="F1956" s="5" t="s">
        <v>40</v>
      </c>
      <c r="G1956" s="6" t="n">
        <v>613</v>
      </c>
      <c r="H1956" s="6" t="n">
        <v>206</v>
      </c>
      <c r="I1956" s="7" t="n">
        <f aca="false">(G1956-H1956)/G1956</f>
        <v>0.66394779771615</v>
      </c>
      <c r="J1956" s="15" t="n">
        <v>0.4416</v>
      </c>
      <c r="K1956" s="11" t="str">
        <f aca="false">IF(I1956&lt;J1956,"TAK","NIE")</f>
        <v>NIE</v>
      </c>
    </row>
    <row r="1957" customFormat="false" ht="15" hidden="false" customHeight="false" outlineLevel="0" collapsed="false">
      <c r="A1957" s="5" t="s">
        <v>478</v>
      </c>
      <c r="B1957" s="5" t="s">
        <v>53</v>
      </c>
      <c r="C1957" s="5" t="n">
        <v>2021</v>
      </c>
      <c r="D1957" s="5" t="s">
        <v>52</v>
      </c>
      <c r="E1957" s="5" t="s">
        <v>57</v>
      </c>
      <c r="F1957" s="5" t="s">
        <v>40</v>
      </c>
      <c r="G1957" s="6" t="n">
        <v>591</v>
      </c>
      <c r="H1957" s="6" t="n">
        <v>210</v>
      </c>
      <c r="I1957" s="7" t="n">
        <f aca="false">(G1957-H1957)/G1957</f>
        <v>0.644670050761421</v>
      </c>
      <c r="J1957" s="15" t="n">
        <v>0.4416</v>
      </c>
      <c r="K1957" s="11" t="str">
        <f aca="false">IF(I1957&lt;J1957,"TAK","NIE")</f>
        <v>NIE</v>
      </c>
    </row>
    <row r="1958" customFormat="false" ht="15" hidden="false" customHeight="false" outlineLevel="0" collapsed="false">
      <c r="A1958" s="5" t="s">
        <v>479</v>
      </c>
      <c r="B1958" s="5" t="s">
        <v>53</v>
      </c>
      <c r="C1958" s="5" t="n">
        <v>2021</v>
      </c>
      <c r="D1958" s="5" t="s">
        <v>52</v>
      </c>
      <c r="E1958" s="5" t="s">
        <v>57</v>
      </c>
      <c r="F1958" s="5" t="s">
        <v>40</v>
      </c>
      <c r="G1958" s="6" t="n">
        <v>613</v>
      </c>
      <c r="H1958" s="6" t="n">
        <v>213</v>
      </c>
      <c r="I1958" s="7" t="n">
        <f aca="false">(G1958-H1958)/G1958</f>
        <v>0.65252854812398</v>
      </c>
      <c r="J1958" s="15" t="n">
        <v>0.4416</v>
      </c>
      <c r="K1958" s="11" t="str">
        <f aca="false">IF(I1958&lt;J1958,"TAK","NIE")</f>
        <v>NIE</v>
      </c>
    </row>
    <row r="1959" customFormat="false" ht="15" hidden="false" customHeight="false" outlineLevel="0" collapsed="false">
      <c r="A1959" s="5" t="s">
        <v>480</v>
      </c>
      <c r="B1959" s="5" t="s">
        <v>53</v>
      </c>
      <c r="C1959" s="5" t="n">
        <v>2021</v>
      </c>
      <c r="D1959" s="5" t="s">
        <v>52</v>
      </c>
      <c r="E1959" s="5" t="s">
        <v>57</v>
      </c>
      <c r="F1959" s="5" t="s">
        <v>40</v>
      </c>
      <c r="G1959" s="6" t="n">
        <v>585</v>
      </c>
      <c r="H1959" s="6" t="n">
        <v>213</v>
      </c>
      <c r="I1959" s="7" t="n">
        <f aca="false">(G1959-H1959)/G1959</f>
        <v>0.635897435897436</v>
      </c>
      <c r="J1959" s="15" t="n">
        <v>0.4416</v>
      </c>
      <c r="K1959" s="11" t="str">
        <f aca="false">IF(I1959&lt;J1959,"TAK","NIE")</f>
        <v>NIE</v>
      </c>
    </row>
    <row r="1960" customFormat="false" ht="15" hidden="false" customHeight="false" outlineLevel="0" collapsed="false">
      <c r="A1960" s="5" t="s">
        <v>481</v>
      </c>
      <c r="B1960" s="5" t="s">
        <v>53</v>
      </c>
      <c r="C1960" s="5" t="n">
        <v>2021</v>
      </c>
      <c r="D1960" s="5" t="s">
        <v>52</v>
      </c>
      <c r="E1960" s="5" t="s">
        <v>57</v>
      </c>
      <c r="F1960" s="5" t="s">
        <v>40</v>
      </c>
      <c r="G1960" s="6" t="n">
        <v>613</v>
      </c>
      <c r="H1960" s="6" t="n">
        <v>99</v>
      </c>
      <c r="I1960" s="7" t="n">
        <f aca="false">(G1960-H1960)/G1960</f>
        <v>0.838499184339315</v>
      </c>
      <c r="J1960" s="15" t="n">
        <v>0.4416</v>
      </c>
      <c r="K1960" s="11" t="str">
        <f aca="false">IF(I1960&lt;J1960,"TAK","NIE")</f>
        <v>NIE</v>
      </c>
    </row>
    <row r="1961" customFormat="false" ht="15" hidden="false" customHeight="false" outlineLevel="0" collapsed="false">
      <c r="A1961" s="5" t="s">
        <v>482</v>
      </c>
      <c r="B1961" s="5" t="s">
        <v>53</v>
      </c>
      <c r="C1961" s="5" t="n">
        <v>2021</v>
      </c>
      <c r="D1961" s="5" t="s">
        <v>52</v>
      </c>
      <c r="E1961" s="5" t="s">
        <v>57</v>
      </c>
      <c r="F1961" s="5" t="s">
        <v>40</v>
      </c>
      <c r="G1961" s="6" t="n">
        <v>613</v>
      </c>
      <c r="H1961" s="6" t="n">
        <v>226</v>
      </c>
      <c r="I1961" s="7" t="n">
        <f aca="false">(G1961-H1961)/G1961</f>
        <v>0.631321370309951</v>
      </c>
      <c r="J1961" s="15" t="n">
        <v>0.4416</v>
      </c>
      <c r="K1961" s="11" t="str">
        <f aca="false">IF(I1961&lt;J1961,"TAK","NIE")</f>
        <v>NIE</v>
      </c>
    </row>
    <row r="1962" customFormat="false" ht="15" hidden="false" customHeight="false" outlineLevel="0" collapsed="false">
      <c r="A1962" s="5" t="s">
        <v>442</v>
      </c>
      <c r="B1962" s="5" t="s">
        <v>53</v>
      </c>
      <c r="C1962" s="5" t="n">
        <v>2021</v>
      </c>
      <c r="D1962" s="5" t="s">
        <v>52</v>
      </c>
      <c r="E1962" s="5" t="s">
        <v>57</v>
      </c>
      <c r="F1962" s="5" t="s">
        <v>40</v>
      </c>
      <c r="G1962" s="6" t="n">
        <v>373</v>
      </c>
      <c r="H1962" s="6" t="n">
        <v>205</v>
      </c>
      <c r="I1962" s="7" t="n">
        <f aca="false">(G1962-H1962)/G1962</f>
        <v>0.450402144772118</v>
      </c>
      <c r="J1962" s="15" t="n">
        <v>0.4416</v>
      </c>
      <c r="K1962" s="11" t="str">
        <f aca="false">IF(I1962&lt;J1962,"TAK","NIE")</f>
        <v>NIE</v>
      </c>
    </row>
    <row r="1963" customFormat="false" ht="15" hidden="false" customHeight="false" outlineLevel="0" collapsed="false">
      <c r="A1963" s="5" t="s">
        <v>483</v>
      </c>
      <c r="B1963" s="5" t="s">
        <v>53</v>
      </c>
      <c r="C1963" s="5" t="n">
        <v>2021</v>
      </c>
      <c r="D1963" s="5" t="s">
        <v>52</v>
      </c>
      <c r="E1963" s="5" t="s">
        <v>57</v>
      </c>
      <c r="F1963" s="5" t="s">
        <v>40</v>
      </c>
      <c r="G1963" s="6" t="n">
        <v>584</v>
      </c>
      <c r="H1963" s="6" t="n">
        <v>214</v>
      </c>
      <c r="I1963" s="7" t="n">
        <f aca="false">(G1963-H1963)/G1963</f>
        <v>0.633561643835616</v>
      </c>
      <c r="J1963" s="15" t="n">
        <v>0.4416</v>
      </c>
      <c r="K1963" s="11" t="str">
        <f aca="false">IF(I1963&lt;J1963,"TAK","NIE")</f>
        <v>NIE</v>
      </c>
    </row>
    <row r="1964" customFormat="false" ht="15" hidden="false" customHeight="false" outlineLevel="0" collapsed="false">
      <c r="A1964" s="5" t="s">
        <v>484</v>
      </c>
      <c r="B1964" s="5" t="s">
        <v>53</v>
      </c>
      <c r="C1964" s="5" t="n">
        <v>2021</v>
      </c>
      <c r="D1964" s="5" t="s">
        <v>52</v>
      </c>
      <c r="E1964" s="5" t="s">
        <v>57</v>
      </c>
      <c r="F1964" s="5" t="s">
        <v>40</v>
      </c>
      <c r="G1964" s="6" t="n">
        <v>613</v>
      </c>
      <c r="H1964" s="6" t="n">
        <v>127</v>
      </c>
      <c r="I1964" s="7" t="n">
        <f aca="false">(G1964-H1964)/G1964</f>
        <v>0.792822185970636</v>
      </c>
      <c r="J1964" s="15" t="n">
        <v>0.4416</v>
      </c>
      <c r="K1964" s="11" t="str">
        <f aca="false">IF(I1964&lt;J1964,"TAK","NIE")</f>
        <v>NIE</v>
      </c>
    </row>
    <row r="1965" customFormat="false" ht="15" hidden="false" customHeight="false" outlineLevel="0" collapsed="false">
      <c r="A1965" s="5" t="s">
        <v>485</v>
      </c>
      <c r="B1965" s="5" t="s">
        <v>53</v>
      </c>
      <c r="C1965" s="5" t="n">
        <v>2021</v>
      </c>
      <c r="D1965" s="5" t="s">
        <v>52</v>
      </c>
      <c r="E1965" s="5" t="s">
        <v>57</v>
      </c>
      <c r="F1965" s="5" t="s">
        <v>40</v>
      </c>
      <c r="G1965" s="6" t="n">
        <v>570</v>
      </c>
      <c r="H1965" s="6" t="n">
        <v>166</v>
      </c>
      <c r="I1965" s="7" t="n">
        <f aca="false">(G1965-H1965)/G1965</f>
        <v>0.708771929824561</v>
      </c>
      <c r="J1965" s="15" t="n">
        <v>0.4416</v>
      </c>
      <c r="K1965" s="11" t="str">
        <f aca="false">IF(I1965&lt;J1965,"TAK","NIE")</f>
        <v>NIE</v>
      </c>
    </row>
    <row r="1966" customFormat="false" ht="15" hidden="false" customHeight="false" outlineLevel="0" collapsed="false">
      <c r="A1966" s="5" t="s">
        <v>486</v>
      </c>
      <c r="B1966" s="5" t="s">
        <v>53</v>
      </c>
      <c r="C1966" s="5" t="n">
        <v>2021</v>
      </c>
      <c r="D1966" s="5" t="s">
        <v>52</v>
      </c>
      <c r="E1966" s="5" t="s">
        <v>57</v>
      </c>
      <c r="F1966" s="5" t="s">
        <v>40</v>
      </c>
      <c r="G1966" s="6" t="n">
        <v>585</v>
      </c>
      <c r="H1966" s="6" t="n">
        <v>177</v>
      </c>
      <c r="I1966" s="7" t="n">
        <f aca="false">(G1966-H1966)/G1966</f>
        <v>0.697435897435897</v>
      </c>
      <c r="J1966" s="15" t="n">
        <v>0.4416</v>
      </c>
      <c r="K1966" s="11" t="str">
        <f aca="false">IF(I1966&lt;J1966,"TAK","NIE")</f>
        <v>NIE</v>
      </c>
    </row>
    <row r="1967" customFormat="false" ht="15" hidden="false" customHeight="false" outlineLevel="0" collapsed="false">
      <c r="A1967" s="5" t="s">
        <v>487</v>
      </c>
      <c r="B1967" s="5" t="s">
        <v>53</v>
      </c>
      <c r="C1967" s="5" t="n">
        <v>2021</v>
      </c>
      <c r="D1967" s="5" t="s">
        <v>52</v>
      </c>
      <c r="E1967" s="5" t="s">
        <v>57</v>
      </c>
      <c r="F1967" s="5" t="s">
        <v>40</v>
      </c>
      <c r="G1967" s="6" t="n">
        <v>584</v>
      </c>
      <c r="H1967" s="6" t="n">
        <v>203</v>
      </c>
      <c r="I1967" s="7" t="n">
        <f aca="false">(G1967-H1967)/G1967</f>
        <v>0.652397260273973</v>
      </c>
      <c r="J1967" s="15" t="n">
        <v>0.4416</v>
      </c>
      <c r="K1967" s="11" t="str">
        <f aca="false">IF(I1967&lt;J1967,"TAK","NIE")</f>
        <v>NIE</v>
      </c>
    </row>
    <row r="1968" customFormat="false" ht="15" hidden="false" customHeight="false" outlineLevel="0" collapsed="false">
      <c r="A1968" s="5" t="s">
        <v>460</v>
      </c>
      <c r="B1968" s="5" t="s">
        <v>54</v>
      </c>
      <c r="C1968" s="5" t="n">
        <v>2021</v>
      </c>
      <c r="D1968" s="5" t="s">
        <v>52</v>
      </c>
      <c r="E1968" s="5" t="s">
        <v>75</v>
      </c>
      <c r="F1968" s="5" t="s">
        <v>39</v>
      </c>
      <c r="G1968" s="6" t="n">
        <v>387</v>
      </c>
      <c r="H1968" s="6" t="n">
        <v>48</v>
      </c>
      <c r="I1968" s="7" t="n">
        <f aca="false">(G1968-H1968)/G1968</f>
        <v>0.875968992248062</v>
      </c>
      <c r="J1968" s="15" t="n">
        <v>0.4615</v>
      </c>
      <c r="K1968" s="11" t="str">
        <f aca="false">IF(I1968&lt;J1968,"TAK","NIE")</f>
        <v>NIE</v>
      </c>
    </row>
    <row r="1969" customFormat="false" ht="15" hidden="false" customHeight="false" outlineLevel="0" collapsed="false">
      <c r="A1969" s="5" t="s">
        <v>461</v>
      </c>
      <c r="B1969" s="5" t="s">
        <v>54</v>
      </c>
      <c r="C1969" s="5" t="n">
        <v>2021</v>
      </c>
      <c r="D1969" s="5" t="s">
        <v>52</v>
      </c>
      <c r="E1969" s="5" t="s">
        <v>75</v>
      </c>
      <c r="F1969" s="5" t="s">
        <v>39</v>
      </c>
      <c r="G1969" s="6" t="n">
        <v>405</v>
      </c>
      <c r="H1969" s="6" t="n">
        <v>90</v>
      </c>
      <c r="I1969" s="7" t="n">
        <f aca="false">(G1969-H1969)/G1969</f>
        <v>0.777777777777778</v>
      </c>
      <c r="J1969" s="15" t="n">
        <v>0.4615</v>
      </c>
      <c r="K1969" s="11" t="str">
        <f aca="false">IF(I1969&lt;J1969,"TAK","NIE")</f>
        <v>NIE</v>
      </c>
    </row>
    <row r="1970" customFormat="false" ht="15" hidden="false" customHeight="false" outlineLevel="0" collapsed="false">
      <c r="A1970" s="5" t="s">
        <v>462</v>
      </c>
      <c r="B1970" s="5" t="s">
        <v>54</v>
      </c>
      <c r="C1970" s="5" t="n">
        <v>2021</v>
      </c>
      <c r="D1970" s="5" t="s">
        <v>52</v>
      </c>
      <c r="E1970" s="5" t="s">
        <v>75</v>
      </c>
      <c r="F1970" s="5" t="s">
        <v>39</v>
      </c>
      <c r="G1970" s="6" t="n">
        <v>396</v>
      </c>
      <c r="H1970" s="6" t="n">
        <v>105</v>
      </c>
      <c r="I1970" s="7" t="n">
        <f aca="false">(G1970-H1970)/G1970</f>
        <v>0.734848484848485</v>
      </c>
      <c r="J1970" s="15" t="n">
        <v>0.4615</v>
      </c>
      <c r="K1970" s="11" t="str">
        <f aca="false">IF(I1970&lt;J1970,"TAK","NIE")</f>
        <v>NIE</v>
      </c>
    </row>
    <row r="1971" customFormat="false" ht="15" hidden="false" customHeight="false" outlineLevel="0" collapsed="false">
      <c r="A1971" s="5" t="s">
        <v>463</v>
      </c>
      <c r="B1971" s="5" t="s">
        <v>54</v>
      </c>
      <c r="C1971" s="5" t="n">
        <v>2021</v>
      </c>
      <c r="D1971" s="5" t="s">
        <v>52</v>
      </c>
      <c r="E1971" s="5" t="s">
        <v>75</v>
      </c>
      <c r="F1971" s="5" t="s">
        <v>39</v>
      </c>
      <c r="G1971" s="6" t="n">
        <v>405</v>
      </c>
      <c r="H1971" s="6" t="n">
        <v>150</v>
      </c>
      <c r="I1971" s="7" t="n">
        <f aca="false">(G1971-H1971)/G1971</f>
        <v>0.62962962962963</v>
      </c>
      <c r="J1971" s="15" t="n">
        <v>0.4615</v>
      </c>
      <c r="K1971" s="11" t="str">
        <f aca="false">IF(I1971&lt;J1971,"TAK","NIE")</f>
        <v>NIE</v>
      </c>
    </row>
    <row r="1972" customFormat="false" ht="15" hidden="false" customHeight="false" outlineLevel="0" collapsed="false">
      <c r="A1972" s="5" t="s">
        <v>464</v>
      </c>
      <c r="B1972" s="5" t="s">
        <v>54</v>
      </c>
      <c r="C1972" s="5" t="n">
        <v>2021</v>
      </c>
      <c r="D1972" s="5" t="s">
        <v>52</v>
      </c>
      <c r="E1972" s="5" t="s">
        <v>75</v>
      </c>
      <c r="F1972" s="5" t="s">
        <v>39</v>
      </c>
      <c r="G1972" s="6" t="n">
        <v>414</v>
      </c>
      <c r="H1972" s="6" t="n">
        <v>131</v>
      </c>
      <c r="I1972" s="7" t="n">
        <f aca="false">(G1972-H1972)/G1972</f>
        <v>0.683574879227053</v>
      </c>
      <c r="J1972" s="15" t="n">
        <v>0.4615</v>
      </c>
      <c r="K1972" s="11" t="str">
        <f aca="false">IF(I1972&lt;J1972,"TAK","NIE")</f>
        <v>NIE</v>
      </c>
    </row>
    <row r="1973" customFormat="false" ht="15" hidden="false" customHeight="false" outlineLevel="0" collapsed="false">
      <c r="A1973" s="5" t="s">
        <v>465</v>
      </c>
      <c r="B1973" s="5" t="s">
        <v>54</v>
      </c>
      <c r="C1973" s="5" t="n">
        <v>2021</v>
      </c>
      <c r="D1973" s="5" t="s">
        <v>52</v>
      </c>
      <c r="E1973" s="5" t="s">
        <v>75</v>
      </c>
      <c r="F1973" s="5" t="s">
        <v>39</v>
      </c>
      <c r="G1973" s="6" t="n">
        <v>414</v>
      </c>
      <c r="H1973" s="6" t="n">
        <v>75</v>
      </c>
      <c r="I1973" s="7" t="n">
        <f aca="false">(G1973-H1973)/G1973</f>
        <v>0.818840579710145</v>
      </c>
      <c r="J1973" s="15" t="n">
        <v>0.4615</v>
      </c>
      <c r="K1973" s="11" t="str">
        <f aca="false">IF(I1973&lt;J1973,"TAK","NIE")</f>
        <v>NIE</v>
      </c>
    </row>
    <row r="1974" customFormat="false" ht="15" hidden="false" customHeight="false" outlineLevel="0" collapsed="false">
      <c r="A1974" s="5" t="s">
        <v>466</v>
      </c>
      <c r="B1974" s="5" t="s">
        <v>54</v>
      </c>
      <c r="C1974" s="5" t="n">
        <v>2021</v>
      </c>
      <c r="D1974" s="5" t="s">
        <v>52</v>
      </c>
      <c r="E1974" s="5" t="s">
        <v>75</v>
      </c>
      <c r="F1974" s="5" t="s">
        <v>39</v>
      </c>
      <c r="G1974" s="6" t="n">
        <v>387</v>
      </c>
      <c r="H1974" s="6" t="n">
        <v>119</v>
      </c>
      <c r="I1974" s="7" t="n">
        <f aca="false">(G1974-H1974)/G1974</f>
        <v>0.69250645994832</v>
      </c>
      <c r="J1974" s="15" t="n">
        <v>0.4615</v>
      </c>
      <c r="K1974" s="11" t="str">
        <f aca="false">IF(I1974&lt;J1974,"TAK","NIE")</f>
        <v>NIE</v>
      </c>
    </row>
    <row r="1975" customFormat="false" ht="15" hidden="false" customHeight="false" outlineLevel="0" collapsed="false">
      <c r="A1975" s="5" t="s">
        <v>468</v>
      </c>
      <c r="B1975" s="5" t="s">
        <v>54</v>
      </c>
      <c r="C1975" s="5" t="n">
        <v>2021</v>
      </c>
      <c r="D1975" s="5" t="s">
        <v>52</v>
      </c>
      <c r="E1975" s="5" t="s">
        <v>75</v>
      </c>
      <c r="F1975" s="5" t="s">
        <v>39</v>
      </c>
      <c r="G1975" s="6" t="n">
        <v>405</v>
      </c>
      <c r="H1975" s="6" t="n">
        <v>164</v>
      </c>
      <c r="I1975" s="7" t="n">
        <f aca="false">(G1975-H1975)/G1975</f>
        <v>0.595061728395062</v>
      </c>
      <c r="J1975" s="15" t="n">
        <v>0.4615</v>
      </c>
      <c r="K1975" s="11" t="str">
        <f aca="false">IF(I1975&lt;J1975,"TAK","NIE")</f>
        <v>NIE</v>
      </c>
    </row>
    <row r="1976" customFormat="false" ht="15" hidden="false" customHeight="false" outlineLevel="0" collapsed="false">
      <c r="A1976" s="5" t="s">
        <v>470</v>
      </c>
      <c r="B1976" s="5" t="s">
        <v>54</v>
      </c>
      <c r="C1976" s="5" t="n">
        <v>2021</v>
      </c>
      <c r="D1976" s="5" t="s">
        <v>52</v>
      </c>
      <c r="E1976" s="5" t="s">
        <v>75</v>
      </c>
      <c r="F1976" s="5" t="s">
        <v>39</v>
      </c>
      <c r="G1976" s="6" t="n">
        <v>414</v>
      </c>
      <c r="H1976" s="6" t="n">
        <v>145</v>
      </c>
      <c r="I1976" s="7" t="n">
        <f aca="false">(G1976-H1976)/G1976</f>
        <v>0.64975845410628</v>
      </c>
      <c r="J1976" s="15" t="n">
        <v>0.4615</v>
      </c>
      <c r="K1976" s="11" t="str">
        <f aca="false">IF(I1976&lt;J1976,"TAK","NIE")</f>
        <v>NIE</v>
      </c>
    </row>
    <row r="1977" customFormat="false" ht="15" hidden="false" customHeight="false" outlineLevel="0" collapsed="false">
      <c r="A1977" s="5" t="s">
        <v>472</v>
      </c>
      <c r="B1977" s="5" t="s">
        <v>54</v>
      </c>
      <c r="C1977" s="5" t="n">
        <v>2021</v>
      </c>
      <c r="D1977" s="5" t="s">
        <v>52</v>
      </c>
      <c r="E1977" s="5" t="s">
        <v>75</v>
      </c>
      <c r="F1977" s="5" t="s">
        <v>39</v>
      </c>
      <c r="G1977" s="6" t="n">
        <v>405</v>
      </c>
      <c r="H1977" s="6" t="n">
        <v>80</v>
      </c>
      <c r="I1977" s="7" t="n">
        <f aca="false">(G1977-H1977)/G1977</f>
        <v>0.802469135802469</v>
      </c>
      <c r="J1977" s="15" t="n">
        <v>0.4615</v>
      </c>
      <c r="K1977" s="11" t="str">
        <f aca="false">IF(I1977&lt;J1977,"TAK","NIE")</f>
        <v>NIE</v>
      </c>
    </row>
    <row r="1978" customFormat="false" ht="15" hidden="false" customHeight="false" outlineLevel="0" collapsed="false">
      <c r="A1978" s="5" t="s">
        <v>473</v>
      </c>
      <c r="B1978" s="5" t="s">
        <v>54</v>
      </c>
      <c r="C1978" s="5" t="n">
        <v>2021</v>
      </c>
      <c r="D1978" s="5" t="s">
        <v>52</v>
      </c>
      <c r="E1978" s="5" t="s">
        <v>75</v>
      </c>
      <c r="F1978" s="5" t="s">
        <v>39</v>
      </c>
      <c r="G1978" s="6" t="n">
        <v>414</v>
      </c>
      <c r="H1978" s="6" t="n">
        <v>151</v>
      </c>
      <c r="I1978" s="7" t="n">
        <f aca="false">(G1978-H1978)/G1978</f>
        <v>0.635265700483092</v>
      </c>
      <c r="J1978" s="15" t="n">
        <v>0.4615</v>
      </c>
      <c r="K1978" s="11" t="str">
        <f aca="false">IF(I1978&lt;J1978,"TAK","NIE")</f>
        <v>NIE</v>
      </c>
    </row>
    <row r="1979" customFormat="false" ht="15" hidden="false" customHeight="false" outlineLevel="0" collapsed="false">
      <c r="A1979" s="5" t="s">
        <v>474</v>
      </c>
      <c r="B1979" s="5" t="s">
        <v>54</v>
      </c>
      <c r="C1979" s="5" t="n">
        <v>2021</v>
      </c>
      <c r="D1979" s="5" t="s">
        <v>52</v>
      </c>
      <c r="E1979" s="5" t="s">
        <v>75</v>
      </c>
      <c r="F1979" s="5" t="s">
        <v>39</v>
      </c>
      <c r="G1979" s="6" t="n">
        <v>396</v>
      </c>
      <c r="H1979" s="6" t="n">
        <v>70</v>
      </c>
      <c r="I1979" s="7" t="n">
        <f aca="false">(G1979-H1979)/G1979</f>
        <v>0.823232323232323</v>
      </c>
      <c r="J1979" s="15" t="n">
        <v>0.4615</v>
      </c>
      <c r="K1979" s="11" t="str">
        <f aca="false">IF(I1979&lt;J1979,"TAK","NIE")</f>
        <v>NIE</v>
      </c>
    </row>
    <row r="1980" customFormat="false" ht="15" hidden="false" customHeight="false" outlineLevel="0" collapsed="false">
      <c r="A1980" s="5" t="s">
        <v>475</v>
      </c>
      <c r="B1980" s="5" t="s">
        <v>54</v>
      </c>
      <c r="C1980" s="5" t="n">
        <v>2021</v>
      </c>
      <c r="D1980" s="5" t="s">
        <v>52</v>
      </c>
      <c r="E1980" s="5" t="s">
        <v>75</v>
      </c>
      <c r="F1980" s="5" t="s">
        <v>39</v>
      </c>
      <c r="G1980" s="6" t="n">
        <v>414</v>
      </c>
      <c r="H1980" s="6" t="n">
        <v>94</v>
      </c>
      <c r="I1980" s="7" t="n">
        <f aca="false">(G1980-H1980)/G1980</f>
        <v>0.772946859903382</v>
      </c>
      <c r="J1980" s="15" t="n">
        <v>0.4615</v>
      </c>
      <c r="K1980" s="11" t="str">
        <f aca="false">IF(I1980&lt;J1980,"TAK","NIE")</f>
        <v>NIE</v>
      </c>
    </row>
    <row r="1981" customFormat="false" ht="15" hidden="false" customHeight="false" outlineLevel="0" collapsed="false">
      <c r="A1981" s="5" t="s">
        <v>477</v>
      </c>
      <c r="B1981" s="5" t="s">
        <v>54</v>
      </c>
      <c r="C1981" s="5" t="n">
        <v>2021</v>
      </c>
      <c r="D1981" s="5" t="s">
        <v>52</v>
      </c>
      <c r="E1981" s="5" t="s">
        <v>75</v>
      </c>
      <c r="F1981" s="5" t="s">
        <v>39</v>
      </c>
      <c r="G1981" s="6" t="n">
        <v>414</v>
      </c>
      <c r="H1981" s="6" t="n">
        <v>109</v>
      </c>
      <c r="I1981" s="7" t="n">
        <f aca="false">(G1981-H1981)/G1981</f>
        <v>0.736714975845411</v>
      </c>
      <c r="J1981" s="15" t="n">
        <v>0.4615</v>
      </c>
      <c r="K1981" s="11" t="str">
        <f aca="false">IF(I1981&lt;J1981,"TAK","NIE")</f>
        <v>NIE</v>
      </c>
    </row>
    <row r="1982" customFormat="false" ht="15" hidden="false" customHeight="false" outlineLevel="0" collapsed="false">
      <c r="A1982" s="5" t="s">
        <v>478</v>
      </c>
      <c r="B1982" s="5" t="s">
        <v>54</v>
      </c>
      <c r="C1982" s="5" t="n">
        <v>2021</v>
      </c>
      <c r="D1982" s="5" t="s">
        <v>52</v>
      </c>
      <c r="E1982" s="5" t="s">
        <v>75</v>
      </c>
      <c r="F1982" s="5" t="s">
        <v>39</v>
      </c>
      <c r="G1982" s="6" t="n">
        <v>405</v>
      </c>
      <c r="H1982" s="6" t="n">
        <v>110</v>
      </c>
      <c r="I1982" s="7" t="n">
        <f aca="false">(G1982-H1982)/G1982</f>
        <v>0.728395061728395</v>
      </c>
      <c r="J1982" s="15" t="n">
        <v>0.4615</v>
      </c>
      <c r="K1982" s="11" t="str">
        <f aca="false">IF(I1982&lt;J1982,"TAK","NIE")</f>
        <v>NIE</v>
      </c>
    </row>
    <row r="1983" customFormat="false" ht="15" hidden="false" customHeight="false" outlineLevel="0" collapsed="false">
      <c r="A1983" s="5" t="s">
        <v>479</v>
      </c>
      <c r="B1983" s="5" t="s">
        <v>54</v>
      </c>
      <c r="C1983" s="5" t="n">
        <v>2021</v>
      </c>
      <c r="D1983" s="5" t="s">
        <v>52</v>
      </c>
      <c r="E1983" s="5" t="s">
        <v>75</v>
      </c>
      <c r="F1983" s="5" t="s">
        <v>39</v>
      </c>
      <c r="G1983" s="6" t="n">
        <v>414</v>
      </c>
      <c r="H1983" s="6" t="n">
        <v>75</v>
      </c>
      <c r="I1983" s="7" t="n">
        <f aca="false">(G1983-H1983)/G1983</f>
        <v>0.818840579710145</v>
      </c>
      <c r="J1983" s="15" t="n">
        <v>0.4615</v>
      </c>
      <c r="K1983" s="11" t="str">
        <f aca="false">IF(I1983&lt;J1983,"TAK","NIE")</f>
        <v>NIE</v>
      </c>
    </row>
    <row r="1984" customFormat="false" ht="15" hidden="false" customHeight="false" outlineLevel="0" collapsed="false">
      <c r="A1984" s="5" t="s">
        <v>480</v>
      </c>
      <c r="B1984" s="5" t="s">
        <v>54</v>
      </c>
      <c r="C1984" s="5" t="n">
        <v>2021</v>
      </c>
      <c r="D1984" s="5" t="s">
        <v>52</v>
      </c>
      <c r="E1984" s="5" t="s">
        <v>75</v>
      </c>
      <c r="F1984" s="5" t="s">
        <v>39</v>
      </c>
      <c r="G1984" s="6" t="n">
        <v>405</v>
      </c>
      <c r="H1984" s="6" t="n">
        <v>142</v>
      </c>
      <c r="I1984" s="7" t="n">
        <f aca="false">(G1984-H1984)/G1984</f>
        <v>0.649382716049383</v>
      </c>
      <c r="J1984" s="15" t="n">
        <v>0.4615</v>
      </c>
      <c r="K1984" s="11" t="str">
        <f aca="false">IF(I1984&lt;J1984,"TAK","NIE")</f>
        <v>NIE</v>
      </c>
    </row>
    <row r="1985" customFormat="false" ht="15" hidden="false" customHeight="false" outlineLevel="0" collapsed="false">
      <c r="A1985" s="5" t="s">
        <v>481</v>
      </c>
      <c r="B1985" s="5" t="s">
        <v>54</v>
      </c>
      <c r="C1985" s="5" t="n">
        <v>2021</v>
      </c>
      <c r="D1985" s="5" t="s">
        <v>52</v>
      </c>
      <c r="E1985" s="5" t="s">
        <v>75</v>
      </c>
      <c r="F1985" s="5" t="s">
        <v>39</v>
      </c>
      <c r="G1985" s="6" t="n">
        <v>414</v>
      </c>
      <c r="H1985" s="6" t="n">
        <v>15</v>
      </c>
      <c r="I1985" s="7" t="n">
        <f aca="false">(G1985-H1985)/G1985</f>
        <v>0.963768115942029</v>
      </c>
      <c r="J1985" s="15" t="n">
        <v>0.4615</v>
      </c>
      <c r="K1985" s="11" t="str">
        <f aca="false">IF(I1985&lt;J1985,"TAK","NIE")</f>
        <v>NIE</v>
      </c>
    </row>
    <row r="1986" customFormat="false" ht="15" hidden="false" customHeight="false" outlineLevel="0" collapsed="false">
      <c r="A1986" s="5" t="s">
        <v>482</v>
      </c>
      <c r="B1986" s="5" t="s">
        <v>54</v>
      </c>
      <c r="C1986" s="5" t="n">
        <v>2021</v>
      </c>
      <c r="D1986" s="5" t="s">
        <v>52</v>
      </c>
      <c r="E1986" s="5" t="s">
        <v>75</v>
      </c>
      <c r="F1986" s="5" t="s">
        <v>39</v>
      </c>
      <c r="G1986" s="6" t="n">
        <v>414</v>
      </c>
      <c r="H1986" s="6" t="n">
        <v>115</v>
      </c>
      <c r="I1986" s="7" t="n">
        <f aca="false">(G1986-H1986)/G1986</f>
        <v>0.722222222222222</v>
      </c>
      <c r="J1986" s="15" t="n">
        <v>0.4615</v>
      </c>
      <c r="K1986" s="11" t="str">
        <f aca="false">IF(I1986&lt;J1986,"TAK","NIE")</f>
        <v>NIE</v>
      </c>
    </row>
    <row r="1987" customFormat="false" ht="15" hidden="false" customHeight="false" outlineLevel="0" collapsed="false">
      <c r="A1987" s="5" t="s">
        <v>483</v>
      </c>
      <c r="B1987" s="5" t="s">
        <v>54</v>
      </c>
      <c r="C1987" s="5" t="n">
        <v>2021</v>
      </c>
      <c r="D1987" s="5" t="s">
        <v>52</v>
      </c>
      <c r="E1987" s="5" t="s">
        <v>75</v>
      </c>
      <c r="F1987" s="5" t="s">
        <v>39</v>
      </c>
      <c r="G1987" s="6" t="n">
        <v>405</v>
      </c>
      <c r="H1987" s="6" t="n">
        <v>141</v>
      </c>
      <c r="I1987" s="7" t="n">
        <f aca="false">(G1987-H1987)/G1987</f>
        <v>0.651851851851852</v>
      </c>
      <c r="J1987" s="15" t="n">
        <v>0.4615</v>
      </c>
      <c r="K1987" s="11" t="str">
        <f aca="false">IF(I1987&lt;J1987,"TAK","NIE")</f>
        <v>NIE</v>
      </c>
    </row>
    <row r="1988" customFormat="false" ht="15" hidden="false" customHeight="false" outlineLevel="0" collapsed="false">
      <c r="A1988" s="5" t="s">
        <v>484</v>
      </c>
      <c r="B1988" s="5" t="s">
        <v>54</v>
      </c>
      <c r="C1988" s="5" t="n">
        <v>2021</v>
      </c>
      <c r="D1988" s="5" t="s">
        <v>52</v>
      </c>
      <c r="E1988" s="5" t="s">
        <v>75</v>
      </c>
      <c r="F1988" s="5" t="s">
        <v>39</v>
      </c>
      <c r="G1988" s="6" t="n">
        <v>414</v>
      </c>
      <c r="H1988" s="6" t="n">
        <v>121</v>
      </c>
      <c r="I1988" s="7" t="n">
        <f aca="false">(G1988-H1988)/G1988</f>
        <v>0.707729468599034</v>
      </c>
      <c r="J1988" s="15" t="n">
        <v>0.4615</v>
      </c>
      <c r="K1988" s="11" t="str">
        <f aca="false">IF(I1988&lt;J1988,"TAK","NIE")</f>
        <v>NIE</v>
      </c>
    </row>
    <row r="1989" customFormat="false" ht="15" hidden="false" customHeight="false" outlineLevel="0" collapsed="false">
      <c r="A1989" s="5" t="s">
        <v>485</v>
      </c>
      <c r="B1989" s="5" t="s">
        <v>54</v>
      </c>
      <c r="C1989" s="5" t="n">
        <v>2021</v>
      </c>
      <c r="D1989" s="5" t="s">
        <v>52</v>
      </c>
      <c r="E1989" s="5" t="s">
        <v>75</v>
      </c>
      <c r="F1989" s="5" t="s">
        <v>39</v>
      </c>
      <c r="G1989" s="6" t="n">
        <v>387</v>
      </c>
      <c r="H1989" s="6" t="n">
        <v>35</v>
      </c>
      <c r="I1989" s="7" t="n">
        <f aca="false">(G1989-H1989)/G1989</f>
        <v>0.909560723514212</v>
      </c>
      <c r="J1989" s="15" t="n">
        <v>0.4615</v>
      </c>
      <c r="K1989" s="11" t="str">
        <f aca="false">IF(I1989&lt;J1989,"TAK","NIE")</f>
        <v>NIE</v>
      </c>
    </row>
    <row r="1990" customFormat="false" ht="15" hidden="false" customHeight="false" outlineLevel="0" collapsed="false">
      <c r="A1990" s="5" t="s">
        <v>486</v>
      </c>
      <c r="B1990" s="5" t="s">
        <v>54</v>
      </c>
      <c r="C1990" s="5" t="n">
        <v>2021</v>
      </c>
      <c r="D1990" s="5" t="s">
        <v>52</v>
      </c>
      <c r="E1990" s="5" t="s">
        <v>75</v>
      </c>
      <c r="F1990" s="5" t="s">
        <v>39</v>
      </c>
      <c r="G1990" s="6" t="n">
        <v>405</v>
      </c>
      <c r="H1990" s="6" t="n">
        <v>99</v>
      </c>
      <c r="I1990" s="7" t="n">
        <f aca="false">(G1990-H1990)/G1990</f>
        <v>0.755555555555556</v>
      </c>
      <c r="J1990" s="15" t="n">
        <v>0.4615</v>
      </c>
      <c r="K1990" s="11" t="str">
        <f aca="false">IF(I1990&lt;J1990,"TAK","NIE")</f>
        <v>NIE</v>
      </c>
    </row>
    <row r="1991" customFormat="false" ht="15" hidden="false" customHeight="false" outlineLevel="0" collapsed="false">
      <c r="A1991" s="5" t="s">
        <v>487</v>
      </c>
      <c r="B1991" s="5" t="s">
        <v>54</v>
      </c>
      <c r="C1991" s="5" t="n">
        <v>2021</v>
      </c>
      <c r="D1991" s="5" t="s">
        <v>52</v>
      </c>
      <c r="E1991" s="5" t="s">
        <v>75</v>
      </c>
      <c r="F1991" s="5" t="s">
        <v>39</v>
      </c>
      <c r="G1991" s="6" t="n">
        <v>405</v>
      </c>
      <c r="H1991" s="6" t="n">
        <v>63</v>
      </c>
      <c r="I1991" s="7" t="n">
        <f aca="false">(G1991-H1991)/G1991</f>
        <v>0.844444444444444</v>
      </c>
      <c r="J1991" s="15" t="n">
        <v>0.4615</v>
      </c>
      <c r="K1991" s="11" t="str">
        <f aca="false">IF(I1991&lt;J1991,"TAK","NIE")</f>
        <v>NIE</v>
      </c>
    </row>
    <row r="1992" customFormat="false" ht="15" hidden="false" customHeight="false" outlineLevel="0" collapsed="false">
      <c r="A1992" s="5" t="s">
        <v>460</v>
      </c>
      <c r="B1992" s="5" t="s">
        <v>54</v>
      </c>
      <c r="C1992" s="5" t="n">
        <v>2021</v>
      </c>
      <c r="D1992" s="5" t="s">
        <v>52</v>
      </c>
      <c r="E1992" s="5" t="s">
        <v>75</v>
      </c>
      <c r="F1992" s="5" t="s">
        <v>40</v>
      </c>
      <c r="G1992" s="6" t="n">
        <v>685</v>
      </c>
      <c r="H1992" s="6" t="n">
        <v>198</v>
      </c>
      <c r="I1992" s="7" t="n">
        <f aca="false">(G1992-H1992)/G1992</f>
        <v>0.710948905109489</v>
      </c>
      <c r="J1992" s="15" t="n">
        <v>0.3653</v>
      </c>
      <c r="K1992" s="11" t="str">
        <f aca="false">IF(I1992&lt;J1992,"TAK","NIE")</f>
        <v>NIE</v>
      </c>
    </row>
    <row r="1993" customFormat="false" ht="15" hidden="false" customHeight="false" outlineLevel="0" collapsed="false">
      <c r="A1993" s="5" t="s">
        <v>461</v>
      </c>
      <c r="B1993" s="5" t="s">
        <v>54</v>
      </c>
      <c r="C1993" s="5" t="n">
        <v>2021</v>
      </c>
      <c r="D1993" s="5" t="s">
        <v>52</v>
      </c>
      <c r="E1993" s="5" t="s">
        <v>75</v>
      </c>
      <c r="F1993" s="5" t="s">
        <v>40</v>
      </c>
      <c r="G1993" s="6" t="n">
        <v>723</v>
      </c>
      <c r="H1993" s="6" t="n">
        <v>200</v>
      </c>
      <c r="I1993" s="7" t="n">
        <f aca="false">(G1993-H1993)/G1993</f>
        <v>0.723374827109267</v>
      </c>
      <c r="J1993" s="15" t="n">
        <v>0.3653</v>
      </c>
      <c r="K1993" s="11" t="str">
        <f aca="false">IF(I1993&lt;J1993,"TAK","NIE")</f>
        <v>NIE</v>
      </c>
    </row>
    <row r="1994" customFormat="false" ht="15" hidden="false" customHeight="false" outlineLevel="0" collapsed="false">
      <c r="A1994" s="5" t="s">
        <v>462</v>
      </c>
      <c r="B1994" s="5" t="s">
        <v>54</v>
      </c>
      <c r="C1994" s="5" t="n">
        <v>2021</v>
      </c>
      <c r="D1994" s="5" t="s">
        <v>52</v>
      </c>
      <c r="E1994" s="5" t="s">
        <v>75</v>
      </c>
      <c r="F1994" s="5" t="s">
        <v>40</v>
      </c>
      <c r="G1994" s="6" t="n">
        <v>703</v>
      </c>
      <c r="H1994" s="6" t="n">
        <v>249</v>
      </c>
      <c r="I1994" s="7" t="n">
        <f aca="false">(G1994-H1994)/G1994</f>
        <v>0.645803698435277</v>
      </c>
      <c r="J1994" s="15" t="n">
        <v>0.3653</v>
      </c>
      <c r="K1994" s="11" t="str">
        <f aca="false">IF(I1994&lt;J1994,"TAK","NIE")</f>
        <v>NIE</v>
      </c>
    </row>
    <row r="1995" customFormat="false" ht="15" hidden="false" customHeight="false" outlineLevel="0" collapsed="false">
      <c r="A1995" s="5" t="s">
        <v>463</v>
      </c>
      <c r="B1995" s="5" t="s">
        <v>54</v>
      </c>
      <c r="C1995" s="5" t="n">
        <v>2021</v>
      </c>
      <c r="D1995" s="5" t="s">
        <v>52</v>
      </c>
      <c r="E1995" s="5" t="s">
        <v>75</v>
      </c>
      <c r="F1995" s="5" t="s">
        <v>40</v>
      </c>
      <c r="G1995" s="6" t="n">
        <v>723</v>
      </c>
      <c r="H1995" s="6" t="n">
        <v>191</v>
      </c>
      <c r="I1995" s="7" t="n">
        <f aca="false">(G1995-H1995)/G1995</f>
        <v>0.73582295988935</v>
      </c>
      <c r="J1995" s="15" t="n">
        <v>0.3653</v>
      </c>
      <c r="K1995" s="11" t="str">
        <f aca="false">IF(I1995&lt;J1995,"TAK","NIE")</f>
        <v>NIE</v>
      </c>
    </row>
    <row r="1996" customFormat="false" ht="15" hidden="false" customHeight="false" outlineLevel="0" collapsed="false">
      <c r="A1996" s="5" t="s">
        <v>464</v>
      </c>
      <c r="B1996" s="5" t="s">
        <v>54</v>
      </c>
      <c r="C1996" s="5" t="n">
        <v>2021</v>
      </c>
      <c r="D1996" s="5" t="s">
        <v>52</v>
      </c>
      <c r="E1996" s="5" t="s">
        <v>75</v>
      </c>
      <c r="F1996" s="5" t="s">
        <v>40</v>
      </c>
      <c r="G1996" s="6" t="n">
        <v>741</v>
      </c>
      <c r="H1996" s="6" t="n">
        <v>431</v>
      </c>
      <c r="I1996" s="7" t="n">
        <f aca="false">(G1996-H1996)/G1996</f>
        <v>0.418353576248313</v>
      </c>
      <c r="J1996" s="15" t="n">
        <v>0.3653</v>
      </c>
      <c r="K1996" s="11" t="str">
        <f aca="false">IF(I1996&lt;J1996,"TAK","NIE")</f>
        <v>NIE</v>
      </c>
    </row>
    <row r="1997" customFormat="false" ht="15" hidden="false" customHeight="false" outlineLevel="0" collapsed="false">
      <c r="A1997" s="5" t="s">
        <v>465</v>
      </c>
      <c r="B1997" s="5" t="s">
        <v>54</v>
      </c>
      <c r="C1997" s="5" t="n">
        <v>2021</v>
      </c>
      <c r="D1997" s="5" t="s">
        <v>52</v>
      </c>
      <c r="E1997" s="5" t="s">
        <v>75</v>
      </c>
      <c r="F1997" s="5" t="s">
        <v>40</v>
      </c>
      <c r="G1997" s="6" t="n">
        <v>741</v>
      </c>
      <c r="H1997" s="6" t="n">
        <v>242</v>
      </c>
      <c r="I1997" s="7" t="n">
        <f aca="false">(G1997-H1997)/G1997</f>
        <v>0.673414304993252</v>
      </c>
      <c r="J1997" s="15" t="n">
        <v>0.3653</v>
      </c>
      <c r="K1997" s="11" t="str">
        <f aca="false">IF(I1997&lt;J1997,"TAK","NIE")</f>
        <v>NIE</v>
      </c>
    </row>
    <row r="1998" customFormat="false" ht="15" hidden="false" customHeight="false" outlineLevel="0" collapsed="false">
      <c r="A1998" s="5" t="s">
        <v>466</v>
      </c>
      <c r="B1998" s="5" t="s">
        <v>54</v>
      </c>
      <c r="C1998" s="5" t="n">
        <v>2021</v>
      </c>
      <c r="D1998" s="5" t="s">
        <v>52</v>
      </c>
      <c r="E1998" s="5" t="s">
        <v>75</v>
      </c>
      <c r="F1998" s="5" t="s">
        <v>40</v>
      </c>
      <c r="G1998" s="6" t="n">
        <v>685</v>
      </c>
      <c r="H1998" s="6" t="n">
        <v>327</v>
      </c>
      <c r="I1998" s="7" t="n">
        <f aca="false">(G1998-H1998)/G1998</f>
        <v>0.522627737226277</v>
      </c>
      <c r="J1998" s="15" t="n">
        <v>0.3653</v>
      </c>
      <c r="K1998" s="11" t="str">
        <f aca="false">IF(I1998&lt;J1998,"TAK","NIE")</f>
        <v>NIE</v>
      </c>
    </row>
    <row r="1999" customFormat="false" ht="15" hidden="false" customHeight="false" outlineLevel="0" collapsed="false">
      <c r="A1999" s="5" t="s">
        <v>468</v>
      </c>
      <c r="B1999" s="5" t="s">
        <v>54</v>
      </c>
      <c r="C1999" s="5" t="n">
        <v>2021</v>
      </c>
      <c r="D1999" s="5" t="s">
        <v>52</v>
      </c>
      <c r="E1999" s="5" t="s">
        <v>75</v>
      </c>
      <c r="F1999" s="5" t="s">
        <v>40</v>
      </c>
      <c r="G1999" s="6" t="n">
        <v>723</v>
      </c>
      <c r="H1999" s="6" t="n">
        <v>313</v>
      </c>
      <c r="I1999" s="7" t="n">
        <f aca="false">(G1999-H1999)/G1999</f>
        <v>0.567081604426003</v>
      </c>
      <c r="J1999" s="15" t="n">
        <v>0.3653</v>
      </c>
      <c r="K1999" s="11" t="str">
        <f aca="false">IF(I1999&lt;J1999,"TAK","NIE")</f>
        <v>NIE</v>
      </c>
    </row>
    <row r="2000" customFormat="false" ht="15" hidden="false" customHeight="false" outlineLevel="0" collapsed="false">
      <c r="A2000" s="5" t="s">
        <v>470</v>
      </c>
      <c r="B2000" s="5" t="s">
        <v>54</v>
      </c>
      <c r="C2000" s="5" t="n">
        <v>2021</v>
      </c>
      <c r="D2000" s="5" t="s">
        <v>52</v>
      </c>
      <c r="E2000" s="5" t="s">
        <v>75</v>
      </c>
      <c r="F2000" s="5" t="s">
        <v>40</v>
      </c>
      <c r="G2000" s="6" t="n">
        <v>741</v>
      </c>
      <c r="H2000" s="6" t="n">
        <v>257</v>
      </c>
      <c r="I2000" s="7" t="n">
        <f aca="false">(G2000-H2000)/G2000</f>
        <v>0.653171390013495</v>
      </c>
      <c r="J2000" s="15" t="n">
        <v>0.3653</v>
      </c>
      <c r="K2000" s="11" t="str">
        <f aca="false">IF(I2000&lt;J2000,"TAK","NIE")</f>
        <v>NIE</v>
      </c>
    </row>
    <row r="2001" customFormat="false" ht="15" hidden="false" customHeight="false" outlineLevel="0" collapsed="false">
      <c r="A2001" s="5" t="s">
        <v>472</v>
      </c>
      <c r="B2001" s="5" t="s">
        <v>54</v>
      </c>
      <c r="C2001" s="5" t="n">
        <v>2021</v>
      </c>
      <c r="D2001" s="5" t="s">
        <v>52</v>
      </c>
      <c r="E2001" s="5" t="s">
        <v>75</v>
      </c>
      <c r="F2001" s="5" t="s">
        <v>40</v>
      </c>
      <c r="G2001" s="6" t="n">
        <v>723</v>
      </c>
      <c r="H2001" s="6" t="n">
        <v>294</v>
      </c>
      <c r="I2001" s="7" t="n">
        <f aca="false">(G2001-H2001)/G2001</f>
        <v>0.593360995850622</v>
      </c>
      <c r="J2001" s="15" t="n">
        <v>0.3653</v>
      </c>
      <c r="K2001" s="11" t="str">
        <f aca="false">IF(I2001&lt;J2001,"TAK","NIE")</f>
        <v>NIE</v>
      </c>
    </row>
    <row r="2002" customFormat="false" ht="15" hidden="false" customHeight="false" outlineLevel="0" collapsed="false">
      <c r="A2002" s="5" t="s">
        <v>473</v>
      </c>
      <c r="B2002" s="5" t="s">
        <v>54</v>
      </c>
      <c r="C2002" s="5" t="n">
        <v>2021</v>
      </c>
      <c r="D2002" s="5" t="s">
        <v>52</v>
      </c>
      <c r="E2002" s="5" t="s">
        <v>75</v>
      </c>
      <c r="F2002" s="5" t="s">
        <v>40</v>
      </c>
      <c r="G2002" s="6" t="n">
        <v>741</v>
      </c>
      <c r="H2002" s="6" t="n">
        <v>322</v>
      </c>
      <c r="I2002" s="7" t="n">
        <f aca="false">(G2002-H2002)/G2002</f>
        <v>0.565452091767881</v>
      </c>
      <c r="J2002" s="15" t="n">
        <v>0.3653</v>
      </c>
      <c r="K2002" s="11" t="str">
        <f aca="false">IF(I2002&lt;J2002,"TAK","NIE")</f>
        <v>NIE</v>
      </c>
    </row>
    <row r="2003" customFormat="false" ht="15" hidden="false" customHeight="false" outlineLevel="0" collapsed="false">
      <c r="A2003" s="5" t="s">
        <v>474</v>
      </c>
      <c r="B2003" s="5" t="s">
        <v>54</v>
      </c>
      <c r="C2003" s="5" t="n">
        <v>2021</v>
      </c>
      <c r="D2003" s="5" t="s">
        <v>52</v>
      </c>
      <c r="E2003" s="5" t="s">
        <v>75</v>
      </c>
      <c r="F2003" s="5" t="s">
        <v>40</v>
      </c>
      <c r="G2003" s="6" t="n">
        <v>703</v>
      </c>
      <c r="H2003" s="6" t="n">
        <v>269</v>
      </c>
      <c r="I2003" s="7" t="n">
        <f aca="false">(G2003-H2003)/G2003</f>
        <v>0.617354196301565</v>
      </c>
      <c r="J2003" s="15" t="n">
        <v>0.3653</v>
      </c>
      <c r="K2003" s="11" t="str">
        <f aca="false">IF(I2003&lt;J2003,"TAK","NIE")</f>
        <v>NIE</v>
      </c>
    </row>
    <row r="2004" customFormat="false" ht="15" hidden="false" customHeight="false" outlineLevel="0" collapsed="false">
      <c r="A2004" s="5" t="s">
        <v>475</v>
      </c>
      <c r="B2004" s="5" t="s">
        <v>54</v>
      </c>
      <c r="C2004" s="5" t="n">
        <v>2021</v>
      </c>
      <c r="D2004" s="5" t="s">
        <v>52</v>
      </c>
      <c r="E2004" s="5" t="s">
        <v>75</v>
      </c>
      <c r="F2004" s="5" t="s">
        <v>40</v>
      </c>
      <c r="G2004" s="6" t="n">
        <v>741</v>
      </c>
      <c r="H2004" s="6" t="n">
        <v>277</v>
      </c>
      <c r="I2004" s="7" t="n">
        <f aca="false">(G2004-H2004)/G2004</f>
        <v>0.626180836707153</v>
      </c>
      <c r="J2004" s="15" t="n">
        <v>0.3653</v>
      </c>
      <c r="K2004" s="11" t="str">
        <f aca="false">IF(I2004&lt;J2004,"TAK","NIE")</f>
        <v>NIE</v>
      </c>
    </row>
    <row r="2005" customFormat="false" ht="15" hidden="false" customHeight="false" outlineLevel="0" collapsed="false">
      <c r="A2005" s="5" t="s">
        <v>477</v>
      </c>
      <c r="B2005" s="5" t="s">
        <v>54</v>
      </c>
      <c r="C2005" s="5" t="n">
        <v>2021</v>
      </c>
      <c r="D2005" s="5" t="s">
        <v>52</v>
      </c>
      <c r="E2005" s="5" t="s">
        <v>75</v>
      </c>
      <c r="F2005" s="5" t="s">
        <v>40</v>
      </c>
      <c r="G2005" s="6" t="n">
        <v>741</v>
      </c>
      <c r="H2005" s="6" t="n">
        <v>283</v>
      </c>
      <c r="I2005" s="7" t="n">
        <f aca="false">(G2005-H2005)/G2005</f>
        <v>0.61808367071525</v>
      </c>
      <c r="J2005" s="15" t="n">
        <v>0.3653</v>
      </c>
      <c r="K2005" s="11" t="str">
        <f aca="false">IF(I2005&lt;J2005,"TAK","NIE")</f>
        <v>NIE</v>
      </c>
    </row>
    <row r="2006" customFormat="false" ht="15" hidden="false" customHeight="false" outlineLevel="0" collapsed="false">
      <c r="A2006" s="5" t="s">
        <v>478</v>
      </c>
      <c r="B2006" s="5" t="s">
        <v>54</v>
      </c>
      <c r="C2006" s="5" t="n">
        <v>2021</v>
      </c>
      <c r="D2006" s="5" t="s">
        <v>52</v>
      </c>
      <c r="E2006" s="5" t="s">
        <v>75</v>
      </c>
      <c r="F2006" s="5" t="s">
        <v>40</v>
      </c>
      <c r="G2006" s="6" t="n">
        <v>723</v>
      </c>
      <c r="H2006" s="6" t="n">
        <v>306</v>
      </c>
      <c r="I2006" s="7" t="n">
        <f aca="false">(G2006-H2006)/G2006</f>
        <v>0.576763485477178</v>
      </c>
      <c r="J2006" s="15" t="n">
        <v>0.3653</v>
      </c>
      <c r="K2006" s="11" t="str">
        <f aca="false">IF(I2006&lt;J2006,"TAK","NIE")</f>
        <v>NIE</v>
      </c>
    </row>
    <row r="2007" customFormat="false" ht="15" hidden="false" customHeight="false" outlineLevel="0" collapsed="false">
      <c r="A2007" s="5" t="s">
        <v>479</v>
      </c>
      <c r="B2007" s="5" t="s">
        <v>54</v>
      </c>
      <c r="C2007" s="5" t="n">
        <v>2021</v>
      </c>
      <c r="D2007" s="5" t="s">
        <v>52</v>
      </c>
      <c r="E2007" s="5" t="s">
        <v>75</v>
      </c>
      <c r="F2007" s="5" t="s">
        <v>40</v>
      </c>
      <c r="G2007" s="6" t="n">
        <v>741</v>
      </c>
      <c r="H2007" s="6" t="n">
        <v>339</v>
      </c>
      <c r="I2007" s="7" t="n">
        <f aca="false">(G2007-H2007)/G2007</f>
        <v>0.54251012145749</v>
      </c>
      <c r="J2007" s="15" t="n">
        <v>0.3653</v>
      </c>
      <c r="K2007" s="11" t="str">
        <f aca="false">IF(I2007&lt;J2007,"TAK","NIE")</f>
        <v>NIE</v>
      </c>
    </row>
    <row r="2008" customFormat="false" ht="15" hidden="false" customHeight="false" outlineLevel="0" collapsed="false">
      <c r="A2008" s="5" t="s">
        <v>480</v>
      </c>
      <c r="B2008" s="5" t="s">
        <v>54</v>
      </c>
      <c r="C2008" s="5" t="n">
        <v>2021</v>
      </c>
      <c r="D2008" s="5" t="s">
        <v>52</v>
      </c>
      <c r="E2008" s="5" t="s">
        <v>75</v>
      </c>
      <c r="F2008" s="5" t="s">
        <v>40</v>
      </c>
      <c r="G2008" s="6" t="n">
        <v>723</v>
      </c>
      <c r="H2008" s="6" t="n">
        <v>259</v>
      </c>
      <c r="I2008" s="7" t="n">
        <f aca="false">(G2008-H2008)/G2008</f>
        <v>0.641770401106501</v>
      </c>
      <c r="J2008" s="15" t="n">
        <v>0.3653</v>
      </c>
      <c r="K2008" s="11" t="str">
        <f aca="false">IF(I2008&lt;J2008,"TAK","NIE")</f>
        <v>NIE</v>
      </c>
    </row>
    <row r="2009" customFormat="false" ht="15" hidden="false" customHeight="false" outlineLevel="0" collapsed="false">
      <c r="A2009" s="5" t="s">
        <v>481</v>
      </c>
      <c r="B2009" s="5" t="s">
        <v>54</v>
      </c>
      <c r="C2009" s="5" t="n">
        <v>2021</v>
      </c>
      <c r="D2009" s="5" t="s">
        <v>52</v>
      </c>
      <c r="E2009" s="5" t="s">
        <v>75</v>
      </c>
      <c r="F2009" s="5" t="s">
        <v>40</v>
      </c>
      <c r="G2009" s="6" t="n">
        <v>741</v>
      </c>
      <c r="H2009" s="6" t="n">
        <v>151</v>
      </c>
      <c r="I2009" s="7" t="n">
        <f aca="false">(G2009-H2009)/G2009</f>
        <v>0.796221322537112</v>
      </c>
      <c r="J2009" s="15" t="n">
        <v>0.3653</v>
      </c>
      <c r="K2009" s="11" t="str">
        <f aca="false">IF(I2009&lt;J2009,"TAK","NIE")</f>
        <v>NIE</v>
      </c>
    </row>
    <row r="2010" customFormat="false" ht="15" hidden="false" customHeight="false" outlineLevel="0" collapsed="false">
      <c r="A2010" s="5" t="s">
        <v>482</v>
      </c>
      <c r="B2010" s="5" t="s">
        <v>54</v>
      </c>
      <c r="C2010" s="5" t="n">
        <v>2021</v>
      </c>
      <c r="D2010" s="5" t="s">
        <v>52</v>
      </c>
      <c r="E2010" s="5" t="s">
        <v>75</v>
      </c>
      <c r="F2010" s="5" t="s">
        <v>40</v>
      </c>
      <c r="G2010" s="6" t="n">
        <v>741</v>
      </c>
      <c r="H2010" s="6" t="n">
        <v>341</v>
      </c>
      <c r="I2010" s="7" t="n">
        <f aca="false">(G2010-H2010)/G2010</f>
        <v>0.539811066126856</v>
      </c>
      <c r="J2010" s="15" t="n">
        <v>0.3653</v>
      </c>
      <c r="K2010" s="11" t="str">
        <f aca="false">IF(I2010&lt;J2010,"TAK","NIE")</f>
        <v>NIE</v>
      </c>
    </row>
    <row r="2011" customFormat="false" ht="15" hidden="false" customHeight="false" outlineLevel="0" collapsed="false">
      <c r="A2011" s="5" t="s">
        <v>483</v>
      </c>
      <c r="B2011" s="5" t="s">
        <v>54</v>
      </c>
      <c r="C2011" s="5" t="n">
        <v>2021</v>
      </c>
      <c r="D2011" s="5" t="s">
        <v>52</v>
      </c>
      <c r="E2011" s="5" t="s">
        <v>75</v>
      </c>
      <c r="F2011" s="5" t="s">
        <v>40</v>
      </c>
      <c r="G2011" s="6" t="n">
        <v>723</v>
      </c>
      <c r="H2011" s="6" t="n">
        <v>260</v>
      </c>
      <c r="I2011" s="7" t="n">
        <f aca="false">(G2011-H2011)/G2011</f>
        <v>0.640387275242047</v>
      </c>
      <c r="J2011" s="15" t="n">
        <v>0.3653</v>
      </c>
      <c r="K2011" s="11" t="str">
        <f aca="false">IF(I2011&lt;J2011,"TAK","NIE")</f>
        <v>NIE</v>
      </c>
    </row>
    <row r="2012" customFormat="false" ht="15" hidden="false" customHeight="false" outlineLevel="0" collapsed="false">
      <c r="A2012" s="5" t="s">
        <v>484</v>
      </c>
      <c r="B2012" s="5" t="s">
        <v>54</v>
      </c>
      <c r="C2012" s="5" t="n">
        <v>2021</v>
      </c>
      <c r="D2012" s="5" t="s">
        <v>52</v>
      </c>
      <c r="E2012" s="5" t="s">
        <v>75</v>
      </c>
      <c r="F2012" s="5" t="s">
        <v>40</v>
      </c>
      <c r="G2012" s="6" t="n">
        <v>741</v>
      </c>
      <c r="H2012" s="6" t="n">
        <v>169</v>
      </c>
      <c r="I2012" s="7" t="n">
        <f aca="false">(G2012-H2012)/G2012</f>
        <v>0.771929824561404</v>
      </c>
      <c r="J2012" s="15" t="n">
        <v>0.3653</v>
      </c>
      <c r="K2012" s="11" t="str">
        <f aca="false">IF(I2012&lt;J2012,"TAK","NIE")</f>
        <v>NIE</v>
      </c>
    </row>
    <row r="2013" customFormat="false" ht="15" hidden="false" customHeight="false" outlineLevel="0" collapsed="false">
      <c r="A2013" s="5" t="s">
        <v>485</v>
      </c>
      <c r="B2013" s="5" t="s">
        <v>54</v>
      </c>
      <c r="C2013" s="5" t="n">
        <v>2021</v>
      </c>
      <c r="D2013" s="5" t="s">
        <v>52</v>
      </c>
      <c r="E2013" s="5" t="s">
        <v>75</v>
      </c>
      <c r="F2013" s="5" t="s">
        <v>40</v>
      </c>
      <c r="G2013" s="6" t="n">
        <v>685</v>
      </c>
      <c r="H2013" s="6" t="n">
        <v>148</v>
      </c>
      <c r="I2013" s="7" t="n">
        <f aca="false">(G2013-H2013)/G2013</f>
        <v>0.783941605839416</v>
      </c>
      <c r="J2013" s="15" t="n">
        <v>0.3653</v>
      </c>
      <c r="K2013" s="11" t="str">
        <f aca="false">IF(I2013&lt;J2013,"TAK","NIE")</f>
        <v>NIE</v>
      </c>
    </row>
    <row r="2014" customFormat="false" ht="15" hidden="false" customHeight="false" outlineLevel="0" collapsed="false">
      <c r="A2014" s="5" t="s">
        <v>486</v>
      </c>
      <c r="B2014" s="5" t="s">
        <v>54</v>
      </c>
      <c r="C2014" s="5" t="n">
        <v>2021</v>
      </c>
      <c r="D2014" s="5" t="s">
        <v>52</v>
      </c>
      <c r="E2014" s="5" t="s">
        <v>75</v>
      </c>
      <c r="F2014" s="5" t="s">
        <v>40</v>
      </c>
      <c r="G2014" s="6" t="n">
        <v>723</v>
      </c>
      <c r="H2014" s="6" t="n">
        <v>252</v>
      </c>
      <c r="I2014" s="7" t="n">
        <f aca="false">(G2014-H2014)/G2014</f>
        <v>0.651452282157676</v>
      </c>
      <c r="J2014" s="15" t="n">
        <v>0.3653</v>
      </c>
      <c r="K2014" s="11" t="str">
        <f aca="false">IF(I2014&lt;J2014,"TAK","NIE")</f>
        <v>NIE</v>
      </c>
    </row>
    <row r="2015" customFormat="false" ht="15" hidden="false" customHeight="false" outlineLevel="0" collapsed="false">
      <c r="A2015" s="5" t="s">
        <v>487</v>
      </c>
      <c r="B2015" s="5" t="s">
        <v>54</v>
      </c>
      <c r="C2015" s="5" t="n">
        <v>2021</v>
      </c>
      <c r="D2015" s="5" t="s">
        <v>52</v>
      </c>
      <c r="E2015" s="5" t="s">
        <v>75</v>
      </c>
      <c r="F2015" s="5" t="s">
        <v>40</v>
      </c>
      <c r="G2015" s="6" t="n">
        <v>723</v>
      </c>
      <c r="H2015" s="6" t="n">
        <v>182</v>
      </c>
      <c r="I2015" s="7" t="n">
        <f aca="false">(G2015-H2015)/G2015</f>
        <v>0.748271092669433</v>
      </c>
      <c r="J2015" s="15" t="n">
        <v>0.3653</v>
      </c>
      <c r="K2015" s="11" t="str">
        <f aca="false">IF(I2015&lt;J2015,"TAK","NIE")</f>
        <v>NIE</v>
      </c>
    </row>
    <row r="2016" customFormat="false" ht="15" hidden="false" customHeight="false" outlineLevel="0" collapsed="false">
      <c r="A2016" s="5" t="s">
        <v>460</v>
      </c>
      <c r="B2016" s="5" t="s">
        <v>56</v>
      </c>
      <c r="C2016" s="5" t="n">
        <v>2021</v>
      </c>
      <c r="D2016" s="5" t="s">
        <v>52</v>
      </c>
      <c r="E2016" s="5" t="s">
        <v>89</v>
      </c>
      <c r="F2016" s="5" t="s">
        <v>39</v>
      </c>
      <c r="G2016" s="6" t="n">
        <v>404</v>
      </c>
      <c r="H2016" s="6" t="n">
        <v>145</v>
      </c>
      <c r="I2016" s="7" t="n">
        <f aca="false">(G2016-H2016)/G2016</f>
        <v>0.641089108910891</v>
      </c>
      <c r="J2016" s="15" t="n">
        <v>0.3624</v>
      </c>
      <c r="K2016" s="11" t="str">
        <f aca="false">IF(I2016&lt;J2016,"TAK","NIE")</f>
        <v>NIE</v>
      </c>
    </row>
    <row r="2017" customFormat="false" ht="15" hidden="false" customHeight="false" outlineLevel="0" collapsed="false">
      <c r="A2017" s="5" t="s">
        <v>461</v>
      </c>
      <c r="B2017" s="5" t="s">
        <v>56</v>
      </c>
      <c r="C2017" s="5" t="n">
        <v>2021</v>
      </c>
      <c r="D2017" s="5" t="s">
        <v>52</v>
      </c>
      <c r="E2017" s="5" t="s">
        <v>89</v>
      </c>
      <c r="F2017" s="5" t="s">
        <v>39</v>
      </c>
      <c r="G2017" s="6" t="n">
        <v>418</v>
      </c>
      <c r="H2017" s="6" t="n">
        <v>53</v>
      </c>
      <c r="I2017" s="7" t="n">
        <f aca="false">(G2017-H2017)/G2017</f>
        <v>0.873205741626794</v>
      </c>
      <c r="J2017" s="15" t="n">
        <v>0.3624</v>
      </c>
      <c r="K2017" s="11" t="str">
        <f aca="false">IF(I2017&lt;J2017,"TAK","NIE")</f>
        <v>NIE</v>
      </c>
    </row>
    <row r="2018" customFormat="false" ht="15" hidden="false" customHeight="false" outlineLevel="0" collapsed="false">
      <c r="A2018" s="5" t="s">
        <v>462</v>
      </c>
      <c r="B2018" s="5" t="s">
        <v>56</v>
      </c>
      <c r="C2018" s="5" t="n">
        <v>2021</v>
      </c>
      <c r="D2018" s="5" t="s">
        <v>52</v>
      </c>
      <c r="E2018" s="5" t="s">
        <v>89</v>
      </c>
      <c r="F2018" s="5" t="s">
        <v>39</v>
      </c>
      <c r="G2018" s="6" t="n">
        <v>430</v>
      </c>
      <c r="H2018" s="6" t="n">
        <v>74</v>
      </c>
      <c r="I2018" s="7" t="n">
        <f aca="false">(G2018-H2018)/G2018</f>
        <v>0.827906976744186</v>
      </c>
      <c r="J2018" s="15" t="n">
        <v>0.3624</v>
      </c>
      <c r="K2018" s="11" t="str">
        <f aca="false">IF(I2018&lt;J2018,"TAK","NIE")</f>
        <v>NIE</v>
      </c>
    </row>
    <row r="2019" customFormat="false" ht="15" hidden="false" customHeight="false" outlineLevel="0" collapsed="false">
      <c r="A2019" s="5" t="s">
        <v>463</v>
      </c>
      <c r="B2019" s="5" t="s">
        <v>56</v>
      </c>
      <c r="C2019" s="5" t="n">
        <v>2021</v>
      </c>
      <c r="D2019" s="5" t="s">
        <v>52</v>
      </c>
      <c r="E2019" s="5" t="s">
        <v>89</v>
      </c>
      <c r="F2019" s="5" t="s">
        <v>39</v>
      </c>
      <c r="G2019" s="6" t="n">
        <v>418</v>
      </c>
      <c r="H2019" s="6" t="n">
        <v>152</v>
      </c>
      <c r="I2019" s="7" t="n">
        <f aca="false">(G2019-H2019)/G2019</f>
        <v>0.636363636363636</v>
      </c>
      <c r="J2019" s="15" t="n">
        <v>0.3624</v>
      </c>
      <c r="K2019" s="11" t="str">
        <f aca="false">IF(I2019&lt;J2019,"TAK","NIE")</f>
        <v>NIE</v>
      </c>
    </row>
    <row r="2020" customFormat="false" ht="15" hidden="false" customHeight="false" outlineLevel="0" collapsed="false">
      <c r="A2020" s="5" t="s">
        <v>464</v>
      </c>
      <c r="B2020" s="5" t="s">
        <v>56</v>
      </c>
      <c r="C2020" s="5" t="n">
        <v>2021</v>
      </c>
      <c r="D2020" s="5" t="s">
        <v>52</v>
      </c>
      <c r="E2020" s="5" t="s">
        <v>89</v>
      </c>
      <c r="F2020" s="5" t="s">
        <v>39</v>
      </c>
      <c r="G2020" s="6" t="n">
        <v>444</v>
      </c>
      <c r="H2020" s="6" t="n">
        <v>202</v>
      </c>
      <c r="I2020" s="7" t="n">
        <f aca="false">(G2020-H2020)/G2020</f>
        <v>0.545045045045045</v>
      </c>
      <c r="J2020" s="15" t="n">
        <v>0.3624</v>
      </c>
      <c r="K2020" s="11" t="str">
        <f aca="false">IF(I2020&lt;J2020,"TAK","NIE")</f>
        <v>NIE</v>
      </c>
    </row>
    <row r="2021" customFormat="false" ht="15" hidden="false" customHeight="false" outlineLevel="0" collapsed="false">
      <c r="A2021" s="5" t="s">
        <v>465</v>
      </c>
      <c r="B2021" s="5" t="s">
        <v>56</v>
      </c>
      <c r="C2021" s="5" t="n">
        <v>2021</v>
      </c>
      <c r="D2021" s="5" t="s">
        <v>52</v>
      </c>
      <c r="E2021" s="5" t="s">
        <v>89</v>
      </c>
      <c r="F2021" s="5" t="s">
        <v>39</v>
      </c>
      <c r="G2021" s="6" t="n">
        <v>444</v>
      </c>
      <c r="H2021" s="6" t="n">
        <v>92</v>
      </c>
      <c r="I2021" s="7" t="n">
        <f aca="false">(G2021-H2021)/G2021</f>
        <v>0.792792792792793</v>
      </c>
      <c r="J2021" s="15" t="n">
        <v>0.3624</v>
      </c>
      <c r="K2021" s="11" t="str">
        <f aca="false">IF(I2021&lt;J2021,"TAK","NIE")</f>
        <v>NIE</v>
      </c>
    </row>
    <row r="2022" customFormat="false" ht="15" hidden="false" customHeight="false" outlineLevel="0" collapsed="false">
      <c r="A2022" s="5" t="s">
        <v>466</v>
      </c>
      <c r="B2022" s="5" t="s">
        <v>56</v>
      </c>
      <c r="C2022" s="5" t="n">
        <v>2021</v>
      </c>
      <c r="D2022" s="5" t="s">
        <v>52</v>
      </c>
      <c r="E2022" s="5" t="s">
        <v>89</v>
      </c>
      <c r="F2022" s="5" t="s">
        <v>39</v>
      </c>
      <c r="G2022" s="6" t="n">
        <v>404</v>
      </c>
      <c r="H2022" s="6" t="n">
        <v>227</v>
      </c>
      <c r="I2022" s="7" t="n">
        <f aca="false">(G2022-H2022)/G2022</f>
        <v>0.438118811881188</v>
      </c>
      <c r="J2022" s="15" t="n">
        <v>0.3624</v>
      </c>
      <c r="K2022" s="11" t="str">
        <f aca="false">IF(I2022&lt;J2022,"TAK","NIE")</f>
        <v>NIE</v>
      </c>
    </row>
    <row r="2023" customFormat="false" ht="15" hidden="false" customHeight="false" outlineLevel="0" collapsed="false">
      <c r="A2023" s="5" t="s">
        <v>468</v>
      </c>
      <c r="B2023" s="5" t="s">
        <v>56</v>
      </c>
      <c r="C2023" s="5" t="n">
        <v>2021</v>
      </c>
      <c r="D2023" s="5" t="s">
        <v>52</v>
      </c>
      <c r="E2023" s="5" t="s">
        <v>89</v>
      </c>
      <c r="F2023" s="5" t="s">
        <v>39</v>
      </c>
      <c r="G2023" s="6" t="n">
        <v>410</v>
      </c>
      <c r="H2023" s="6" t="n">
        <v>192</v>
      </c>
      <c r="I2023" s="7" t="n">
        <f aca="false">(G2023-H2023)/G2023</f>
        <v>0.531707317073171</v>
      </c>
      <c r="J2023" s="15" t="n">
        <v>0.3624</v>
      </c>
      <c r="K2023" s="11" t="str">
        <f aca="false">IF(I2023&lt;J2023,"TAK","NIE")</f>
        <v>NIE</v>
      </c>
    </row>
    <row r="2024" customFormat="false" ht="15" hidden="false" customHeight="false" outlineLevel="0" collapsed="false">
      <c r="A2024" s="5" t="s">
        <v>470</v>
      </c>
      <c r="B2024" s="5" t="s">
        <v>56</v>
      </c>
      <c r="C2024" s="5" t="n">
        <v>2021</v>
      </c>
      <c r="D2024" s="5" t="s">
        <v>52</v>
      </c>
      <c r="E2024" s="5" t="s">
        <v>89</v>
      </c>
      <c r="F2024" s="5" t="s">
        <v>39</v>
      </c>
      <c r="G2024" s="6" t="n">
        <v>444</v>
      </c>
      <c r="H2024" s="6" t="n">
        <v>105</v>
      </c>
      <c r="I2024" s="7" t="n">
        <f aca="false">(G2024-H2024)/G2024</f>
        <v>0.763513513513514</v>
      </c>
      <c r="J2024" s="15" t="n">
        <v>0.3624</v>
      </c>
      <c r="K2024" s="11" t="str">
        <f aca="false">IF(I2024&lt;J2024,"TAK","NIE")</f>
        <v>NIE</v>
      </c>
    </row>
    <row r="2025" customFormat="false" ht="15" hidden="false" customHeight="false" outlineLevel="0" collapsed="false">
      <c r="A2025" s="5" t="s">
        <v>472</v>
      </c>
      <c r="B2025" s="5" t="s">
        <v>56</v>
      </c>
      <c r="C2025" s="5" t="n">
        <v>2021</v>
      </c>
      <c r="D2025" s="5" t="s">
        <v>52</v>
      </c>
      <c r="E2025" s="5" t="s">
        <v>89</v>
      </c>
      <c r="F2025" s="5" t="s">
        <v>39</v>
      </c>
      <c r="G2025" s="6" t="n">
        <v>410</v>
      </c>
      <c r="H2025" s="6" t="n">
        <v>180</v>
      </c>
      <c r="I2025" s="7" t="n">
        <f aca="false">(G2025-H2025)/G2025</f>
        <v>0.560975609756098</v>
      </c>
      <c r="J2025" s="15" t="n">
        <v>0.3624</v>
      </c>
      <c r="K2025" s="11" t="str">
        <f aca="false">IF(I2025&lt;J2025,"TAK","NIE")</f>
        <v>NIE</v>
      </c>
    </row>
    <row r="2026" customFormat="false" ht="15" hidden="false" customHeight="false" outlineLevel="0" collapsed="false">
      <c r="A2026" s="5" t="s">
        <v>473</v>
      </c>
      <c r="B2026" s="5" t="s">
        <v>56</v>
      </c>
      <c r="C2026" s="5" t="n">
        <v>2021</v>
      </c>
      <c r="D2026" s="5" t="s">
        <v>52</v>
      </c>
      <c r="E2026" s="5" t="s">
        <v>89</v>
      </c>
      <c r="F2026" s="5" t="s">
        <v>39</v>
      </c>
      <c r="G2026" s="6" t="n">
        <v>436</v>
      </c>
      <c r="H2026" s="6" t="n">
        <v>154</v>
      </c>
      <c r="I2026" s="7" t="n">
        <f aca="false">(G2026-H2026)/G2026</f>
        <v>0.646788990825688</v>
      </c>
      <c r="J2026" s="15" t="n">
        <v>0.3624</v>
      </c>
      <c r="K2026" s="11" t="str">
        <f aca="false">IF(I2026&lt;J2026,"TAK","NIE")</f>
        <v>NIE</v>
      </c>
    </row>
    <row r="2027" customFormat="false" ht="15" hidden="false" customHeight="false" outlineLevel="0" collapsed="false">
      <c r="A2027" s="5" t="s">
        <v>474</v>
      </c>
      <c r="B2027" s="5" t="s">
        <v>56</v>
      </c>
      <c r="C2027" s="5" t="n">
        <v>2021</v>
      </c>
      <c r="D2027" s="5" t="s">
        <v>52</v>
      </c>
      <c r="E2027" s="5" t="s">
        <v>89</v>
      </c>
      <c r="F2027" s="5" t="s">
        <v>39</v>
      </c>
      <c r="G2027" s="6" t="n">
        <v>430</v>
      </c>
      <c r="H2027" s="6" t="n">
        <v>63</v>
      </c>
      <c r="I2027" s="7" t="n">
        <f aca="false">(G2027-H2027)/G2027</f>
        <v>0.853488372093023</v>
      </c>
      <c r="J2027" s="15" t="n">
        <v>0.3624</v>
      </c>
      <c r="K2027" s="11" t="str">
        <f aca="false">IF(I2027&lt;J2027,"TAK","NIE")</f>
        <v>NIE</v>
      </c>
    </row>
    <row r="2028" customFormat="false" ht="15" hidden="false" customHeight="false" outlineLevel="0" collapsed="false">
      <c r="A2028" s="5" t="s">
        <v>475</v>
      </c>
      <c r="B2028" s="5" t="s">
        <v>56</v>
      </c>
      <c r="C2028" s="5" t="n">
        <v>2021</v>
      </c>
      <c r="D2028" s="5" t="s">
        <v>52</v>
      </c>
      <c r="E2028" s="5" t="s">
        <v>89</v>
      </c>
      <c r="F2028" s="5" t="s">
        <v>39</v>
      </c>
      <c r="G2028" s="6" t="n">
        <v>444</v>
      </c>
      <c r="H2028" s="6" t="n">
        <v>98</v>
      </c>
      <c r="I2028" s="7" t="n">
        <f aca="false">(G2028-H2028)/G2028</f>
        <v>0.779279279279279</v>
      </c>
      <c r="J2028" s="15" t="n">
        <v>0.3624</v>
      </c>
      <c r="K2028" s="11" t="str">
        <f aca="false">IF(I2028&lt;J2028,"TAK","NIE")</f>
        <v>NIE</v>
      </c>
    </row>
    <row r="2029" customFormat="false" ht="15" hidden="false" customHeight="false" outlineLevel="0" collapsed="false">
      <c r="A2029" s="5" t="s">
        <v>477</v>
      </c>
      <c r="B2029" s="5" t="s">
        <v>56</v>
      </c>
      <c r="C2029" s="5" t="n">
        <v>2021</v>
      </c>
      <c r="D2029" s="5" t="s">
        <v>52</v>
      </c>
      <c r="E2029" s="5" t="s">
        <v>89</v>
      </c>
      <c r="F2029" s="5" t="s">
        <v>39</v>
      </c>
      <c r="G2029" s="6" t="n">
        <v>444</v>
      </c>
      <c r="H2029" s="6" t="n">
        <v>110</v>
      </c>
      <c r="I2029" s="7" t="n">
        <f aca="false">(G2029-H2029)/G2029</f>
        <v>0.752252252252252</v>
      </c>
      <c r="J2029" s="15" t="n">
        <v>0.3624</v>
      </c>
      <c r="K2029" s="11" t="str">
        <f aca="false">IF(I2029&lt;J2029,"TAK","NIE")</f>
        <v>NIE</v>
      </c>
    </row>
    <row r="2030" customFormat="false" ht="15" hidden="false" customHeight="false" outlineLevel="0" collapsed="false">
      <c r="A2030" s="5" t="s">
        <v>478</v>
      </c>
      <c r="B2030" s="5" t="s">
        <v>56</v>
      </c>
      <c r="C2030" s="5" t="n">
        <v>2021</v>
      </c>
      <c r="D2030" s="5" t="s">
        <v>52</v>
      </c>
      <c r="E2030" s="5" t="s">
        <v>89</v>
      </c>
      <c r="F2030" s="5" t="s">
        <v>39</v>
      </c>
      <c r="G2030" s="6" t="n">
        <v>410</v>
      </c>
      <c r="H2030" s="6" t="n">
        <v>79</v>
      </c>
      <c r="I2030" s="7" t="n">
        <f aca="false">(G2030-H2030)/G2030</f>
        <v>0.807317073170732</v>
      </c>
      <c r="J2030" s="15" t="n">
        <v>0.3624</v>
      </c>
      <c r="K2030" s="11" t="str">
        <f aca="false">IF(I2030&lt;J2030,"TAK","NIE")</f>
        <v>NIE</v>
      </c>
    </row>
    <row r="2031" customFormat="false" ht="15" hidden="false" customHeight="false" outlineLevel="0" collapsed="false">
      <c r="A2031" s="5" t="s">
        <v>479</v>
      </c>
      <c r="B2031" s="5" t="s">
        <v>56</v>
      </c>
      <c r="C2031" s="5" t="n">
        <v>2021</v>
      </c>
      <c r="D2031" s="5" t="s">
        <v>52</v>
      </c>
      <c r="E2031" s="5" t="s">
        <v>89</v>
      </c>
      <c r="F2031" s="5" t="s">
        <v>39</v>
      </c>
      <c r="G2031" s="6" t="n">
        <v>444</v>
      </c>
      <c r="H2031" s="6" t="n">
        <v>135</v>
      </c>
      <c r="I2031" s="7" t="n">
        <f aca="false">(G2031-H2031)/G2031</f>
        <v>0.695945945945946</v>
      </c>
      <c r="J2031" s="15" t="n">
        <v>0.3624</v>
      </c>
      <c r="K2031" s="11" t="str">
        <f aca="false">IF(I2031&lt;J2031,"TAK","NIE")</f>
        <v>NIE</v>
      </c>
    </row>
    <row r="2032" customFormat="false" ht="15" hidden="false" customHeight="false" outlineLevel="0" collapsed="false">
      <c r="A2032" s="5" t="s">
        <v>480</v>
      </c>
      <c r="B2032" s="5" t="s">
        <v>56</v>
      </c>
      <c r="C2032" s="5" t="n">
        <v>2021</v>
      </c>
      <c r="D2032" s="5" t="s">
        <v>52</v>
      </c>
      <c r="E2032" s="5" t="s">
        <v>89</v>
      </c>
      <c r="F2032" s="5" t="s">
        <v>39</v>
      </c>
      <c r="G2032" s="6" t="n">
        <v>418</v>
      </c>
      <c r="H2032" s="6" t="n">
        <v>127</v>
      </c>
      <c r="I2032" s="7" t="n">
        <f aca="false">(G2032-H2032)/G2032</f>
        <v>0.696172248803828</v>
      </c>
      <c r="J2032" s="15" t="n">
        <v>0.3624</v>
      </c>
      <c r="K2032" s="11" t="str">
        <f aca="false">IF(I2032&lt;J2032,"TAK","NIE")</f>
        <v>NIE</v>
      </c>
    </row>
    <row r="2033" customFormat="false" ht="15" hidden="false" customHeight="false" outlineLevel="0" collapsed="false">
      <c r="A2033" s="5" t="s">
        <v>481</v>
      </c>
      <c r="B2033" s="5" t="s">
        <v>56</v>
      </c>
      <c r="C2033" s="5" t="n">
        <v>2021</v>
      </c>
      <c r="D2033" s="5" t="s">
        <v>52</v>
      </c>
      <c r="E2033" s="5" t="s">
        <v>89</v>
      </c>
      <c r="F2033" s="5" t="s">
        <v>39</v>
      </c>
      <c r="G2033" s="6" t="n">
        <v>444</v>
      </c>
      <c r="H2033" s="6" t="n">
        <v>19</v>
      </c>
      <c r="I2033" s="7" t="n">
        <f aca="false">(G2033-H2033)/G2033</f>
        <v>0.957207207207207</v>
      </c>
      <c r="J2033" s="15" t="n">
        <v>0.3624</v>
      </c>
      <c r="K2033" s="11" t="str">
        <f aca="false">IF(I2033&lt;J2033,"TAK","NIE")</f>
        <v>NIE</v>
      </c>
    </row>
    <row r="2034" customFormat="false" ht="15" hidden="false" customHeight="false" outlineLevel="0" collapsed="false">
      <c r="A2034" s="5" t="s">
        <v>482</v>
      </c>
      <c r="B2034" s="5" t="s">
        <v>56</v>
      </c>
      <c r="C2034" s="5" t="n">
        <v>2021</v>
      </c>
      <c r="D2034" s="5" t="s">
        <v>52</v>
      </c>
      <c r="E2034" s="5" t="s">
        <v>89</v>
      </c>
      <c r="F2034" s="5" t="s">
        <v>39</v>
      </c>
      <c r="G2034" s="6" t="n">
        <v>444</v>
      </c>
      <c r="H2034" s="6" t="n">
        <v>138</v>
      </c>
      <c r="I2034" s="7" t="n">
        <f aca="false">(G2034-H2034)/G2034</f>
        <v>0.689189189189189</v>
      </c>
      <c r="J2034" s="15" t="n">
        <v>0.3624</v>
      </c>
      <c r="K2034" s="11" t="str">
        <f aca="false">IF(I2034&lt;J2034,"TAK","NIE")</f>
        <v>NIE</v>
      </c>
    </row>
    <row r="2035" customFormat="false" ht="15" hidden="false" customHeight="false" outlineLevel="0" collapsed="false">
      <c r="A2035" s="5" t="s">
        <v>483</v>
      </c>
      <c r="B2035" s="5" t="s">
        <v>56</v>
      </c>
      <c r="C2035" s="5" t="n">
        <v>2021</v>
      </c>
      <c r="D2035" s="5" t="s">
        <v>52</v>
      </c>
      <c r="E2035" s="5" t="s">
        <v>89</v>
      </c>
      <c r="F2035" s="5" t="s">
        <v>39</v>
      </c>
      <c r="G2035" s="6" t="n">
        <v>410</v>
      </c>
      <c r="H2035" s="6" t="n">
        <v>135</v>
      </c>
      <c r="I2035" s="7" t="n">
        <f aca="false">(G2035-H2035)/G2035</f>
        <v>0.670731707317073</v>
      </c>
      <c r="J2035" s="15" t="n">
        <v>0.3624</v>
      </c>
      <c r="K2035" s="11" t="str">
        <f aca="false">IF(I2035&lt;J2035,"TAK","NIE")</f>
        <v>NIE</v>
      </c>
    </row>
    <row r="2036" customFormat="false" ht="15" hidden="false" customHeight="false" outlineLevel="0" collapsed="false">
      <c r="A2036" s="5" t="s">
        <v>484</v>
      </c>
      <c r="B2036" s="5" t="s">
        <v>56</v>
      </c>
      <c r="C2036" s="5" t="n">
        <v>2021</v>
      </c>
      <c r="D2036" s="5" t="s">
        <v>52</v>
      </c>
      <c r="E2036" s="5" t="s">
        <v>89</v>
      </c>
      <c r="F2036" s="5" t="s">
        <v>39</v>
      </c>
      <c r="G2036" s="6" t="n">
        <v>444</v>
      </c>
      <c r="H2036" s="6" t="n">
        <v>13</v>
      </c>
      <c r="I2036" s="7" t="n">
        <f aca="false">(G2036-H2036)/G2036</f>
        <v>0.970720720720721</v>
      </c>
      <c r="J2036" s="15" t="n">
        <v>0.3624</v>
      </c>
      <c r="K2036" s="11" t="str">
        <f aca="false">IF(I2036&lt;J2036,"TAK","NIE")</f>
        <v>NIE</v>
      </c>
    </row>
    <row r="2037" customFormat="false" ht="15" hidden="false" customHeight="false" outlineLevel="0" collapsed="false">
      <c r="A2037" s="5" t="s">
        <v>485</v>
      </c>
      <c r="B2037" s="5" t="s">
        <v>56</v>
      </c>
      <c r="C2037" s="5" t="n">
        <v>2021</v>
      </c>
      <c r="D2037" s="5" t="s">
        <v>52</v>
      </c>
      <c r="E2037" s="5" t="s">
        <v>89</v>
      </c>
      <c r="F2037" s="5" t="s">
        <v>39</v>
      </c>
      <c r="G2037" s="6" t="n">
        <v>404</v>
      </c>
      <c r="H2037" s="6" t="n">
        <v>43</v>
      </c>
      <c r="I2037" s="7" t="n">
        <f aca="false">(G2037-H2037)/G2037</f>
        <v>0.893564356435644</v>
      </c>
      <c r="J2037" s="15" t="n">
        <v>0.3624</v>
      </c>
      <c r="K2037" s="11" t="str">
        <f aca="false">IF(I2037&lt;J2037,"TAK","NIE")</f>
        <v>NIE</v>
      </c>
    </row>
    <row r="2038" customFormat="false" ht="15" hidden="false" customHeight="false" outlineLevel="0" collapsed="false">
      <c r="A2038" s="5" t="s">
        <v>486</v>
      </c>
      <c r="B2038" s="5" t="s">
        <v>56</v>
      </c>
      <c r="C2038" s="5" t="n">
        <v>2021</v>
      </c>
      <c r="D2038" s="5" t="s">
        <v>52</v>
      </c>
      <c r="E2038" s="5" t="s">
        <v>89</v>
      </c>
      <c r="F2038" s="5" t="s">
        <v>39</v>
      </c>
      <c r="G2038" s="6" t="n">
        <v>410</v>
      </c>
      <c r="H2038" s="6" t="n">
        <v>79</v>
      </c>
      <c r="I2038" s="7" t="n">
        <f aca="false">(G2038-H2038)/G2038</f>
        <v>0.807317073170732</v>
      </c>
      <c r="J2038" s="15" t="n">
        <v>0.3624</v>
      </c>
      <c r="K2038" s="11" t="str">
        <f aca="false">IF(I2038&lt;J2038,"TAK","NIE")</f>
        <v>NIE</v>
      </c>
    </row>
    <row r="2039" customFormat="false" ht="15" hidden="false" customHeight="false" outlineLevel="0" collapsed="false">
      <c r="A2039" s="5" t="s">
        <v>487</v>
      </c>
      <c r="B2039" s="5" t="s">
        <v>56</v>
      </c>
      <c r="C2039" s="5" t="n">
        <v>2021</v>
      </c>
      <c r="D2039" s="5" t="s">
        <v>52</v>
      </c>
      <c r="E2039" s="5" t="s">
        <v>89</v>
      </c>
      <c r="F2039" s="5" t="s">
        <v>39</v>
      </c>
      <c r="G2039" s="6" t="n">
        <v>410</v>
      </c>
      <c r="H2039" s="6" t="n">
        <v>33</v>
      </c>
      <c r="I2039" s="7" t="n">
        <f aca="false">(G2039-H2039)/G2039</f>
        <v>0.919512195121951</v>
      </c>
      <c r="J2039" s="15" t="n">
        <v>0.3624</v>
      </c>
      <c r="K2039" s="11" t="str">
        <f aca="false">IF(I2039&lt;J2039,"TAK","NIE")</f>
        <v>NIE</v>
      </c>
    </row>
    <row r="2040" customFormat="false" ht="15" hidden="false" customHeight="false" outlineLevel="0" collapsed="false">
      <c r="A2040" s="5" t="s">
        <v>460</v>
      </c>
      <c r="B2040" s="5" t="s">
        <v>56</v>
      </c>
      <c r="C2040" s="5" t="n">
        <v>2021</v>
      </c>
      <c r="D2040" s="5" t="s">
        <v>52</v>
      </c>
      <c r="E2040" s="5" t="s">
        <v>89</v>
      </c>
      <c r="F2040" s="5" t="s">
        <v>40</v>
      </c>
      <c r="G2040" s="6" t="n">
        <v>339</v>
      </c>
      <c r="H2040" s="6" t="n">
        <v>169</v>
      </c>
      <c r="I2040" s="7" t="n">
        <f aca="false">(G2040-H2040)/G2040</f>
        <v>0.501474926253687</v>
      </c>
      <c r="J2040" s="15" t="n">
        <v>0.2437</v>
      </c>
      <c r="K2040" s="11" t="str">
        <f aca="false">IF(I2040&lt;J2040,"TAK","NIE")</f>
        <v>NIE</v>
      </c>
    </row>
    <row r="2041" customFormat="false" ht="15" hidden="false" customHeight="false" outlineLevel="0" collapsed="false">
      <c r="A2041" s="5" t="s">
        <v>461</v>
      </c>
      <c r="B2041" s="5" t="s">
        <v>56</v>
      </c>
      <c r="C2041" s="5" t="n">
        <v>2021</v>
      </c>
      <c r="D2041" s="5" t="s">
        <v>52</v>
      </c>
      <c r="E2041" s="5" t="s">
        <v>89</v>
      </c>
      <c r="F2041" s="5" t="s">
        <v>40</v>
      </c>
      <c r="G2041" s="6" t="n">
        <v>351</v>
      </c>
      <c r="H2041" s="6" t="n">
        <v>128</v>
      </c>
      <c r="I2041" s="7" t="n">
        <f aca="false">(G2041-H2041)/G2041</f>
        <v>0.635327635327635</v>
      </c>
      <c r="J2041" s="15" t="n">
        <v>0.2437</v>
      </c>
      <c r="K2041" s="11" t="str">
        <f aca="false">IF(I2041&lt;J2041,"TAK","NIE")</f>
        <v>NIE</v>
      </c>
    </row>
    <row r="2042" customFormat="false" ht="15" hidden="false" customHeight="false" outlineLevel="0" collapsed="false">
      <c r="A2042" s="5" t="s">
        <v>462</v>
      </c>
      <c r="B2042" s="5" t="s">
        <v>56</v>
      </c>
      <c r="C2042" s="5" t="n">
        <v>2021</v>
      </c>
      <c r="D2042" s="5" t="s">
        <v>52</v>
      </c>
      <c r="E2042" s="5" t="s">
        <v>89</v>
      </c>
      <c r="F2042" s="5" t="s">
        <v>40</v>
      </c>
      <c r="G2042" s="6" t="n">
        <v>339</v>
      </c>
      <c r="H2042" s="6" t="n">
        <v>113</v>
      </c>
      <c r="I2042" s="7" t="n">
        <f aca="false">(G2042-H2042)/G2042</f>
        <v>0.666666666666667</v>
      </c>
      <c r="J2042" s="15" t="n">
        <v>0.2437</v>
      </c>
      <c r="K2042" s="11" t="str">
        <f aca="false">IF(I2042&lt;J2042,"TAK","NIE")</f>
        <v>NIE</v>
      </c>
    </row>
    <row r="2043" customFormat="false" ht="15" hidden="false" customHeight="false" outlineLevel="0" collapsed="false">
      <c r="A2043" s="5" t="s">
        <v>463</v>
      </c>
      <c r="B2043" s="5" t="s">
        <v>56</v>
      </c>
      <c r="C2043" s="5" t="n">
        <v>2021</v>
      </c>
      <c r="D2043" s="5" t="s">
        <v>52</v>
      </c>
      <c r="E2043" s="5" t="s">
        <v>89</v>
      </c>
      <c r="F2043" s="5" t="s">
        <v>40</v>
      </c>
      <c r="G2043" s="6" t="n">
        <v>351</v>
      </c>
      <c r="H2043" s="6" t="n">
        <v>156</v>
      </c>
      <c r="I2043" s="7" t="n">
        <f aca="false">(G2043-H2043)/G2043</f>
        <v>0.555555555555556</v>
      </c>
      <c r="J2043" s="15" t="n">
        <v>0.2437</v>
      </c>
      <c r="K2043" s="11" t="str">
        <f aca="false">IF(I2043&lt;J2043,"TAK","NIE")</f>
        <v>NIE</v>
      </c>
    </row>
    <row r="2044" customFormat="false" ht="15" hidden="false" customHeight="false" outlineLevel="0" collapsed="false">
      <c r="A2044" s="5" t="s">
        <v>464</v>
      </c>
      <c r="B2044" s="5" t="s">
        <v>56</v>
      </c>
      <c r="C2044" s="5" t="n">
        <v>2021</v>
      </c>
      <c r="D2044" s="5" t="s">
        <v>52</v>
      </c>
      <c r="E2044" s="5" t="s">
        <v>89</v>
      </c>
      <c r="F2044" s="5" t="s">
        <v>40</v>
      </c>
      <c r="G2044" s="6" t="n">
        <v>351</v>
      </c>
      <c r="H2044" s="6" t="n">
        <v>260</v>
      </c>
      <c r="I2044" s="7" t="n">
        <f aca="false">(G2044-H2044)/G2044</f>
        <v>0.259259259259259</v>
      </c>
      <c r="J2044" s="15" t="n">
        <v>0.2437</v>
      </c>
      <c r="K2044" s="11" t="str">
        <f aca="false">IF(I2044&lt;J2044,"TAK","NIE")</f>
        <v>NIE</v>
      </c>
    </row>
    <row r="2045" customFormat="false" ht="15" hidden="false" customHeight="false" outlineLevel="0" collapsed="false">
      <c r="A2045" s="5" t="s">
        <v>465</v>
      </c>
      <c r="B2045" s="5" t="s">
        <v>56</v>
      </c>
      <c r="C2045" s="5" t="n">
        <v>2021</v>
      </c>
      <c r="D2045" s="5" t="s">
        <v>52</v>
      </c>
      <c r="E2045" s="5" t="s">
        <v>89</v>
      </c>
      <c r="F2045" s="5" t="s">
        <v>40</v>
      </c>
      <c r="G2045" s="6" t="n">
        <v>351</v>
      </c>
      <c r="H2045" s="6" t="n">
        <v>102</v>
      </c>
      <c r="I2045" s="7" t="n">
        <f aca="false">(G2045-H2045)/G2045</f>
        <v>0.709401709401709</v>
      </c>
      <c r="J2045" s="15" t="n">
        <v>0.2437</v>
      </c>
      <c r="K2045" s="11" t="str">
        <f aca="false">IF(I2045&lt;J2045,"TAK","NIE")</f>
        <v>NIE</v>
      </c>
    </row>
    <row r="2046" customFormat="false" ht="15" hidden="false" customHeight="false" outlineLevel="0" collapsed="false">
      <c r="A2046" s="5" t="s">
        <v>466</v>
      </c>
      <c r="B2046" s="5" t="s">
        <v>56</v>
      </c>
      <c r="C2046" s="5" t="n">
        <v>2021</v>
      </c>
      <c r="D2046" s="5" t="s">
        <v>52</v>
      </c>
      <c r="E2046" s="5" t="s">
        <v>89</v>
      </c>
      <c r="F2046" s="5" t="s">
        <v>40</v>
      </c>
      <c r="G2046" s="6" t="n">
        <v>339</v>
      </c>
      <c r="H2046" s="6" t="n">
        <v>241</v>
      </c>
      <c r="I2046" s="7" t="n">
        <f aca="false">(G2046-H2046)/G2046</f>
        <v>0.289085545722714</v>
      </c>
      <c r="J2046" s="15" t="n">
        <v>0.2437</v>
      </c>
      <c r="K2046" s="11" t="str">
        <f aca="false">IF(I2046&lt;J2046,"TAK","NIE")</f>
        <v>NIE</v>
      </c>
    </row>
    <row r="2047" customFormat="false" ht="15" hidden="false" customHeight="false" outlineLevel="0" collapsed="false">
      <c r="A2047" s="5" t="s">
        <v>468</v>
      </c>
      <c r="B2047" s="5" t="s">
        <v>56</v>
      </c>
      <c r="C2047" s="5" t="n">
        <v>2021</v>
      </c>
      <c r="D2047" s="5" t="s">
        <v>52</v>
      </c>
      <c r="E2047" s="5" t="s">
        <v>89</v>
      </c>
      <c r="F2047" s="5" t="s">
        <v>40</v>
      </c>
      <c r="G2047" s="6" t="n">
        <v>339</v>
      </c>
      <c r="H2047" s="6" t="n">
        <v>165</v>
      </c>
      <c r="I2047" s="7" t="n">
        <f aca="false">(G2047-H2047)/G2047</f>
        <v>0.513274336283186</v>
      </c>
      <c r="J2047" s="15" t="n">
        <v>0.2437</v>
      </c>
      <c r="K2047" s="11" t="str">
        <f aca="false">IF(I2047&lt;J2047,"TAK","NIE")</f>
        <v>NIE</v>
      </c>
    </row>
    <row r="2048" customFormat="false" ht="15" hidden="false" customHeight="false" outlineLevel="0" collapsed="false">
      <c r="A2048" s="5" t="s">
        <v>470</v>
      </c>
      <c r="B2048" s="5" t="s">
        <v>56</v>
      </c>
      <c r="C2048" s="5" t="n">
        <v>2021</v>
      </c>
      <c r="D2048" s="5" t="s">
        <v>52</v>
      </c>
      <c r="E2048" s="5" t="s">
        <v>89</v>
      </c>
      <c r="F2048" s="5" t="s">
        <v>40</v>
      </c>
      <c r="G2048" s="6" t="n">
        <v>351</v>
      </c>
      <c r="H2048" s="6" t="n">
        <v>114</v>
      </c>
      <c r="I2048" s="7" t="n">
        <f aca="false">(G2048-H2048)/G2048</f>
        <v>0.675213675213675</v>
      </c>
      <c r="J2048" s="15" t="n">
        <v>0.2437</v>
      </c>
      <c r="K2048" s="11" t="str">
        <f aca="false">IF(I2048&lt;J2048,"TAK","NIE")</f>
        <v>NIE</v>
      </c>
    </row>
    <row r="2049" customFormat="false" ht="15" hidden="false" customHeight="false" outlineLevel="0" collapsed="false">
      <c r="A2049" s="5" t="s">
        <v>472</v>
      </c>
      <c r="B2049" s="5" t="s">
        <v>56</v>
      </c>
      <c r="C2049" s="5" t="n">
        <v>2021</v>
      </c>
      <c r="D2049" s="5" t="s">
        <v>52</v>
      </c>
      <c r="E2049" s="5" t="s">
        <v>89</v>
      </c>
      <c r="F2049" s="5" t="s">
        <v>40</v>
      </c>
      <c r="G2049" s="6" t="n">
        <v>339</v>
      </c>
      <c r="H2049" s="6" t="n">
        <v>165</v>
      </c>
      <c r="I2049" s="7" t="n">
        <f aca="false">(G2049-H2049)/G2049</f>
        <v>0.513274336283186</v>
      </c>
      <c r="J2049" s="15" t="n">
        <v>0.2437</v>
      </c>
      <c r="K2049" s="11" t="str">
        <f aca="false">IF(I2049&lt;J2049,"TAK","NIE")</f>
        <v>NIE</v>
      </c>
    </row>
    <row r="2050" customFormat="false" ht="15" hidden="false" customHeight="false" outlineLevel="0" collapsed="false">
      <c r="A2050" s="5" t="s">
        <v>473</v>
      </c>
      <c r="B2050" s="5" t="s">
        <v>56</v>
      </c>
      <c r="C2050" s="5" t="n">
        <v>2021</v>
      </c>
      <c r="D2050" s="5" t="s">
        <v>52</v>
      </c>
      <c r="E2050" s="5" t="s">
        <v>89</v>
      </c>
      <c r="F2050" s="5" t="s">
        <v>40</v>
      </c>
      <c r="G2050" s="6" t="n">
        <v>339</v>
      </c>
      <c r="H2050" s="6" t="n">
        <v>184</v>
      </c>
      <c r="I2050" s="7" t="n">
        <f aca="false">(G2050-H2050)/G2050</f>
        <v>0.457227138643068</v>
      </c>
      <c r="J2050" s="15" t="n">
        <v>0.2437</v>
      </c>
      <c r="K2050" s="11" t="str">
        <f aca="false">IF(I2050&lt;J2050,"TAK","NIE")</f>
        <v>NIE</v>
      </c>
    </row>
    <row r="2051" customFormat="false" ht="15" hidden="false" customHeight="false" outlineLevel="0" collapsed="false">
      <c r="A2051" s="5" t="s">
        <v>474</v>
      </c>
      <c r="B2051" s="5" t="s">
        <v>56</v>
      </c>
      <c r="C2051" s="5" t="n">
        <v>2021</v>
      </c>
      <c r="D2051" s="5" t="s">
        <v>52</v>
      </c>
      <c r="E2051" s="5" t="s">
        <v>89</v>
      </c>
      <c r="F2051" s="5" t="s">
        <v>40</v>
      </c>
      <c r="G2051" s="6" t="n">
        <v>339</v>
      </c>
      <c r="H2051" s="6" t="n">
        <v>82</v>
      </c>
      <c r="I2051" s="7" t="n">
        <f aca="false">(G2051-H2051)/G2051</f>
        <v>0.75811209439528</v>
      </c>
      <c r="J2051" s="15" t="n">
        <v>0.2437</v>
      </c>
      <c r="K2051" s="11" t="str">
        <f aca="false">IF(I2051&lt;J2051,"TAK","NIE")</f>
        <v>NIE</v>
      </c>
    </row>
    <row r="2052" customFormat="false" ht="15" hidden="false" customHeight="false" outlineLevel="0" collapsed="false">
      <c r="A2052" s="5" t="s">
        <v>475</v>
      </c>
      <c r="B2052" s="5" t="s">
        <v>56</v>
      </c>
      <c r="C2052" s="5" t="n">
        <v>2021</v>
      </c>
      <c r="D2052" s="5" t="s">
        <v>52</v>
      </c>
      <c r="E2052" s="5" t="s">
        <v>89</v>
      </c>
      <c r="F2052" s="5" t="s">
        <v>40</v>
      </c>
      <c r="G2052" s="6" t="n">
        <v>351</v>
      </c>
      <c r="H2052" s="6" t="n">
        <v>110</v>
      </c>
      <c r="I2052" s="7" t="n">
        <f aca="false">(G2052-H2052)/G2052</f>
        <v>0.686609686609687</v>
      </c>
      <c r="J2052" s="15" t="n">
        <v>0.2437</v>
      </c>
      <c r="K2052" s="11" t="str">
        <f aca="false">IF(I2052&lt;J2052,"TAK","NIE")</f>
        <v>NIE</v>
      </c>
    </row>
    <row r="2053" customFormat="false" ht="15" hidden="false" customHeight="false" outlineLevel="0" collapsed="false">
      <c r="A2053" s="5" t="s">
        <v>477</v>
      </c>
      <c r="B2053" s="5" t="s">
        <v>56</v>
      </c>
      <c r="C2053" s="5" t="n">
        <v>2021</v>
      </c>
      <c r="D2053" s="5" t="s">
        <v>52</v>
      </c>
      <c r="E2053" s="5" t="s">
        <v>89</v>
      </c>
      <c r="F2053" s="5" t="s">
        <v>40</v>
      </c>
      <c r="G2053" s="6" t="n">
        <v>351</v>
      </c>
      <c r="H2053" s="6" t="n">
        <v>125</v>
      </c>
      <c r="I2053" s="7" t="n">
        <f aca="false">(G2053-H2053)/G2053</f>
        <v>0.643874643874644</v>
      </c>
      <c r="J2053" s="15" t="n">
        <v>0.2437</v>
      </c>
      <c r="K2053" s="11" t="str">
        <f aca="false">IF(I2053&lt;J2053,"TAK","NIE")</f>
        <v>NIE</v>
      </c>
    </row>
    <row r="2054" customFormat="false" ht="15" hidden="false" customHeight="false" outlineLevel="0" collapsed="false">
      <c r="A2054" s="5" t="s">
        <v>478</v>
      </c>
      <c r="B2054" s="5" t="s">
        <v>56</v>
      </c>
      <c r="C2054" s="5" t="n">
        <v>2021</v>
      </c>
      <c r="D2054" s="5" t="s">
        <v>52</v>
      </c>
      <c r="E2054" s="5" t="s">
        <v>89</v>
      </c>
      <c r="F2054" s="5" t="s">
        <v>40</v>
      </c>
      <c r="G2054" s="6" t="n">
        <v>339</v>
      </c>
      <c r="H2054" s="6" t="n">
        <v>137</v>
      </c>
      <c r="I2054" s="7" t="n">
        <f aca="false">(G2054-H2054)/G2054</f>
        <v>0.595870206489676</v>
      </c>
      <c r="J2054" s="15" t="n">
        <v>0.2437</v>
      </c>
      <c r="K2054" s="11" t="str">
        <f aca="false">IF(I2054&lt;J2054,"TAK","NIE")</f>
        <v>NIE</v>
      </c>
    </row>
    <row r="2055" customFormat="false" ht="15" hidden="false" customHeight="false" outlineLevel="0" collapsed="false">
      <c r="A2055" s="5" t="s">
        <v>479</v>
      </c>
      <c r="B2055" s="5" t="s">
        <v>56</v>
      </c>
      <c r="C2055" s="5" t="n">
        <v>2021</v>
      </c>
      <c r="D2055" s="5" t="s">
        <v>52</v>
      </c>
      <c r="E2055" s="5" t="s">
        <v>89</v>
      </c>
      <c r="F2055" s="5" t="s">
        <v>40</v>
      </c>
      <c r="G2055" s="6" t="n">
        <v>351</v>
      </c>
      <c r="H2055" s="6" t="n">
        <v>171</v>
      </c>
      <c r="I2055" s="7" t="n">
        <f aca="false">(G2055-H2055)/G2055</f>
        <v>0.512820512820513</v>
      </c>
      <c r="J2055" s="15" t="n">
        <v>0.2437</v>
      </c>
      <c r="K2055" s="11" t="str">
        <f aca="false">IF(I2055&lt;J2055,"TAK","NIE")</f>
        <v>NIE</v>
      </c>
    </row>
    <row r="2056" customFormat="false" ht="15" hidden="false" customHeight="false" outlineLevel="0" collapsed="false">
      <c r="A2056" s="5" t="s">
        <v>480</v>
      </c>
      <c r="B2056" s="5" t="s">
        <v>56</v>
      </c>
      <c r="C2056" s="5" t="n">
        <v>2021</v>
      </c>
      <c r="D2056" s="5" t="s">
        <v>52</v>
      </c>
      <c r="E2056" s="5" t="s">
        <v>89</v>
      </c>
      <c r="F2056" s="5" t="s">
        <v>40</v>
      </c>
      <c r="G2056" s="6" t="n">
        <v>351</v>
      </c>
      <c r="H2056" s="6" t="n">
        <v>129</v>
      </c>
      <c r="I2056" s="7" t="n">
        <f aca="false">(G2056-H2056)/G2056</f>
        <v>0.632478632478633</v>
      </c>
      <c r="J2056" s="15" t="n">
        <v>0.2437</v>
      </c>
      <c r="K2056" s="11" t="str">
        <f aca="false">IF(I2056&lt;J2056,"TAK","NIE")</f>
        <v>NIE</v>
      </c>
    </row>
    <row r="2057" customFormat="false" ht="15" hidden="false" customHeight="false" outlineLevel="0" collapsed="false">
      <c r="A2057" s="5" t="s">
        <v>481</v>
      </c>
      <c r="B2057" s="5" t="s">
        <v>56</v>
      </c>
      <c r="C2057" s="5" t="n">
        <v>2021</v>
      </c>
      <c r="D2057" s="5" t="s">
        <v>52</v>
      </c>
      <c r="E2057" s="5" t="s">
        <v>89</v>
      </c>
      <c r="F2057" s="5" t="s">
        <v>40</v>
      </c>
      <c r="G2057" s="6" t="n">
        <v>351</v>
      </c>
      <c r="H2057" s="6" t="n">
        <v>85</v>
      </c>
      <c r="I2057" s="7" t="n">
        <f aca="false">(G2057-H2057)/G2057</f>
        <v>0.757834757834758</v>
      </c>
      <c r="J2057" s="15" t="n">
        <v>0.2437</v>
      </c>
      <c r="K2057" s="11" t="str">
        <f aca="false">IF(I2057&lt;J2057,"TAK","NIE")</f>
        <v>NIE</v>
      </c>
    </row>
    <row r="2058" customFormat="false" ht="15" hidden="false" customHeight="false" outlineLevel="0" collapsed="false">
      <c r="A2058" s="5" t="s">
        <v>482</v>
      </c>
      <c r="B2058" s="5" t="s">
        <v>56</v>
      </c>
      <c r="C2058" s="5" t="n">
        <v>2021</v>
      </c>
      <c r="D2058" s="5" t="s">
        <v>52</v>
      </c>
      <c r="E2058" s="5" t="s">
        <v>89</v>
      </c>
      <c r="F2058" s="5" t="s">
        <v>40</v>
      </c>
      <c r="G2058" s="6" t="n">
        <v>351</v>
      </c>
      <c r="H2058" s="6" t="n">
        <v>203</v>
      </c>
      <c r="I2058" s="7" t="n">
        <f aca="false">(G2058-H2058)/G2058</f>
        <v>0.421652421652422</v>
      </c>
      <c r="J2058" s="15" t="n">
        <v>0.2437</v>
      </c>
      <c r="K2058" s="11" t="str">
        <f aca="false">IF(I2058&lt;J2058,"TAK","NIE")</f>
        <v>NIE</v>
      </c>
    </row>
    <row r="2059" customFormat="false" ht="15" hidden="false" customHeight="false" outlineLevel="0" collapsed="false">
      <c r="A2059" s="5" t="s">
        <v>483</v>
      </c>
      <c r="B2059" s="5" t="s">
        <v>56</v>
      </c>
      <c r="C2059" s="5" t="n">
        <v>2021</v>
      </c>
      <c r="D2059" s="5" t="s">
        <v>52</v>
      </c>
      <c r="E2059" s="5" t="s">
        <v>89</v>
      </c>
      <c r="F2059" s="5" t="s">
        <v>40</v>
      </c>
      <c r="G2059" s="6" t="n">
        <v>339</v>
      </c>
      <c r="H2059" s="6" t="n">
        <v>138</v>
      </c>
      <c r="I2059" s="7" t="n">
        <f aca="false">(G2059-H2059)/G2059</f>
        <v>0.592920353982301</v>
      </c>
      <c r="J2059" s="15" t="n">
        <v>0.2437</v>
      </c>
      <c r="K2059" s="11" t="str">
        <f aca="false">IF(I2059&lt;J2059,"TAK","NIE")</f>
        <v>NIE</v>
      </c>
    </row>
    <row r="2060" customFormat="false" ht="15" hidden="false" customHeight="false" outlineLevel="0" collapsed="false">
      <c r="A2060" s="5" t="s">
        <v>484</v>
      </c>
      <c r="B2060" s="5" t="s">
        <v>56</v>
      </c>
      <c r="C2060" s="5" t="n">
        <v>2021</v>
      </c>
      <c r="D2060" s="5" t="s">
        <v>52</v>
      </c>
      <c r="E2060" s="5" t="s">
        <v>89</v>
      </c>
      <c r="F2060" s="5" t="s">
        <v>40</v>
      </c>
      <c r="G2060" s="6" t="n">
        <v>351</v>
      </c>
      <c r="H2060" s="6" t="n">
        <v>82</v>
      </c>
      <c r="I2060" s="7" t="n">
        <f aca="false">(G2060-H2060)/G2060</f>
        <v>0.766381766381766</v>
      </c>
      <c r="J2060" s="15" t="n">
        <v>0.2437</v>
      </c>
      <c r="K2060" s="11" t="str">
        <f aca="false">IF(I2060&lt;J2060,"TAK","NIE")</f>
        <v>NIE</v>
      </c>
    </row>
    <row r="2061" customFormat="false" ht="15" hidden="false" customHeight="false" outlineLevel="0" collapsed="false">
      <c r="A2061" s="5" t="s">
        <v>485</v>
      </c>
      <c r="B2061" s="5" t="s">
        <v>56</v>
      </c>
      <c r="C2061" s="5" t="n">
        <v>2021</v>
      </c>
      <c r="D2061" s="5" t="s">
        <v>52</v>
      </c>
      <c r="E2061" s="5" t="s">
        <v>89</v>
      </c>
      <c r="F2061" s="5" t="s">
        <v>40</v>
      </c>
      <c r="G2061" s="6" t="n">
        <v>339</v>
      </c>
      <c r="H2061" s="6" t="n">
        <v>79</v>
      </c>
      <c r="I2061" s="7" t="n">
        <f aca="false">(G2061-H2061)/G2061</f>
        <v>0.766961651917404</v>
      </c>
      <c r="J2061" s="15" t="n">
        <v>0.2437</v>
      </c>
      <c r="K2061" s="11" t="str">
        <f aca="false">IF(I2061&lt;J2061,"TAK","NIE")</f>
        <v>NIE</v>
      </c>
    </row>
    <row r="2062" customFormat="false" ht="15" hidden="false" customHeight="false" outlineLevel="0" collapsed="false">
      <c r="A2062" s="5" t="s">
        <v>486</v>
      </c>
      <c r="B2062" s="5" t="s">
        <v>56</v>
      </c>
      <c r="C2062" s="5" t="n">
        <v>2021</v>
      </c>
      <c r="D2062" s="5" t="s">
        <v>52</v>
      </c>
      <c r="E2062" s="5" t="s">
        <v>89</v>
      </c>
      <c r="F2062" s="5" t="s">
        <v>40</v>
      </c>
      <c r="G2062" s="6" t="n">
        <v>339</v>
      </c>
      <c r="H2062" s="6" t="n">
        <v>155</v>
      </c>
      <c r="I2062" s="7" t="n">
        <f aca="false">(G2062-H2062)/G2062</f>
        <v>0.542772861356932</v>
      </c>
      <c r="J2062" s="15" t="n">
        <v>0.2437</v>
      </c>
      <c r="K2062" s="11" t="str">
        <f aca="false">IF(I2062&lt;J2062,"TAK","NIE")</f>
        <v>NIE</v>
      </c>
    </row>
    <row r="2063" customFormat="false" ht="15" hidden="false" customHeight="false" outlineLevel="0" collapsed="false">
      <c r="A2063" s="5" t="s">
        <v>487</v>
      </c>
      <c r="B2063" s="5" t="s">
        <v>56</v>
      </c>
      <c r="C2063" s="5" t="n">
        <v>2021</v>
      </c>
      <c r="D2063" s="5" t="s">
        <v>52</v>
      </c>
      <c r="E2063" s="5" t="s">
        <v>89</v>
      </c>
      <c r="F2063" s="5" t="s">
        <v>40</v>
      </c>
      <c r="G2063" s="6" t="n">
        <v>339</v>
      </c>
      <c r="H2063" s="6" t="n">
        <v>95</v>
      </c>
      <c r="I2063" s="7" t="n">
        <f aca="false">(G2063-H2063)/G2063</f>
        <v>0.71976401179941</v>
      </c>
      <c r="J2063" s="15" t="n">
        <v>0.2437</v>
      </c>
      <c r="K2063" s="11" t="str">
        <f aca="false">IF(I2063&lt;J2063,"TAK","NIE")</f>
        <v>NIE</v>
      </c>
    </row>
    <row r="2064" customFormat="false" ht="15" hidden="false" customHeight="false" outlineLevel="0" collapsed="false">
      <c r="A2064" s="5" t="s">
        <v>488</v>
      </c>
      <c r="B2064" s="5" t="s">
        <v>74</v>
      </c>
      <c r="C2064" s="5" t="n">
        <v>2021</v>
      </c>
      <c r="D2064" s="5" t="s">
        <v>59</v>
      </c>
      <c r="E2064" s="5" t="s">
        <v>46</v>
      </c>
      <c r="F2064" s="5" t="s">
        <v>39</v>
      </c>
      <c r="G2064" s="6" t="n">
        <v>666</v>
      </c>
      <c r="H2064" s="6" t="n">
        <v>106</v>
      </c>
      <c r="I2064" s="7" t="n">
        <f aca="false">(G2064-H2064)/G2064</f>
        <v>0.840840840840841</v>
      </c>
      <c r="J2064" s="15" t="n">
        <v>0.6923</v>
      </c>
      <c r="K2064" s="11" t="str">
        <f aca="false">IF(I2064&lt;J2064,"TAK","NIE")</f>
        <v>NIE</v>
      </c>
    </row>
    <row r="2065" customFormat="false" ht="15" hidden="false" customHeight="false" outlineLevel="0" collapsed="false">
      <c r="A2065" s="5" t="s">
        <v>489</v>
      </c>
      <c r="B2065" s="5" t="s">
        <v>74</v>
      </c>
      <c r="C2065" s="5" t="n">
        <v>2021</v>
      </c>
      <c r="D2065" s="5" t="s">
        <v>59</v>
      </c>
      <c r="E2065" s="5" t="s">
        <v>46</v>
      </c>
      <c r="F2065" s="5" t="s">
        <v>39</v>
      </c>
      <c r="G2065" s="6" t="n">
        <v>666</v>
      </c>
      <c r="H2065" s="6" t="n">
        <v>131</v>
      </c>
      <c r="I2065" s="7" t="n">
        <f aca="false">(G2065-H2065)/G2065</f>
        <v>0.803303303303303</v>
      </c>
      <c r="J2065" s="15" t="n">
        <v>0.6923</v>
      </c>
      <c r="K2065" s="11" t="str">
        <f aca="false">IF(I2065&lt;J2065,"TAK","NIE")</f>
        <v>NIE</v>
      </c>
    </row>
    <row r="2066" customFormat="false" ht="15" hidden="false" customHeight="false" outlineLevel="0" collapsed="false">
      <c r="A2066" s="5" t="s">
        <v>490</v>
      </c>
      <c r="B2066" s="5" t="s">
        <v>74</v>
      </c>
      <c r="C2066" s="5" t="n">
        <v>2021</v>
      </c>
      <c r="D2066" s="5" t="s">
        <v>59</v>
      </c>
      <c r="E2066" s="5" t="s">
        <v>46</v>
      </c>
      <c r="F2066" s="5" t="s">
        <v>39</v>
      </c>
      <c r="G2066" s="6" t="n">
        <v>666</v>
      </c>
      <c r="H2066" s="6" t="n">
        <v>82</v>
      </c>
      <c r="I2066" s="7" t="n">
        <f aca="false">(G2066-H2066)/G2066</f>
        <v>0.876876876876877</v>
      </c>
      <c r="J2066" s="15" t="n">
        <v>0.6923</v>
      </c>
      <c r="K2066" s="11" t="str">
        <f aca="false">IF(I2066&lt;J2066,"TAK","NIE")</f>
        <v>NIE</v>
      </c>
    </row>
    <row r="2067" customFormat="false" ht="15" hidden="false" customHeight="false" outlineLevel="0" collapsed="false">
      <c r="A2067" s="5" t="s">
        <v>491</v>
      </c>
      <c r="B2067" s="5" t="s">
        <v>74</v>
      </c>
      <c r="C2067" s="5" t="n">
        <v>2021</v>
      </c>
      <c r="D2067" s="5" t="s">
        <v>59</v>
      </c>
      <c r="E2067" s="5" t="s">
        <v>46</v>
      </c>
      <c r="F2067" s="5" t="s">
        <v>39</v>
      </c>
      <c r="G2067" s="6" t="n">
        <v>666</v>
      </c>
      <c r="H2067" s="6" t="n">
        <v>85</v>
      </c>
      <c r="I2067" s="7" t="n">
        <f aca="false">(G2067-H2067)/G2067</f>
        <v>0.872372372372372</v>
      </c>
      <c r="J2067" s="15" t="n">
        <v>0.6923</v>
      </c>
      <c r="K2067" s="11" t="str">
        <f aca="false">IF(I2067&lt;J2067,"TAK","NIE")</f>
        <v>NIE</v>
      </c>
    </row>
    <row r="2068" customFormat="false" ht="15" hidden="false" customHeight="false" outlineLevel="0" collapsed="false">
      <c r="A2068" s="5" t="s">
        <v>492</v>
      </c>
      <c r="B2068" s="5" t="s">
        <v>74</v>
      </c>
      <c r="C2068" s="5" t="n">
        <v>2021</v>
      </c>
      <c r="D2068" s="5" t="s">
        <v>59</v>
      </c>
      <c r="E2068" s="5" t="s">
        <v>46</v>
      </c>
      <c r="F2068" s="5" t="s">
        <v>39</v>
      </c>
      <c r="G2068" s="6" t="n">
        <v>666</v>
      </c>
      <c r="H2068" s="6" t="n">
        <v>110</v>
      </c>
      <c r="I2068" s="7" t="n">
        <f aca="false">(G2068-H2068)/G2068</f>
        <v>0.834834834834835</v>
      </c>
      <c r="J2068" s="15" t="n">
        <v>0.6923</v>
      </c>
      <c r="K2068" s="11" t="str">
        <f aca="false">IF(I2068&lt;J2068,"TAK","NIE")</f>
        <v>NIE</v>
      </c>
    </row>
    <row r="2069" customFormat="false" ht="15" hidden="false" customHeight="false" outlineLevel="0" collapsed="false">
      <c r="A2069" s="5" t="s">
        <v>493</v>
      </c>
      <c r="B2069" s="5" t="s">
        <v>74</v>
      </c>
      <c r="C2069" s="5" t="n">
        <v>2021</v>
      </c>
      <c r="D2069" s="5" t="s">
        <v>59</v>
      </c>
      <c r="E2069" s="5" t="s">
        <v>46</v>
      </c>
      <c r="F2069" s="5" t="s">
        <v>39</v>
      </c>
      <c r="G2069" s="6" t="n">
        <v>667</v>
      </c>
      <c r="H2069" s="6" t="n">
        <v>159</v>
      </c>
      <c r="I2069" s="7" t="n">
        <f aca="false">(G2069-H2069)/G2069</f>
        <v>0.761619190404798</v>
      </c>
      <c r="J2069" s="15" t="n">
        <v>0.6923</v>
      </c>
      <c r="K2069" s="11" t="str">
        <f aca="false">IF(I2069&lt;J2069,"TAK","NIE")</f>
        <v>NIE</v>
      </c>
    </row>
    <row r="2070" customFormat="false" ht="15" hidden="false" customHeight="false" outlineLevel="0" collapsed="false">
      <c r="A2070" s="5" t="s">
        <v>494</v>
      </c>
      <c r="B2070" s="5" t="s">
        <v>74</v>
      </c>
      <c r="C2070" s="5" t="n">
        <v>2021</v>
      </c>
      <c r="D2070" s="5" t="s">
        <v>59</v>
      </c>
      <c r="E2070" s="5" t="s">
        <v>46</v>
      </c>
      <c r="F2070" s="5" t="s">
        <v>39</v>
      </c>
      <c r="G2070" s="6" t="n">
        <v>667</v>
      </c>
      <c r="H2070" s="6" t="n">
        <v>161</v>
      </c>
      <c r="I2070" s="7" t="n">
        <f aca="false">(G2070-H2070)/G2070</f>
        <v>0.758620689655172</v>
      </c>
      <c r="J2070" s="15" t="n">
        <v>0.6923</v>
      </c>
      <c r="K2070" s="11" t="str">
        <f aca="false">IF(I2070&lt;J2070,"TAK","NIE")</f>
        <v>NIE</v>
      </c>
    </row>
    <row r="2071" customFormat="false" ht="15" hidden="false" customHeight="false" outlineLevel="0" collapsed="false">
      <c r="A2071" s="5" t="s">
        <v>495</v>
      </c>
      <c r="B2071" s="5" t="s">
        <v>74</v>
      </c>
      <c r="C2071" s="5" t="n">
        <v>2021</v>
      </c>
      <c r="D2071" s="5" t="s">
        <v>59</v>
      </c>
      <c r="E2071" s="5" t="s">
        <v>46</v>
      </c>
      <c r="F2071" s="5" t="s">
        <v>39</v>
      </c>
      <c r="G2071" s="6" t="n">
        <v>666</v>
      </c>
      <c r="H2071" s="6" t="n">
        <v>89</v>
      </c>
      <c r="I2071" s="7" t="n">
        <f aca="false">(G2071-H2071)/G2071</f>
        <v>0.866366366366366</v>
      </c>
      <c r="J2071" s="15" t="n">
        <v>0.6923</v>
      </c>
      <c r="K2071" s="11" t="str">
        <f aca="false">IF(I2071&lt;J2071,"TAK","NIE")</f>
        <v>NIE</v>
      </c>
    </row>
    <row r="2072" customFormat="false" ht="15" hidden="false" customHeight="false" outlineLevel="0" collapsed="false">
      <c r="A2072" s="5" t="s">
        <v>496</v>
      </c>
      <c r="B2072" s="5" t="s">
        <v>74</v>
      </c>
      <c r="C2072" s="5" t="n">
        <v>2021</v>
      </c>
      <c r="D2072" s="5" t="s">
        <v>59</v>
      </c>
      <c r="E2072" s="5" t="s">
        <v>46</v>
      </c>
      <c r="F2072" s="5" t="s">
        <v>39</v>
      </c>
      <c r="G2072" s="6" t="n">
        <v>666</v>
      </c>
      <c r="H2072" s="6" t="n">
        <v>84</v>
      </c>
      <c r="I2072" s="7" t="n">
        <f aca="false">(G2072-H2072)/G2072</f>
        <v>0.873873873873874</v>
      </c>
      <c r="J2072" s="15" t="n">
        <v>0.6923</v>
      </c>
      <c r="K2072" s="11" t="str">
        <f aca="false">IF(I2072&lt;J2072,"TAK","NIE")</f>
        <v>NIE</v>
      </c>
    </row>
    <row r="2073" customFormat="false" ht="15" hidden="false" customHeight="false" outlineLevel="0" collapsed="false">
      <c r="A2073" s="5" t="s">
        <v>497</v>
      </c>
      <c r="B2073" s="5" t="s">
        <v>74</v>
      </c>
      <c r="C2073" s="5" t="n">
        <v>2021</v>
      </c>
      <c r="D2073" s="5" t="s">
        <v>59</v>
      </c>
      <c r="E2073" s="5" t="s">
        <v>46</v>
      </c>
      <c r="F2073" s="5" t="s">
        <v>39</v>
      </c>
      <c r="G2073" s="6" t="n">
        <v>667</v>
      </c>
      <c r="H2073" s="6" t="n">
        <v>80</v>
      </c>
      <c r="I2073" s="7" t="n">
        <f aca="false">(G2073-H2073)/G2073</f>
        <v>0.880059970014993</v>
      </c>
      <c r="J2073" s="15" t="n">
        <v>0.6923</v>
      </c>
      <c r="K2073" s="11" t="str">
        <f aca="false">IF(I2073&lt;J2073,"TAK","NIE")</f>
        <v>NIE</v>
      </c>
    </row>
    <row r="2074" customFormat="false" ht="15" hidden="false" customHeight="false" outlineLevel="0" collapsed="false">
      <c r="A2074" s="5" t="s">
        <v>498</v>
      </c>
      <c r="B2074" s="5" t="s">
        <v>74</v>
      </c>
      <c r="C2074" s="5" t="n">
        <v>2021</v>
      </c>
      <c r="D2074" s="5" t="s">
        <v>59</v>
      </c>
      <c r="E2074" s="5" t="s">
        <v>46</v>
      </c>
      <c r="F2074" s="5" t="s">
        <v>39</v>
      </c>
      <c r="G2074" s="6" t="n">
        <v>667</v>
      </c>
      <c r="H2074" s="6" t="n">
        <v>68</v>
      </c>
      <c r="I2074" s="7" t="n">
        <f aca="false">(G2074-H2074)/G2074</f>
        <v>0.898050974512744</v>
      </c>
      <c r="J2074" s="15" t="n">
        <v>0.6923</v>
      </c>
      <c r="K2074" s="11" t="str">
        <f aca="false">IF(I2074&lt;J2074,"TAK","NIE")</f>
        <v>NIE</v>
      </c>
    </row>
    <row r="2075" customFormat="false" ht="15" hidden="false" customHeight="false" outlineLevel="0" collapsed="false">
      <c r="A2075" s="5" t="s">
        <v>499</v>
      </c>
      <c r="B2075" s="5" t="s">
        <v>74</v>
      </c>
      <c r="C2075" s="5" t="n">
        <v>2021</v>
      </c>
      <c r="D2075" s="5" t="s">
        <v>59</v>
      </c>
      <c r="E2075" s="5" t="s">
        <v>46</v>
      </c>
      <c r="F2075" s="5" t="s">
        <v>39</v>
      </c>
      <c r="G2075" s="6" t="n">
        <v>666</v>
      </c>
      <c r="H2075" s="6" t="n">
        <v>127</v>
      </c>
      <c r="I2075" s="7" t="n">
        <f aca="false">(G2075-H2075)/G2075</f>
        <v>0.809309309309309</v>
      </c>
      <c r="J2075" s="15" t="n">
        <v>0.6923</v>
      </c>
      <c r="K2075" s="11" t="str">
        <f aca="false">IF(I2075&lt;J2075,"TAK","NIE")</f>
        <v>NIE</v>
      </c>
    </row>
    <row r="2076" customFormat="false" ht="15" hidden="false" customHeight="false" outlineLevel="0" collapsed="false">
      <c r="A2076" s="5" t="s">
        <v>500</v>
      </c>
      <c r="B2076" s="5" t="s">
        <v>74</v>
      </c>
      <c r="C2076" s="5" t="n">
        <v>2021</v>
      </c>
      <c r="D2076" s="5" t="s">
        <v>59</v>
      </c>
      <c r="E2076" s="5" t="s">
        <v>46</v>
      </c>
      <c r="F2076" s="5" t="s">
        <v>39</v>
      </c>
      <c r="G2076" s="6" t="n">
        <v>666</v>
      </c>
      <c r="H2076" s="6" t="n">
        <v>83</v>
      </c>
      <c r="I2076" s="7" t="n">
        <f aca="false">(G2076-H2076)/G2076</f>
        <v>0.875375375375375</v>
      </c>
      <c r="J2076" s="15" t="n">
        <v>0.6923</v>
      </c>
      <c r="K2076" s="11" t="str">
        <f aca="false">IF(I2076&lt;J2076,"TAK","NIE")</f>
        <v>NIE</v>
      </c>
    </row>
    <row r="2077" customFormat="false" ht="15" hidden="false" customHeight="false" outlineLevel="0" collapsed="false">
      <c r="A2077" s="5" t="s">
        <v>501</v>
      </c>
      <c r="B2077" s="5" t="s">
        <v>74</v>
      </c>
      <c r="C2077" s="5" t="n">
        <v>2021</v>
      </c>
      <c r="D2077" s="5" t="s">
        <v>59</v>
      </c>
      <c r="E2077" s="5" t="s">
        <v>46</v>
      </c>
      <c r="F2077" s="5" t="s">
        <v>39</v>
      </c>
      <c r="G2077" s="6" t="n">
        <v>667</v>
      </c>
      <c r="H2077" s="6" t="n">
        <v>139</v>
      </c>
      <c r="I2077" s="7" t="n">
        <f aca="false">(G2077-H2077)/G2077</f>
        <v>0.79160419790105</v>
      </c>
      <c r="J2077" s="15" t="n">
        <v>0.6923</v>
      </c>
      <c r="K2077" s="11" t="str">
        <f aca="false">IF(I2077&lt;J2077,"TAK","NIE")</f>
        <v>NIE</v>
      </c>
    </row>
    <row r="2078" customFormat="false" ht="15" hidden="false" customHeight="false" outlineLevel="0" collapsed="false">
      <c r="A2078" s="5" t="s">
        <v>502</v>
      </c>
      <c r="B2078" s="5" t="s">
        <v>74</v>
      </c>
      <c r="C2078" s="5" t="n">
        <v>2021</v>
      </c>
      <c r="D2078" s="5" t="s">
        <v>59</v>
      </c>
      <c r="E2078" s="5" t="s">
        <v>46</v>
      </c>
      <c r="F2078" s="5" t="s">
        <v>39</v>
      </c>
      <c r="G2078" s="6" t="n">
        <v>667</v>
      </c>
      <c r="H2078" s="6" t="n">
        <v>245</v>
      </c>
      <c r="I2078" s="7" t="n">
        <f aca="false">(G2078-H2078)/G2078</f>
        <v>0.632683658170915</v>
      </c>
      <c r="J2078" s="15" t="n">
        <v>0.6923</v>
      </c>
      <c r="K2078" s="11" t="str">
        <f aca="false">IF(I2078&lt;J2078,"TAK","NIE")</f>
        <v>TAK</v>
      </c>
    </row>
    <row r="2079" customFormat="false" ht="15" hidden="false" customHeight="false" outlineLevel="0" collapsed="false">
      <c r="A2079" s="5" t="s">
        <v>503</v>
      </c>
      <c r="B2079" s="5" t="s">
        <v>74</v>
      </c>
      <c r="C2079" s="5" t="n">
        <v>2021</v>
      </c>
      <c r="D2079" s="5" t="s">
        <v>59</v>
      </c>
      <c r="E2079" s="5" t="s">
        <v>46</v>
      </c>
      <c r="F2079" s="5" t="s">
        <v>39</v>
      </c>
      <c r="G2079" s="6" t="n">
        <v>667</v>
      </c>
      <c r="H2079" s="6" t="n">
        <v>130</v>
      </c>
      <c r="I2079" s="7" t="n">
        <f aca="false">(G2079-H2079)/G2079</f>
        <v>0.805097451274363</v>
      </c>
      <c r="J2079" s="15" t="n">
        <v>0.6923</v>
      </c>
      <c r="K2079" s="11" t="str">
        <f aca="false">IF(I2079&lt;J2079,"TAK","NIE")</f>
        <v>NIE</v>
      </c>
    </row>
    <row r="2080" customFormat="false" ht="15" hidden="false" customHeight="false" outlineLevel="0" collapsed="false">
      <c r="A2080" s="5" t="s">
        <v>504</v>
      </c>
      <c r="B2080" s="5" t="s">
        <v>74</v>
      </c>
      <c r="C2080" s="5" t="n">
        <v>2021</v>
      </c>
      <c r="D2080" s="5" t="s">
        <v>59</v>
      </c>
      <c r="E2080" s="5" t="s">
        <v>46</v>
      </c>
      <c r="F2080" s="5" t="s">
        <v>39</v>
      </c>
      <c r="G2080" s="6" t="n">
        <v>667</v>
      </c>
      <c r="H2080" s="6" t="n">
        <v>42</v>
      </c>
      <c r="I2080" s="7" t="n">
        <f aca="false">(G2080-H2080)/G2080</f>
        <v>0.937031484257871</v>
      </c>
      <c r="J2080" s="15" t="n">
        <v>0.6923</v>
      </c>
      <c r="K2080" s="11" t="str">
        <f aca="false">IF(I2080&lt;J2080,"TAK","NIE")</f>
        <v>NIE</v>
      </c>
    </row>
    <row r="2081" customFormat="false" ht="15" hidden="false" customHeight="false" outlineLevel="0" collapsed="false">
      <c r="A2081" s="5" t="s">
        <v>505</v>
      </c>
      <c r="B2081" s="5" t="s">
        <v>74</v>
      </c>
      <c r="C2081" s="5" t="n">
        <v>2021</v>
      </c>
      <c r="D2081" s="5" t="s">
        <v>59</v>
      </c>
      <c r="E2081" s="5" t="s">
        <v>46</v>
      </c>
      <c r="F2081" s="5" t="s">
        <v>39</v>
      </c>
      <c r="G2081" s="6" t="n">
        <v>667</v>
      </c>
      <c r="H2081" s="6" t="n">
        <v>37</v>
      </c>
      <c r="I2081" s="7" t="n">
        <f aca="false">(G2081-H2081)/G2081</f>
        <v>0.944527736131934</v>
      </c>
      <c r="J2081" s="15" t="n">
        <v>0.6923</v>
      </c>
      <c r="K2081" s="11" t="str">
        <f aca="false">IF(I2081&lt;J2081,"TAK","NIE")</f>
        <v>NIE</v>
      </c>
    </row>
    <row r="2082" customFormat="false" ht="15" hidden="false" customHeight="false" outlineLevel="0" collapsed="false">
      <c r="A2082" s="5" t="s">
        <v>506</v>
      </c>
      <c r="B2082" s="5" t="s">
        <v>74</v>
      </c>
      <c r="C2082" s="5" t="n">
        <v>2021</v>
      </c>
      <c r="D2082" s="5" t="s">
        <v>59</v>
      </c>
      <c r="E2082" s="5" t="s">
        <v>46</v>
      </c>
      <c r="F2082" s="5" t="s">
        <v>39</v>
      </c>
      <c r="G2082" s="6" t="n">
        <v>667</v>
      </c>
      <c r="H2082" s="6" t="n">
        <v>114</v>
      </c>
      <c r="I2082" s="7" t="n">
        <f aca="false">(G2082-H2082)/G2082</f>
        <v>0.829085457271364</v>
      </c>
      <c r="J2082" s="15" t="n">
        <v>0.6923</v>
      </c>
      <c r="K2082" s="11" t="str">
        <f aca="false">IF(I2082&lt;J2082,"TAK","NIE")</f>
        <v>NIE</v>
      </c>
    </row>
    <row r="2083" customFormat="false" ht="15" hidden="false" customHeight="false" outlineLevel="0" collapsed="false">
      <c r="A2083" s="5" t="s">
        <v>507</v>
      </c>
      <c r="B2083" s="5" t="s">
        <v>74</v>
      </c>
      <c r="C2083" s="5" t="n">
        <v>2021</v>
      </c>
      <c r="D2083" s="5" t="s">
        <v>59</v>
      </c>
      <c r="E2083" s="5" t="s">
        <v>46</v>
      </c>
      <c r="F2083" s="5" t="s">
        <v>39</v>
      </c>
      <c r="G2083" s="6" t="n">
        <v>666</v>
      </c>
      <c r="H2083" s="6" t="n">
        <v>147</v>
      </c>
      <c r="I2083" s="7" t="n">
        <f aca="false">(G2083-H2083)/G2083</f>
        <v>0.779279279279279</v>
      </c>
      <c r="J2083" s="15" t="n">
        <v>0.6923</v>
      </c>
      <c r="K2083" s="11" t="str">
        <f aca="false">IF(I2083&lt;J2083,"TAK","NIE")</f>
        <v>NIE</v>
      </c>
    </row>
    <row r="2084" customFormat="false" ht="15" hidden="false" customHeight="false" outlineLevel="0" collapsed="false">
      <c r="A2084" s="5" t="s">
        <v>508</v>
      </c>
      <c r="B2084" s="5" t="s">
        <v>74</v>
      </c>
      <c r="C2084" s="5" t="n">
        <v>2021</v>
      </c>
      <c r="D2084" s="5" t="s">
        <v>59</v>
      </c>
      <c r="E2084" s="5" t="s">
        <v>46</v>
      </c>
      <c r="F2084" s="5" t="s">
        <v>39</v>
      </c>
      <c r="G2084" s="6" t="n">
        <v>667</v>
      </c>
      <c r="H2084" s="6" t="n">
        <v>67</v>
      </c>
      <c r="I2084" s="7" t="n">
        <f aca="false">(G2084-H2084)/G2084</f>
        <v>0.899550224887556</v>
      </c>
      <c r="J2084" s="15" t="n">
        <v>0.6923</v>
      </c>
      <c r="K2084" s="11" t="str">
        <f aca="false">IF(I2084&lt;J2084,"TAK","NIE")</f>
        <v>NIE</v>
      </c>
    </row>
    <row r="2085" customFormat="false" ht="15" hidden="false" customHeight="false" outlineLevel="0" collapsed="false">
      <c r="A2085" s="5" t="s">
        <v>509</v>
      </c>
      <c r="B2085" s="5" t="s">
        <v>74</v>
      </c>
      <c r="C2085" s="5" t="n">
        <v>2021</v>
      </c>
      <c r="D2085" s="5" t="s">
        <v>59</v>
      </c>
      <c r="E2085" s="5" t="s">
        <v>46</v>
      </c>
      <c r="F2085" s="5" t="s">
        <v>39</v>
      </c>
      <c r="G2085" s="6" t="n">
        <v>666</v>
      </c>
      <c r="H2085" s="6" t="n">
        <v>108</v>
      </c>
      <c r="I2085" s="7" t="n">
        <f aca="false">(G2085-H2085)/G2085</f>
        <v>0.837837837837838</v>
      </c>
      <c r="J2085" s="15" t="n">
        <v>0.6923</v>
      </c>
      <c r="K2085" s="11" t="str">
        <f aca="false">IF(I2085&lt;J2085,"TAK","NIE")</f>
        <v>NIE</v>
      </c>
    </row>
    <row r="2086" customFormat="false" ht="15" hidden="false" customHeight="false" outlineLevel="0" collapsed="false">
      <c r="A2086" s="5" t="s">
        <v>510</v>
      </c>
      <c r="B2086" s="5" t="s">
        <v>74</v>
      </c>
      <c r="C2086" s="5" t="n">
        <v>2021</v>
      </c>
      <c r="D2086" s="5" t="s">
        <v>59</v>
      </c>
      <c r="E2086" s="5" t="s">
        <v>46</v>
      </c>
      <c r="F2086" s="5" t="s">
        <v>39</v>
      </c>
      <c r="G2086" s="6" t="n">
        <v>667</v>
      </c>
      <c r="H2086" s="6" t="n">
        <v>52</v>
      </c>
      <c r="I2086" s="7" t="n">
        <f aca="false">(G2086-H2086)/G2086</f>
        <v>0.922038980509745</v>
      </c>
      <c r="J2086" s="15" t="n">
        <v>0.6923</v>
      </c>
      <c r="K2086" s="11" t="str">
        <f aca="false">IF(I2086&lt;J2086,"TAK","NIE")</f>
        <v>NIE</v>
      </c>
    </row>
    <row r="2087" customFormat="false" ht="15" hidden="false" customHeight="false" outlineLevel="0" collapsed="false">
      <c r="A2087" s="5" t="s">
        <v>488</v>
      </c>
      <c r="B2087" s="5" t="s">
        <v>74</v>
      </c>
      <c r="C2087" s="5" t="n">
        <v>2021</v>
      </c>
      <c r="D2087" s="5" t="s">
        <v>59</v>
      </c>
      <c r="E2087" s="5" t="s">
        <v>46</v>
      </c>
      <c r="F2087" s="5" t="s">
        <v>40</v>
      </c>
      <c r="G2087" s="6" t="n">
        <v>610</v>
      </c>
      <c r="H2087" s="6" t="n">
        <v>66</v>
      </c>
      <c r="I2087" s="7" t="n">
        <f aca="false">(G2087-H2087)/G2087</f>
        <v>0.891803278688525</v>
      </c>
      <c r="J2087" s="15" t="n">
        <v>0.6615</v>
      </c>
      <c r="K2087" s="11" t="str">
        <f aca="false">IF(I2087&lt;J2087,"TAK","NIE")</f>
        <v>NIE</v>
      </c>
    </row>
    <row r="2088" customFormat="false" ht="15" hidden="false" customHeight="false" outlineLevel="0" collapsed="false">
      <c r="A2088" s="5" t="s">
        <v>489</v>
      </c>
      <c r="B2088" s="5" t="s">
        <v>74</v>
      </c>
      <c r="C2088" s="5" t="n">
        <v>2021</v>
      </c>
      <c r="D2088" s="5" t="s">
        <v>59</v>
      </c>
      <c r="E2088" s="5" t="s">
        <v>46</v>
      </c>
      <c r="F2088" s="5" t="s">
        <v>40</v>
      </c>
      <c r="G2088" s="6" t="n">
        <v>610</v>
      </c>
      <c r="H2088" s="6" t="n">
        <v>126</v>
      </c>
      <c r="I2088" s="7" t="n">
        <f aca="false">(G2088-H2088)/G2088</f>
        <v>0.79344262295082</v>
      </c>
      <c r="J2088" s="15" t="n">
        <v>0.6615</v>
      </c>
      <c r="K2088" s="11" t="str">
        <f aca="false">IF(I2088&lt;J2088,"TAK","NIE")</f>
        <v>NIE</v>
      </c>
    </row>
    <row r="2089" customFormat="false" ht="15" hidden="false" customHeight="false" outlineLevel="0" collapsed="false">
      <c r="A2089" s="5" t="s">
        <v>490</v>
      </c>
      <c r="B2089" s="5" t="s">
        <v>74</v>
      </c>
      <c r="C2089" s="5" t="n">
        <v>2021</v>
      </c>
      <c r="D2089" s="5" t="s">
        <v>59</v>
      </c>
      <c r="E2089" s="5" t="s">
        <v>46</v>
      </c>
      <c r="F2089" s="5" t="s">
        <v>40</v>
      </c>
      <c r="G2089" s="6" t="n">
        <v>610</v>
      </c>
      <c r="H2089" s="6" t="n">
        <v>131</v>
      </c>
      <c r="I2089" s="7" t="n">
        <f aca="false">(G2089-H2089)/G2089</f>
        <v>0.785245901639344</v>
      </c>
      <c r="J2089" s="15" t="n">
        <v>0.6615</v>
      </c>
      <c r="K2089" s="11" t="str">
        <f aca="false">IF(I2089&lt;J2089,"TAK","NIE")</f>
        <v>NIE</v>
      </c>
    </row>
    <row r="2090" customFormat="false" ht="15" hidden="false" customHeight="false" outlineLevel="0" collapsed="false">
      <c r="A2090" s="5" t="s">
        <v>491</v>
      </c>
      <c r="B2090" s="5" t="s">
        <v>74</v>
      </c>
      <c r="C2090" s="5" t="n">
        <v>2021</v>
      </c>
      <c r="D2090" s="5" t="s">
        <v>59</v>
      </c>
      <c r="E2090" s="5" t="s">
        <v>46</v>
      </c>
      <c r="F2090" s="5" t="s">
        <v>40</v>
      </c>
      <c r="G2090" s="6" t="n">
        <v>610</v>
      </c>
      <c r="H2090" s="6" t="n">
        <v>101</v>
      </c>
      <c r="I2090" s="7" t="n">
        <f aca="false">(G2090-H2090)/G2090</f>
        <v>0.834426229508197</v>
      </c>
      <c r="J2090" s="15" t="n">
        <v>0.6615</v>
      </c>
      <c r="K2090" s="11" t="str">
        <f aca="false">IF(I2090&lt;J2090,"TAK","NIE")</f>
        <v>NIE</v>
      </c>
    </row>
    <row r="2091" customFormat="false" ht="15" hidden="false" customHeight="false" outlineLevel="0" collapsed="false">
      <c r="A2091" s="5" t="s">
        <v>492</v>
      </c>
      <c r="B2091" s="5" t="s">
        <v>74</v>
      </c>
      <c r="C2091" s="5" t="n">
        <v>2021</v>
      </c>
      <c r="D2091" s="5" t="s">
        <v>59</v>
      </c>
      <c r="E2091" s="5" t="s">
        <v>46</v>
      </c>
      <c r="F2091" s="5" t="s">
        <v>40</v>
      </c>
      <c r="G2091" s="6" t="n">
        <v>610</v>
      </c>
      <c r="H2091" s="6" t="n">
        <v>133</v>
      </c>
      <c r="I2091" s="7" t="n">
        <f aca="false">(G2091-H2091)/G2091</f>
        <v>0.781967213114754</v>
      </c>
      <c r="J2091" s="15" t="n">
        <v>0.6615</v>
      </c>
      <c r="K2091" s="11" t="str">
        <f aca="false">IF(I2091&lt;J2091,"TAK","NIE")</f>
        <v>NIE</v>
      </c>
    </row>
    <row r="2092" customFormat="false" ht="15" hidden="false" customHeight="false" outlineLevel="0" collapsed="false">
      <c r="A2092" s="5" t="s">
        <v>493</v>
      </c>
      <c r="B2092" s="5" t="s">
        <v>74</v>
      </c>
      <c r="C2092" s="5" t="n">
        <v>2021</v>
      </c>
      <c r="D2092" s="5" t="s">
        <v>59</v>
      </c>
      <c r="E2092" s="5" t="s">
        <v>46</v>
      </c>
      <c r="F2092" s="5" t="s">
        <v>40</v>
      </c>
      <c r="G2092" s="6" t="n">
        <v>611</v>
      </c>
      <c r="H2092" s="6" t="n">
        <v>134</v>
      </c>
      <c r="I2092" s="7" t="n">
        <f aca="false">(G2092-H2092)/G2092</f>
        <v>0.780687397708674</v>
      </c>
      <c r="J2092" s="15" t="n">
        <v>0.6615</v>
      </c>
      <c r="K2092" s="11" t="str">
        <f aca="false">IF(I2092&lt;J2092,"TAK","NIE")</f>
        <v>NIE</v>
      </c>
    </row>
    <row r="2093" customFormat="false" ht="15" hidden="false" customHeight="false" outlineLevel="0" collapsed="false">
      <c r="A2093" s="5" t="s">
        <v>494</v>
      </c>
      <c r="B2093" s="5" t="s">
        <v>74</v>
      </c>
      <c r="C2093" s="5" t="n">
        <v>2021</v>
      </c>
      <c r="D2093" s="5" t="s">
        <v>59</v>
      </c>
      <c r="E2093" s="5" t="s">
        <v>46</v>
      </c>
      <c r="F2093" s="5" t="s">
        <v>40</v>
      </c>
      <c r="G2093" s="6" t="n">
        <v>611</v>
      </c>
      <c r="H2093" s="6" t="n">
        <v>136</v>
      </c>
      <c r="I2093" s="7" t="n">
        <f aca="false">(G2093-H2093)/G2093</f>
        <v>0.777414075286416</v>
      </c>
      <c r="J2093" s="15" t="n">
        <v>0.6615</v>
      </c>
      <c r="K2093" s="11" t="str">
        <f aca="false">IF(I2093&lt;J2093,"TAK","NIE")</f>
        <v>NIE</v>
      </c>
    </row>
    <row r="2094" customFormat="false" ht="15" hidden="false" customHeight="false" outlineLevel="0" collapsed="false">
      <c r="A2094" s="5" t="s">
        <v>495</v>
      </c>
      <c r="B2094" s="5" t="s">
        <v>74</v>
      </c>
      <c r="C2094" s="5" t="n">
        <v>2021</v>
      </c>
      <c r="D2094" s="5" t="s">
        <v>59</v>
      </c>
      <c r="E2094" s="5" t="s">
        <v>46</v>
      </c>
      <c r="F2094" s="5" t="s">
        <v>40</v>
      </c>
      <c r="G2094" s="6" t="n">
        <v>610</v>
      </c>
      <c r="H2094" s="6" t="n">
        <v>134</v>
      </c>
      <c r="I2094" s="7" t="n">
        <f aca="false">(G2094-H2094)/G2094</f>
        <v>0.780327868852459</v>
      </c>
      <c r="J2094" s="15" t="n">
        <v>0.6615</v>
      </c>
      <c r="K2094" s="11" t="str">
        <f aca="false">IF(I2094&lt;J2094,"TAK","NIE")</f>
        <v>NIE</v>
      </c>
    </row>
    <row r="2095" customFormat="false" ht="15" hidden="false" customHeight="false" outlineLevel="0" collapsed="false">
      <c r="A2095" s="5" t="s">
        <v>496</v>
      </c>
      <c r="B2095" s="5" t="s">
        <v>74</v>
      </c>
      <c r="C2095" s="5" t="n">
        <v>2021</v>
      </c>
      <c r="D2095" s="5" t="s">
        <v>59</v>
      </c>
      <c r="E2095" s="5" t="s">
        <v>46</v>
      </c>
      <c r="F2095" s="5" t="s">
        <v>40</v>
      </c>
      <c r="G2095" s="6" t="n">
        <v>610</v>
      </c>
      <c r="H2095" s="6" t="n">
        <v>74</v>
      </c>
      <c r="I2095" s="7" t="n">
        <f aca="false">(G2095-H2095)/G2095</f>
        <v>0.878688524590164</v>
      </c>
      <c r="J2095" s="15" t="n">
        <v>0.6615</v>
      </c>
      <c r="K2095" s="11" t="str">
        <f aca="false">IF(I2095&lt;J2095,"TAK","NIE")</f>
        <v>NIE</v>
      </c>
    </row>
    <row r="2096" customFormat="false" ht="15" hidden="false" customHeight="false" outlineLevel="0" collapsed="false">
      <c r="A2096" s="5" t="s">
        <v>497</v>
      </c>
      <c r="B2096" s="5" t="s">
        <v>74</v>
      </c>
      <c r="C2096" s="5" t="n">
        <v>2021</v>
      </c>
      <c r="D2096" s="5" t="s">
        <v>59</v>
      </c>
      <c r="E2096" s="5" t="s">
        <v>46</v>
      </c>
      <c r="F2096" s="5" t="s">
        <v>40</v>
      </c>
      <c r="G2096" s="6" t="n">
        <v>611</v>
      </c>
      <c r="H2096" s="6" t="n">
        <v>80</v>
      </c>
      <c r="I2096" s="7" t="n">
        <f aca="false">(G2096-H2096)/G2096</f>
        <v>0.869067103109656</v>
      </c>
      <c r="J2096" s="15" t="n">
        <v>0.6615</v>
      </c>
      <c r="K2096" s="11" t="str">
        <f aca="false">IF(I2096&lt;J2096,"TAK","NIE")</f>
        <v>NIE</v>
      </c>
    </row>
    <row r="2097" customFormat="false" ht="15" hidden="false" customHeight="false" outlineLevel="0" collapsed="false">
      <c r="A2097" s="5" t="s">
        <v>498</v>
      </c>
      <c r="B2097" s="5" t="s">
        <v>74</v>
      </c>
      <c r="C2097" s="5" t="n">
        <v>2021</v>
      </c>
      <c r="D2097" s="5" t="s">
        <v>59</v>
      </c>
      <c r="E2097" s="5" t="s">
        <v>46</v>
      </c>
      <c r="F2097" s="5" t="s">
        <v>40</v>
      </c>
      <c r="G2097" s="6" t="n">
        <v>611</v>
      </c>
      <c r="H2097" s="6" t="n">
        <v>93</v>
      </c>
      <c r="I2097" s="7" t="n">
        <f aca="false">(G2097-H2097)/G2097</f>
        <v>0.847790507364975</v>
      </c>
      <c r="J2097" s="15" t="n">
        <v>0.6615</v>
      </c>
      <c r="K2097" s="11" t="str">
        <f aca="false">IF(I2097&lt;J2097,"TAK","NIE")</f>
        <v>NIE</v>
      </c>
    </row>
    <row r="2098" customFormat="false" ht="15" hidden="false" customHeight="false" outlineLevel="0" collapsed="false">
      <c r="A2098" s="5" t="s">
        <v>499</v>
      </c>
      <c r="B2098" s="5" t="s">
        <v>74</v>
      </c>
      <c r="C2098" s="5" t="n">
        <v>2021</v>
      </c>
      <c r="D2098" s="5" t="s">
        <v>59</v>
      </c>
      <c r="E2098" s="5" t="s">
        <v>46</v>
      </c>
      <c r="F2098" s="5" t="s">
        <v>40</v>
      </c>
      <c r="G2098" s="6" t="n">
        <v>610</v>
      </c>
      <c r="H2098" s="6" t="n">
        <v>102</v>
      </c>
      <c r="I2098" s="7" t="n">
        <f aca="false">(G2098-H2098)/G2098</f>
        <v>0.832786885245902</v>
      </c>
      <c r="J2098" s="15" t="n">
        <v>0.6615</v>
      </c>
      <c r="K2098" s="11" t="str">
        <f aca="false">IF(I2098&lt;J2098,"TAK","NIE")</f>
        <v>NIE</v>
      </c>
    </row>
    <row r="2099" customFormat="false" ht="15" hidden="false" customHeight="false" outlineLevel="0" collapsed="false">
      <c r="A2099" s="5" t="s">
        <v>500</v>
      </c>
      <c r="B2099" s="5" t="s">
        <v>74</v>
      </c>
      <c r="C2099" s="5" t="n">
        <v>2021</v>
      </c>
      <c r="D2099" s="5" t="s">
        <v>59</v>
      </c>
      <c r="E2099" s="5" t="s">
        <v>46</v>
      </c>
      <c r="F2099" s="5" t="s">
        <v>40</v>
      </c>
      <c r="G2099" s="6" t="n">
        <v>610</v>
      </c>
      <c r="H2099" s="6" t="n">
        <v>65</v>
      </c>
      <c r="I2099" s="7" t="n">
        <f aca="false">(G2099-H2099)/G2099</f>
        <v>0.89344262295082</v>
      </c>
      <c r="J2099" s="15" t="n">
        <v>0.6615</v>
      </c>
      <c r="K2099" s="11" t="str">
        <f aca="false">IF(I2099&lt;J2099,"TAK","NIE")</f>
        <v>NIE</v>
      </c>
    </row>
    <row r="2100" customFormat="false" ht="15" hidden="false" customHeight="false" outlineLevel="0" collapsed="false">
      <c r="A2100" s="5" t="s">
        <v>501</v>
      </c>
      <c r="B2100" s="5" t="s">
        <v>74</v>
      </c>
      <c r="C2100" s="5" t="n">
        <v>2021</v>
      </c>
      <c r="D2100" s="5" t="s">
        <v>59</v>
      </c>
      <c r="E2100" s="5" t="s">
        <v>46</v>
      </c>
      <c r="F2100" s="5" t="s">
        <v>40</v>
      </c>
      <c r="G2100" s="6" t="n">
        <v>611</v>
      </c>
      <c r="H2100" s="6" t="n">
        <v>134</v>
      </c>
      <c r="I2100" s="7" t="n">
        <f aca="false">(G2100-H2100)/G2100</f>
        <v>0.780687397708674</v>
      </c>
      <c r="J2100" s="15" t="n">
        <v>0.6615</v>
      </c>
      <c r="K2100" s="11" t="str">
        <f aca="false">IF(I2100&lt;J2100,"TAK","NIE")</f>
        <v>NIE</v>
      </c>
    </row>
    <row r="2101" customFormat="false" ht="15" hidden="false" customHeight="false" outlineLevel="0" collapsed="false">
      <c r="A2101" s="5" t="s">
        <v>502</v>
      </c>
      <c r="B2101" s="5" t="s">
        <v>74</v>
      </c>
      <c r="C2101" s="5" t="n">
        <v>2021</v>
      </c>
      <c r="D2101" s="5" t="s">
        <v>59</v>
      </c>
      <c r="E2101" s="5" t="s">
        <v>46</v>
      </c>
      <c r="F2101" s="5" t="s">
        <v>40</v>
      </c>
      <c r="G2101" s="6" t="n">
        <v>611</v>
      </c>
      <c r="H2101" s="6" t="n">
        <v>250</v>
      </c>
      <c r="I2101" s="7" t="n">
        <f aca="false">(G2101-H2101)/G2101</f>
        <v>0.590834697217676</v>
      </c>
      <c r="J2101" s="15" t="n">
        <v>0.6615</v>
      </c>
      <c r="K2101" s="11" t="str">
        <f aca="false">IF(I2101&lt;J2101,"TAK","NIE")</f>
        <v>TAK</v>
      </c>
    </row>
    <row r="2102" customFormat="false" ht="15" hidden="false" customHeight="false" outlineLevel="0" collapsed="false">
      <c r="A2102" s="5" t="s">
        <v>503</v>
      </c>
      <c r="B2102" s="5" t="s">
        <v>74</v>
      </c>
      <c r="C2102" s="5" t="n">
        <v>2021</v>
      </c>
      <c r="D2102" s="5" t="s">
        <v>59</v>
      </c>
      <c r="E2102" s="5" t="s">
        <v>46</v>
      </c>
      <c r="F2102" s="5" t="s">
        <v>40</v>
      </c>
      <c r="G2102" s="6" t="n">
        <v>611</v>
      </c>
      <c r="H2102" s="6" t="n">
        <v>117</v>
      </c>
      <c r="I2102" s="7" t="n">
        <f aca="false">(G2102-H2102)/G2102</f>
        <v>0.808510638297872</v>
      </c>
      <c r="J2102" s="15" t="n">
        <v>0.6615</v>
      </c>
      <c r="K2102" s="11" t="str">
        <f aca="false">IF(I2102&lt;J2102,"TAK","NIE")</f>
        <v>NIE</v>
      </c>
    </row>
    <row r="2103" customFormat="false" ht="15" hidden="false" customHeight="false" outlineLevel="0" collapsed="false">
      <c r="A2103" s="5" t="s">
        <v>504</v>
      </c>
      <c r="B2103" s="5" t="s">
        <v>74</v>
      </c>
      <c r="C2103" s="5" t="n">
        <v>2021</v>
      </c>
      <c r="D2103" s="5" t="s">
        <v>59</v>
      </c>
      <c r="E2103" s="5" t="s">
        <v>46</v>
      </c>
      <c r="F2103" s="5" t="s">
        <v>40</v>
      </c>
      <c r="G2103" s="6" t="n">
        <v>611</v>
      </c>
      <c r="H2103" s="6" t="n">
        <v>115</v>
      </c>
      <c r="I2103" s="7" t="n">
        <f aca="false">(G2103-H2103)/G2103</f>
        <v>0.811783960720131</v>
      </c>
      <c r="J2103" s="15" t="n">
        <v>0.6615</v>
      </c>
      <c r="K2103" s="11" t="str">
        <f aca="false">IF(I2103&lt;J2103,"TAK","NIE")</f>
        <v>NIE</v>
      </c>
    </row>
    <row r="2104" customFormat="false" ht="15" hidden="false" customHeight="false" outlineLevel="0" collapsed="false">
      <c r="A2104" s="5" t="s">
        <v>505</v>
      </c>
      <c r="B2104" s="5" t="s">
        <v>74</v>
      </c>
      <c r="C2104" s="5" t="n">
        <v>2021</v>
      </c>
      <c r="D2104" s="5" t="s">
        <v>59</v>
      </c>
      <c r="E2104" s="5" t="s">
        <v>46</v>
      </c>
      <c r="F2104" s="5" t="s">
        <v>40</v>
      </c>
      <c r="G2104" s="6" t="n">
        <v>611</v>
      </c>
      <c r="H2104" s="6" t="n">
        <v>20</v>
      </c>
      <c r="I2104" s="7" t="n">
        <f aca="false">(G2104-H2104)/G2104</f>
        <v>0.967266775777414</v>
      </c>
      <c r="J2104" s="15" t="n">
        <v>0.6615</v>
      </c>
      <c r="K2104" s="11" t="str">
        <f aca="false">IF(I2104&lt;J2104,"TAK","NIE")</f>
        <v>NIE</v>
      </c>
    </row>
    <row r="2105" customFormat="false" ht="15" hidden="false" customHeight="false" outlineLevel="0" collapsed="false">
      <c r="A2105" s="5" t="s">
        <v>506</v>
      </c>
      <c r="B2105" s="5" t="s">
        <v>74</v>
      </c>
      <c r="C2105" s="5" t="n">
        <v>2021</v>
      </c>
      <c r="D2105" s="5" t="s">
        <v>59</v>
      </c>
      <c r="E2105" s="5" t="s">
        <v>46</v>
      </c>
      <c r="F2105" s="5" t="s">
        <v>40</v>
      </c>
      <c r="G2105" s="6" t="n">
        <v>611</v>
      </c>
      <c r="H2105" s="6" t="n">
        <v>102</v>
      </c>
      <c r="I2105" s="7" t="n">
        <f aca="false">(G2105-H2105)/G2105</f>
        <v>0.833060556464812</v>
      </c>
      <c r="J2105" s="15" t="n">
        <v>0.6615</v>
      </c>
      <c r="K2105" s="11" t="str">
        <f aca="false">IF(I2105&lt;J2105,"TAK","NIE")</f>
        <v>NIE</v>
      </c>
    </row>
    <row r="2106" customFormat="false" ht="15" hidden="false" customHeight="false" outlineLevel="0" collapsed="false">
      <c r="A2106" s="5" t="s">
        <v>507</v>
      </c>
      <c r="B2106" s="5" t="s">
        <v>74</v>
      </c>
      <c r="C2106" s="5" t="n">
        <v>2021</v>
      </c>
      <c r="D2106" s="5" t="s">
        <v>59</v>
      </c>
      <c r="E2106" s="5" t="s">
        <v>46</v>
      </c>
      <c r="F2106" s="5" t="s">
        <v>40</v>
      </c>
      <c r="G2106" s="6" t="n">
        <v>610</v>
      </c>
      <c r="H2106" s="6" t="n">
        <v>128</v>
      </c>
      <c r="I2106" s="7" t="n">
        <f aca="false">(G2106-H2106)/G2106</f>
        <v>0.79016393442623</v>
      </c>
      <c r="J2106" s="15" t="n">
        <v>0.6615</v>
      </c>
      <c r="K2106" s="11" t="str">
        <f aca="false">IF(I2106&lt;J2106,"TAK","NIE")</f>
        <v>NIE</v>
      </c>
    </row>
    <row r="2107" customFormat="false" ht="15" hidden="false" customHeight="false" outlineLevel="0" collapsed="false">
      <c r="A2107" s="5" t="s">
        <v>508</v>
      </c>
      <c r="B2107" s="5" t="s">
        <v>74</v>
      </c>
      <c r="C2107" s="5" t="n">
        <v>2021</v>
      </c>
      <c r="D2107" s="5" t="s">
        <v>59</v>
      </c>
      <c r="E2107" s="5" t="s">
        <v>46</v>
      </c>
      <c r="F2107" s="5" t="s">
        <v>40</v>
      </c>
      <c r="G2107" s="6" t="n">
        <v>611</v>
      </c>
      <c r="H2107" s="6" t="n">
        <v>89</v>
      </c>
      <c r="I2107" s="7" t="n">
        <f aca="false">(G2107-H2107)/G2107</f>
        <v>0.854337152209493</v>
      </c>
      <c r="J2107" s="15" t="n">
        <v>0.6615</v>
      </c>
      <c r="K2107" s="11" t="str">
        <f aca="false">IF(I2107&lt;J2107,"TAK","NIE")</f>
        <v>NIE</v>
      </c>
    </row>
    <row r="2108" customFormat="false" ht="15" hidden="false" customHeight="false" outlineLevel="0" collapsed="false">
      <c r="A2108" s="5" t="s">
        <v>509</v>
      </c>
      <c r="B2108" s="5" t="s">
        <v>74</v>
      </c>
      <c r="C2108" s="5" t="n">
        <v>2021</v>
      </c>
      <c r="D2108" s="5" t="s">
        <v>59</v>
      </c>
      <c r="E2108" s="5" t="s">
        <v>46</v>
      </c>
      <c r="F2108" s="5" t="s">
        <v>40</v>
      </c>
      <c r="G2108" s="6" t="n">
        <v>610</v>
      </c>
      <c r="H2108" s="6" t="n">
        <v>139</v>
      </c>
      <c r="I2108" s="7" t="n">
        <f aca="false">(G2108-H2108)/G2108</f>
        <v>0.772131147540984</v>
      </c>
      <c r="J2108" s="15" t="n">
        <v>0.6615</v>
      </c>
      <c r="K2108" s="11" t="str">
        <f aca="false">IF(I2108&lt;J2108,"TAK","NIE")</f>
        <v>NIE</v>
      </c>
    </row>
    <row r="2109" customFormat="false" ht="15" hidden="false" customHeight="false" outlineLevel="0" collapsed="false">
      <c r="A2109" s="5" t="s">
        <v>510</v>
      </c>
      <c r="B2109" s="5" t="s">
        <v>74</v>
      </c>
      <c r="C2109" s="5" t="n">
        <v>2021</v>
      </c>
      <c r="D2109" s="5" t="s">
        <v>59</v>
      </c>
      <c r="E2109" s="5" t="s">
        <v>46</v>
      </c>
      <c r="F2109" s="5" t="s">
        <v>40</v>
      </c>
      <c r="G2109" s="6" t="n">
        <v>611</v>
      </c>
      <c r="H2109" s="6" t="n">
        <v>58</v>
      </c>
      <c r="I2109" s="7" t="n">
        <f aca="false">(G2109-H2109)/G2109</f>
        <v>0.905073649754501</v>
      </c>
      <c r="J2109" s="15" t="n">
        <v>0.6615</v>
      </c>
      <c r="K2109" s="11" t="str">
        <f aca="false">IF(I2109&lt;J2109,"TAK","NIE")</f>
        <v>NIE</v>
      </c>
    </row>
    <row r="2110" customFormat="false" ht="15" hidden="false" customHeight="false" outlineLevel="0" collapsed="false">
      <c r="A2110" s="5" t="s">
        <v>488</v>
      </c>
      <c r="B2110" s="5" t="s">
        <v>58</v>
      </c>
      <c r="C2110" s="5" t="n">
        <v>2021</v>
      </c>
      <c r="D2110" s="5" t="s">
        <v>59</v>
      </c>
      <c r="E2110" s="5" t="s">
        <v>55</v>
      </c>
      <c r="F2110" s="5" t="s">
        <v>39</v>
      </c>
      <c r="G2110" s="6" t="n">
        <v>777</v>
      </c>
      <c r="H2110" s="6" t="n">
        <v>158</v>
      </c>
      <c r="I2110" s="7" t="n">
        <f aca="false">(G2110-H2110)/G2110</f>
        <v>0.796653796653797</v>
      </c>
      <c r="J2110" s="15" t="n">
        <v>0.6856</v>
      </c>
      <c r="K2110" s="11" t="str">
        <f aca="false">IF(I2110&lt;J2110,"TAK","NIE")</f>
        <v>NIE</v>
      </c>
    </row>
    <row r="2111" customFormat="false" ht="15" hidden="false" customHeight="false" outlineLevel="0" collapsed="false">
      <c r="A2111" s="5" t="s">
        <v>489</v>
      </c>
      <c r="B2111" s="5" t="s">
        <v>58</v>
      </c>
      <c r="C2111" s="5" t="n">
        <v>2021</v>
      </c>
      <c r="D2111" s="5" t="s">
        <v>59</v>
      </c>
      <c r="E2111" s="5" t="s">
        <v>55</v>
      </c>
      <c r="F2111" s="5" t="s">
        <v>39</v>
      </c>
      <c r="G2111" s="6" t="n">
        <v>777</v>
      </c>
      <c r="H2111" s="6" t="n">
        <v>214</v>
      </c>
      <c r="I2111" s="7" t="n">
        <f aca="false">(G2111-H2111)/G2111</f>
        <v>0.724581724581725</v>
      </c>
      <c r="J2111" s="15" t="n">
        <v>0.6856</v>
      </c>
      <c r="K2111" s="11" t="str">
        <f aca="false">IF(I2111&lt;J2111,"TAK","NIE")</f>
        <v>NIE</v>
      </c>
    </row>
    <row r="2112" customFormat="false" ht="15" hidden="false" customHeight="false" outlineLevel="0" collapsed="false">
      <c r="A2112" s="5" t="s">
        <v>490</v>
      </c>
      <c r="B2112" s="5" t="s">
        <v>58</v>
      </c>
      <c r="C2112" s="5" t="n">
        <v>2021</v>
      </c>
      <c r="D2112" s="5" t="s">
        <v>59</v>
      </c>
      <c r="E2112" s="5" t="s">
        <v>55</v>
      </c>
      <c r="F2112" s="5" t="s">
        <v>39</v>
      </c>
      <c r="G2112" s="6" t="n">
        <v>777</v>
      </c>
      <c r="H2112" s="6" t="n">
        <v>171</v>
      </c>
      <c r="I2112" s="7" t="n">
        <f aca="false">(G2112-H2112)/G2112</f>
        <v>0.77992277992278</v>
      </c>
      <c r="J2112" s="15" t="n">
        <v>0.6856</v>
      </c>
      <c r="K2112" s="11" t="str">
        <f aca="false">IF(I2112&lt;J2112,"TAK","NIE")</f>
        <v>NIE</v>
      </c>
    </row>
    <row r="2113" customFormat="false" ht="15" hidden="false" customHeight="false" outlineLevel="0" collapsed="false">
      <c r="A2113" s="5" t="s">
        <v>491</v>
      </c>
      <c r="B2113" s="5" t="s">
        <v>58</v>
      </c>
      <c r="C2113" s="5" t="n">
        <v>2021</v>
      </c>
      <c r="D2113" s="5" t="s">
        <v>59</v>
      </c>
      <c r="E2113" s="5" t="s">
        <v>55</v>
      </c>
      <c r="F2113" s="5" t="s">
        <v>39</v>
      </c>
      <c r="G2113" s="6" t="n">
        <v>777</v>
      </c>
      <c r="H2113" s="6" t="n">
        <v>172</v>
      </c>
      <c r="I2113" s="7" t="n">
        <f aca="false">(G2113-H2113)/G2113</f>
        <v>0.778635778635779</v>
      </c>
      <c r="J2113" s="15" t="n">
        <v>0.6856</v>
      </c>
      <c r="K2113" s="11" t="str">
        <f aca="false">IF(I2113&lt;J2113,"TAK","NIE")</f>
        <v>NIE</v>
      </c>
    </row>
    <row r="2114" customFormat="false" ht="15" hidden="false" customHeight="false" outlineLevel="0" collapsed="false">
      <c r="A2114" s="5" t="s">
        <v>492</v>
      </c>
      <c r="B2114" s="5" t="s">
        <v>58</v>
      </c>
      <c r="C2114" s="5" t="n">
        <v>2021</v>
      </c>
      <c r="D2114" s="5" t="s">
        <v>59</v>
      </c>
      <c r="E2114" s="5" t="s">
        <v>55</v>
      </c>
      <c r="F2114" s="5" t="s">
        <v>39</v>
      </c>
      <c r="G2114" s="6" t="n">
        <v>777</v>
      </c>
      <c r="H2114" s="6" t="n">
        <v>225</v>
      </c>
      <c r="I2114" s="7" t="n">
        <f aca="false">(G2114-H2114)/G2114</f>
        <v>0.71042471042471</v>
      </c>
      <c r="J2114" s="15" t="n">
        <v>0.6856</v>
      </c>
      <c r="K2114" s="11" t="str">
        <f aca="false">IF(I2114&lt;J2114,"TAK","NIE")</f>
        <v>NIE</v>
      </c>
    </row>
    <row r="2115" customFormat="false" ht="15" hidden="false" customHeight="false" outlineLevel="0" collapsed="false">
      <c r="A2115" s="5" t="s">
        <v>493</v>
      </c>
      <c r="B2115" s="5" t="s">
        <v>58</v>
      </c>
      <c r="C2115" s="5" t="n">
        <v>2021</v>
      </c>
      <c r="D2115" s="5" t="s">
        <v>59</v>
      </c>
      <c r="E2115" s="5" t="s">
        <v>55</v>
      </c>
      <c r="F2115" s="5" t="s">
        <v>39</v>
      </c>
      <c r="G2115" s="6" t="n">
        <v>777</v>
      </c>
      <c r="H2115" s="6" t="n">
        <v>170</v>
      </c>
      <c r="I2115" s="7" t="n">
        <f aca="false">(G2115-H2115)/G2115</f>
        <v>0.781209781209781</v>
      </c>
      <c r="J2115" s="15" t="n">
        <v>0.6856</v>
      </c>
      <c r="K2115" s="11" t="str">
        <f aca="false">IF(I2115&lt;J2115,"TAK","NIE")</f>
        <v>NIE</v>
      </c>
    </row>
    <row r="2116" customFormat="false" ht="15" hidden="false" customHeight="false" outlineLevel="0" collapsed="false">
      <c r="A2116" s="5" t="s">
        <v>494</v>
      </c>
      <c r="B2116" s="5" t="s">
        <v>58</v>
      </c>
      <c r="C2116" s="5" t="n">
        <v>2021</v>
      </c>
      <c r="D2116" s="5" t="s">
        <v>59</v>
      </c>
      <c r="E2116" s="5" t="s">
        <v>55</v>
      </c>
      <c r="F2116" s="5" t="s">
        <v>39</v>
      </c>
      <c r="G2116" s="6" t="n">
        <v>775</v>
      </c>
      <c r="H2116" s="6" t="n">
        <v>154</v>
      </c>
      <c r="I2116" s="7" t="n">
        <f aca="false">(G2116-H2116)/G2116</f>
        <v>0.801290322580645</v>
      </c>
      <c r="J2116" s="15" t="n">
        <v>0.6856</v>
      </c>
      <c r="K2116" s="11" t="str">
        <f aca="false">IF(I2116&lt;J2116,"TAK","NIE")</f>
        <v>NIE</v>
      </c>
    </row>
    <row r="2117" customFormat="false" ht="15" hidden="false" customHeight="false" outlineLevel="0" collapsed="false">
      <c r="A2117" s="5" t="s">
        <v>495</v>
      </c>
      <c r="B2117" s="5" t="s">
        <v>58</v>
      </c>
      <c r="C2117" s="5" t="n">
        <v>2021</v>
      </c>
      <c r="D2117" s="5" t="s">
        <v>59</v>
      </c>
      <c r="E2117" s="5" t="s">
        <v>55</v>
      </c>
      <c r="F2117" s="5" t="s">
        <v>39</v>
      </c>
      <c r="G2117" s="6" t="n">
        <v>777</v>
      </c>
      <c r="H2117" s="6" t="n">
        <v>97</v>
      </c>
      <c r="I2117" s="7" t="n">
        <f aca="false">(G2117-H2117)/G2117</f>
        <v>0.875160875160875</v>
      </c>
      <c r="J2117" s="15" t="n">
        <v>0.6856</v>
      </c>
      <c r="K2117" s="11" t="str">
        <f aca="false">IF(I2117&lt;J2117,"TAK","NIE")</f>
        <v>NIE</v>
      </c>
    </row>
    <row r="2118" customFormat="false" ht="15" hidden="false" customHeight="false" outlineLevel="0" collapsed="false">
      <c r="A2118" s="5" t="s">
        <v>496</v>
      </c>
      <c r="B2118" s="5" t="s">
        <v>58</v>
      </c>
      <c r="C2118" s="5" t="n">
        <v>2021</v>
      </c>
      <c r="D2118" s="5" t="s">
        <v>59</v>
      </c>
      <c r="E2118" s="5" t="s">
        <v>55</v>
      </c>
      <c r="F2118" s="5" t="s">
        <v>39</v>
      </c>
      <c r="G2118" s="6" t="n">
        <v>775</v>
      </c>
      <c r="H2118" s="6" t="n">
        <v>75</v>
      </c>
      <c r="I2118" s="7" t="n">
        <f aca="false">(G2118-H2118)/G2118</f>
        <v>0.903225806451613</v>
      </c>
      <c r="J2118" s="15" t="n">
        <v>0.6856</v>
      </c>
      <c r="K2118" s="11" t="str">
        <f aca="false">IF(I2118&lt;J2118,"TAK","NIE")</f>
        <v>NIE</v>
      </c>
    </row>
    <row r="2119" customFormat="false" ht="15" hidden="false" customHeight="false" outlineLevel="0" collapsed="false">
      <c r="A2119" s="5" t="s">
        <v>497</v>
      </c>
      <c r="B2119" s="5" t="s">
        <v>58</v>
      </c>
      <c r="C2119" s="5" t="n">
        <v>2021</v>
      </c>
      <c r="D2119" s="5" t="s">
        <v>59</v>
      </c>
      <c r="E2119" s="5" t="s">
        <v>55</v>
      </c>
      <c r="F2119" s="5" t="s">
        <v>39</v>
      </c>
      <c r="G2119" s="6" t="n">
        <v>777</v>
      </c>
      <c r="H2119" s="6" t="n">
        <v>130</v>
      </c>
      <c r="I2119" s="7" t="n">
        <f aca="false">(G2119-H2119)/G2119</f>
        <v>0.832689832689833</v>
      </c>
      <c r="J2119" s="15" t="n">
        <v>0.6856</v>
      </c>
      <c r="K2119" s="11" t="str">
        <f aca="false">IF(I2119&lt;J2119,"TAK","NIE")</f>
        <v>NIE</v>
      </c>
    </row>
    <row r="2120" customFormat="false" ht="15" hidden="false" customHeight="false" outlineLevel="0" collapsed="false">
      <c r="A2120" s="5" t="s">
        <v>498</v>
      </c>
      <c r="B2120" s="5" t="s">
        <v>58</v>
      </c>
      <c r="C2120" s="5" t="n">
        <v>2021</v>
      </c>
      <c r="D2120" s="5" t="s">
        <v>59</v>
      </c>
      <c r="E2120" s="5" t="s">
        <v>55</v>
      </c>
      <c r="F2120" s="5" t="s">
        <v>39</v>
      </c>
      <c r="G2120" s="6" t="n">
        <v>777</v>
      </c>
      <c r="H2120" s="6" t="n">
        <v>121</v>
      </c>
      <c r="I2120" s="7" t="n">
        <f aca="false">(G2120-H2120)/G2120</f>
        <v>0.844272844272844</v>
      </c>
      <c r="J2120" s="15" t="n">
        <v>0.6856</v>
      </c>
      <c r="K2120" s="11" t="str">
        <f aca="false">IF(I2120&lt;J2120,"TAK","NIE")</f>
        <v>NIE</v>
      </c>
    </row>
    <row r="2121" customFormat="false" ht="15" hidden="false" customHeight="false" outlineLevel="0" collapsed="false">
      <c r="A2121" s="5" t="s">
        <v>499</v>
      </c>
      <c r="B2121" s="5" t="s">
        <v>58</v>
      </c>
      <c r="C2121" s="5" t="n">
        <v>2021</v>
      </c>
      <c r="D2121" s="5" t="s">
        <v>59</v>
      </c>
      <c r="E2121" s="5" t="s">
        <v>55</v>
      </c>
      <c r="F2121" s="5" t="s">
        <v>39</v>
      </c>
      <c r="G2121" s="6" t="n">
        <v>777</v>
      </c>
      <c r="H2121" s="6" t="n">
        <v>148</v>
      </c>
      <c r="I2121" s="7" t="n">
        <f aca="false">(G2121-H2121)/G2121</f>
        <v>0.80952380952381</v>
      </c>
      <c r="J2121" s="15" t="n">
        <v>0.6856</v>
      </c>
      <c r="K2121" s="11" t="str">
        <f aca="false">IF(I2121&lt;J2121,"TAK","NIE")</f>
        <v>NIE</v>
      </c>
    </row>
    <row r="2122" customFormat="false" ht="15" hidden="false" customHeight="false" outlineLevel="0" collapsed="false">
      <c r="A2122" s="5" t="s">
        <v>500</v>
      </c>
      <c r="B2122" s="5" t="s">
        <v>58</v>
      </c>
      <c r="C2122" s="5" t="n">
        <v>2021</v>
      </c>
      <c r="D2122" s="5" t="s">
        <v>59</v>
      </c>
      <c r="E2122" s="5" t="s">
        <v>55</v>
      </c>
      <c r="F2122" s="5" t="s">
        <v>39</v>
      </c>
      <c r="G2122" s="6" t="n">
        <v>777</v>
      </c>
      <c r="H2122" s="6" t="n">
        <v>119</v>
      </c>
      <c r="I2122" s="7" t="n">
        <f aca="false">(G2122-H2122)/G2122</f>
        <v>0.846846846846847</v>
      </c>
      <c r="J2122" s="15" t="n">
        <v>0.6856</v>
      </c>
      <c r="K2122" s="11" t="str">
        <f aca="false">IF(I2122&lt;J2122,"TAK","NIE")</f>
        <v>NIE</v>
      </c>
    </row>
    <row r="2123" customFormat="false" ht="15" hidden="false" customHeight="false" outlineLevel="0" collapsed="false">
      <c r="A2123" s="5" t="s">
        <v>501</v>
      </c>
      <c r="B2123" s="5" t="s">
        <v>58</v>
      </c>
      <c r="C2123" s="5" t="n">
        <v>2021</v>
      </c>
      <c r="D2123" s="5" t="s">
        <v>59</v>
      </c>
      <c r="E2123" s="5" t="s">
        <v>55</v>
      </c>
      <c r="F2123" s="5" t="s">
        <v>39</v>
      </c>
      <c r="G2123" s="6" t="n">
        <v>777</v>
      </c>
      <c r="H2123" s="6" t="n">
        <v>216</v>
      </c>
      <c r="I2123" s="7" t="n">
        <f aca="false">(G2123-H2123)/G2123</f>
        <v>0.722007722007722</v>
      </c>
      <c r="J2123" s="15" t="n">
        <v>0.6856</v>
      </c>
      <c r="K2123" s="11" t="str">
        <f aca="false">IF(I2123&lt;J2123,"TAK","NIE")</f>
        <v>NIE</v>
      </c>
    </row>
    <row r="2124" customFormat="false" ht="15" hidden="false" customHeight="false" outlineLevel="0" collapsed="false">
      <c r="A2124" s="5" t="s">
        <v>503</v>
      </c>
      <c r="B2124" s="5" t="s">
        <v>58</v>
      </c>
      <c r="C2124" s="5" t="n">
        <v>2021</v>
      </c>
      <c r="D2124" s="5" t="s">
        <v>59</v>
      </c>
      <c r="E2124" s="5" t="s">
        <v>55</v>
      </c>
      <c r="F2124" s="5" t="s">
        <v>39</v>
      </c>
      <c r="G2124" s="6" t="n">
        <v>777</v>
      </c>
      <c r="H2124" s="6" t="n">
        <v>172</v>
      </c>
      <c r="I2124" s="7" t="n">
        <f aca="false">(G2124-H2124)/G2124</f>
        <v>0.778635778635779</v>
      </c>
      <c r="J2124" s="15" t="n">
        <v>0.6856</v>
      </c>
      <c r="K2124" s="11" t="str">
        <f aca="false">IF(I2124&lt;J2124,"TAK","NIE")</f>
        <v>NIE</v>
      </c>
    </row>
    <row r="2125" customFormat="false" ht="15" hidden="false" customHeight="false" outlineLevel="0" collapsed="false">
      <c r="A2125" s="5" t="s">
        <v>504</v>
      </c>
      <c r="B2125" s="5" t="s">
        <v>58</v>
      </c>
      <c r="C2125" s="5" t="n">
        <v>2021</v>
      </c>
      <c r="D2125" s="5" t="s">
        <v>59</v>
      </c>
      <c r="E2125" s="5" t="s">
        <v>55</v>
      </c>
      <c r="F2125" s="5" t="s">
        <v>39</v>
      </c>
      <c r="G2125" s="6" t="n">
        <v>777</v>
      </c>
      <c r="H2125" s="6" t="n">
        <v>262</v>
      </c>
      <c r="I2125" s="7" t="n">
        <f aca="false">(G2125-H2125)/G2125</f>
        <v>0.662805662805663</v>
      </c>
      <c r="J2125" s="15" t="n">
        <v>0.6856</v>
      </c>
      <c r="K2125" s="11" t="str">
        <f aca="false">IF(I2125&lt;J2125,"TAK","NIE")</f>
        <v>TAK</v>
      </c>
    </row>
    <row r="2126" customFormat="false" ht="15" hidden="false" customHeight="false" outlineLevel="0" collapsed="false">
      <c r="A2126" s="5" t="s">
        <v>505</v>
      </c>
      <c r="B2126" s="5" t="s">
        <v>58</v>
      </c>
      <c r="C2126" s="5" t="n">
        <v>2021</v>
      </c>
      <c r="D2126" s="5" t="s">
        <v>59</v>
      </c>
      <c r="E2126" s="5" t="s">
        <v>55</v>
      </c>
      <c r="F2126" s="5" t="s">
        <v>39</v>
      </c>
      <c r="G2126" s="6" t="n">
        <v>777</v>
      </c>
      <c r="H2126" s="6" t="n">
        <v>16</v>
      </c>
      <c r="I2126" s="7" t="n">
        <f aca="false">(G2126-H2126)/G2126</f>
        <v>0.979407979407979</v>
      </c>
      <c r="J2126" s="15" t="n">
        <v>0.6856</v>
      </c>
      <c r="K2126" s="11" t="str">
        <f aca="false">IF(I2126&lt;J2126,"TAK","NIE")</f>
        <v>NIE</v>
      </c>
    </row>
    <row r="2127" customFormat="false" ht="15" hidden="false" customHeight="false" outlineLevel="0" collapsed="false">
      <c r="A2127" s="5" t="s">
        <v>506</v>
      </c>
      <c r="B2127" s="5" t="s">
        <v>58</v>
      </c>
      <c r="C2127" s="5" t="n">
        <v>2021</v>
      </c>
      <c r="D2127" s="5" t="s">
        <v>59</v>
      </c>
      <c r="E2127" s="5" t="s">
        <v>55</v>
      </c>
      <c r="F2127" s="5" t="s">
        <v>39</v>
      </c>
      <c r="G2127" s="6" t="n">
        <v>777</v>
      </c>
      <c r="H2127" s="6" t="n">
        <v>150</v>
      </c>
      <c r="I2127" s="7" t="n">
        <f aca="false">(G2127-H2127)/G2127</f>
        <v>0.806949806949807</v>
      </c>
      <c r="J2127" s="15" t="n">
        <v>0.6856</v>
      </c>
      <c r="K2127" s="11" t="str">
        <f aca="false">IF(I2127&lt;J2127,"TAK","NIE")</f>
        <v>NIE</v>
      </c>
    </row>
    <row r="2128" customFormat="false" ht="15" hidden="false" customHeight="false" outlineLevel="0" collapsed="false">
      <c r="A2128" s="5" t="s">
        <v>507</v>
      </c>
      <c r="B2128" s="5" t="s">
        <v>58</v>
      </c>
      <c r="C2128" s="5" t="n">
        <v>2021</v>
      </c>
      <c r="D2128" s="5" t="s">
        <v>59</v>
      </c>
      <c r="E2128" s="5" t="s">
        <v>55</v>
      </c>
      <c r="F2128" s="5" t="s">
        <v>39</v>
      </c>
      <c r="G2128" s="6" t="n">
        <v>777</v>
      </c>
      <c r="H2128" s="6" t="n">
        <v>220</v>
      </c>
      <c r="I2128" s="7" t="n">
        <f aca="false">(G2128-H2128)/G2128</f>
        <v>0.716859716859717</v>
      </c>
      <c r="J2128" s="15" t="n">
        <v>0.6856</v>
      </c>
      <c r="K2128" s="11" t="str">
        <f aca="false">IF(I2128&lt;J2128,"TAK","NIE")</f>
        <v>NIE</v>
      </c>
    </row>
    <row r="2129" customFormat="false" ht="15" hidden="false" customHeight="false" outlineLevel="0" collapsed="false">
      <c r="A2129" s="5" t="s">
        <v>508</v>
      </c>
      <c r="B2129" s="5" t="s">
        <v>58</v>
      </c>
      <c r="C2129" s="5" t="n">
        <v>2021</v>
      </c>
      <c r="D2129" s="5" t="s">
        <v>59</v>
      </c>
      <c r="E2129" s="5" t="s">
        <v>55</v>
      </c>
      <c r="F2129" s="5" t="s">
        <v>39</v>
      </c>
      <c r="G2129" s="6" t="n">
        <v>777</v>
      </c>
      <c r="H2129" s="6" t="n">
        <v>158</v>
      </c>
      <c r="I2129" s="7" t="n">
        <f aca="false">(G2129-H2129)/G2129</f>
        <v>0.796653796653797</v>
      </c>
      <c r="J2129" s="15" t="n">
        <v>0.6856</v>
      </c>
      <c r="K2129" s="11" t="str">
        <f aca="false">IF(I2129&lt;J2129,"TAK","NIE")</f>
        <v>NIE</v>
      </c>
    </row>
    <row r="2130" customFormat="false" ht="15" hidden="false" customHeight="false" outlineLevel="0" collapsed="false">
      <c r="A2130" s="5" t="s">
        <v>509</v>
      </c>
      <c r="B2130" s="5" t="s">
        <v>58</v>
      </c>
      <c r="C2130" s="5" t="n">
        <v>2021</v>
      </c>
      <c r="D2130" s="5" t="s">
        <v>59</v>
      </c>
      <c r="E2130" s="5" t="s">
        <v>55</v>
      </c>
      <c r="F2130" s="5" t="s">
        <v>39</v>
      </c>
      <c r="G2130" s="6" t="n">
        <v>777</v>
      </c>
      <c r="H2130" s="6" t="n">
        <v>156</v>
      </c>
      <c r="I2130" s="7" t="n">
        <f aca="false">(G2130-H2130)/G2130</f>
        <v>0.799227799227799</v>
      </c>
      <c r="J2130" s="15" t="n">
        <v>0.6856</v>
      </c>
      <c r="K2130" s="11" t="str">
        <f aca="false">IF(I2130&lt;J2130,"TAK","NIE")</f>
        <v>NIE</v>
      </c>
    </row>
    <row r="2131" customFormat="false" ht="15" hidden="false" customHeight="false" outlineLevel="0" collapsed="false">
      <c r="A2131" s="5" t="s">
        <v>510</v>
      </c>
      <c r="B2131" s="5" t="s">
        <v>58</v>
      </c>
      <c r="C2131" s="5" t="n">
        <v>2021</v>
      </c>
      <c r="D2131" s="5" t="s">
        <v>59</v>
      </c>
      <c r="E2131" s="5" t="s">
        <v>55</v>
      </c>
      <c r="F2131" s="5" t="s">
        <v>39</v>
      </c>
      <c r="G2131" s="6" t="n">
        <v>777</v>
      </c>
      <c r="H2131" s="6" t="n">
        <v>81</v>
      </c>
      <c r="I2131" s="7" t="n">
        <f aca="false">(G2131-H2131)/G2131</f>
        <v>0.895752895752896</v>
      </c>
      <c r="J2131" s="15" t="n">
        <v>0.6856</v>
      </c>
      <c r="K2131" s="11" t="str">
        <f aca="false">IF(I2131&lt;J2131,"TAK","NIE")</f>
        <v>NIE</v>
      </c>
    </row>
    <row r="2132" customFormat="false" ht="15" hidden="false" customHeight="false" outlineLevel="0" collapsed="false">
      <c r="A2132" s="5" t="s">
        <v>488</v>
      </c>
      <c r="B2132" s="5" t="s">
        <v>58</v>
      </c>
      <c r="C2132" s="5" t="n">
        <v>2021</v>
      </c>
      <c r="D2132" s="5" t="s">
        <v>59</v>
      </c>
      <c r="E2132" s="5" t="s">
        <v>55</v>
      </c>
      <c r="F2132" s="5" t="s">
        <v>40</v>
      </c>
      <c r="G2132" s="6" t="n">
        <v>426</v>
      </c>
      <c r="H2132" s="6" t="n">
        <v>139</v>
      </c>
      <c r="I2132" s="7" t="n">
        <f aca="false">(G2132-H2132)/G2132</f>
        <v>0.673708920187793</v>
      </c>
      <c r="J2132" s="15" t="n">
        <v>0.5615</v>
      </c>
      <c r="K2132" s="11" t="str">
        <f aca="false">IF(I2132&lt;J2132,"TAK","NIE")</f>
        <v>NIE</v>
      </c>
    </row>
    <row r="2133" customFormat="false" ht="15" hidden="false" customHeight="false" outlineLevel="0" collapsed="false">
      <c r="A2133" s="5" t="s">
        <v>489</v>
      </c>
      <c r="B2133" s="5" t="s">
        <v>58</v>
      </c>
      <c r="C2133" s="5" t="n">
        <v>2021</v>
      </c>
      <c r="D2133" s="5" t="s">
        <v>59</v>
      </c>
      <c r="E2133" s="5" t="s">
        <v>55</v>
      </c>
      <c r="F2133" s="5" t="s">
        <v>40</v>
      </c>
      <c r="G2133" s="6" t="n">
        <v>426</v>
      </c>
      <c r="H2133" s="6" t="n">
        <v>147</v>
      </c>
      <c r="I2133" s="7" t="n">
        <f aca="false">(G2133-H2133)/G2133</f>
        <v>0.654929577464789</v>
      </c>
      <c r="J2133" s="15" t="n">
        <v>0.5615</v>
      </c>
      <c r="K2133" s="11" t="str">
        <f aca="false">IF(I2133&lt;J2133,"TAK","NIE")</f>
        <v>NIE</v>
      </c>
    </row>
    <row r="2134" customFormat="false" ht="15" hidden="false" customHeight="false" outlineLevel="0" collapsed="false">
      <c r="A2134" s="5" t="s">
        <v>490</v>
      </c>
      <c r="B2134" s="5" t="s">
        <v>58</v>
      </c>
      <c r="C2134" s="5" t="n">
        <v>2021</v>
      </c>
      <c r="D2134" s="5" t="s">
        <v>59</v>
      </c>
      <c r="E2134" s="5" t="s">
        <v>55</v>
      </c>
      <c r="F2134" s="5" t="s">
        <v>40</v>
      </c>
      <c r="G2134" s="6" t="n">
        <v>426</v>
      </c>
      <c r="H2134" s="6" t="n">
        <v>169</v>
      </c>
      <c r="I2134" s="7" t="n">
        <f aca="false">(G2134-H2134)/G2134</f>
        <v>0.603286384976526</v>
      </c>
      <c r="J2134" s="15" t="n">
        <v>0.5615</v>
      </c>
      <c r="K2134" s="11" t="str">
        <f aca="false">IF(I2134&lt;J2134,"TAK","NIE")</f>
        <v>NIE</v>
      </c>
    </row>
    <row r="2135" customFormat="false" ht="15" hidden="false" customHeight="false" outlineLevel="0" collapsed="false">
      <c r="A2135" s="5" t="s">
        <v>491</v>
      </c>
      <c r="B2135" s="5" t="s">
        <v>58</v>
      </c>
      <c r="C2135" s="5" t="n">
        <v>2021</v>
      </c>
      <c r="D2135" s="5" t="s">
        <v>59</v>
      </c>
      <c r="E2135" s="5" t="s">
        <v>55</v>
      </c>
      <c r="F2135" s="5" t="s">
        <v>40</v>
      </c>
      <c r="G2135" s="6" t="n">
        <v>426</v>
      </c>
      <c r="H2135" s="6" t="n">
        <v>140</v>
      </c>
      <c r="I2135" s="7" t="n">
        <f aca="false">(G2135-H2135)/G2135</f>
        <v>0.671361502347418</v>
      </c>
      <c r="J2135" s="15" t="n">
        <v>0.5615</v>
      </c>
      <c r="K2135" s="11" t="str">
        <f aca="false">IF(I2135&lt;J2135,"TAK","NIE")</f>
        <v>NIE</v>
      </c>
    </row>
    <row r="2136" customFormat="false" ht="15" hidden="false" customHeight="false" outlineLevel="0" collapsed="false">
      <c r="A2136" s="5" t="s">
        <v>492</v>
      </c>
      <c r="B2136" s="5" t="s">
        <v>58</v>
      </c>
      <c r="C2136" s="5" t="n">
        <v>2021</v>
      </c>
      <c r="D2136" s="5" t="s">
        <v>59</v>
      </c>
      <c r="E2136" s="5" t="s">
        <v>55</v>
      </c>
      <c r="F2136" s="5" t="s">
        <v>40</v>
      </c>
      <c r="G2136" s="6" t="n">
        <v>426</v>
      </c>
      <c r="H2136" s="6" t="n">
        <v>157</v>
      </c>
      <c r="I2136" s="7" t="n">
        <f aca="false">(G2136-H2136)/G2136</f>
        <v>0.631455399061033</v>
      </c>
      <c r="J2136" s="15" t="n">
        <v>0.5615</v>
      </c>
      <c r="K2136" s="11" t="str">
        <f aca="false">IF(I2136&lt;J2136,"TAK","NIE")</f>
        <v>NIE</v>
      </c>
    </row>
    <row r="2137" customFormat="false" ht="15" hidden="false" customHeight="false" outlineLevel="0" collapsed="false">
      <c r="A2137" s="5" t="s">
        <v>493</v>
      </c>
      <c r="B2137" s="5" t="s">
        <v>58</v>
      </c>
      <c r="C2137" s="5" t="n">
        <v>2021</v>
      </c>
      <c r="D2137" s="5" t="s">
        <v>59</v>
      </c>
      <c r="E2137" s="5" t="s">
        <v>55</v>
      </c>
      <c r="F2137" s="5" t="s">
        <v>40</v>
      </c>
      <c r="G2137" s="6" t="n">
        <v>426</v>
      </c>
      <c r="H2137" s="6" t="n">
        <v>163</v>
      </c>
      <c r="I2137" s="7" t="n">
        <f aca="false">(G2137-H2137)/G2137</f>
        <v>0.617370892018779</v>
      </c>
      <c r="J2137" s="15" t="n">
        <v>0.5615</v>
      </c>
      <c r="K2137" s="11" t="str">
        <f aca="false">IF(I2137&lt;J2137,"TAK","NIE")</f>
        <v>NIE</v>
      </c>
    </row>
    <row r="2138" customFormat="false" ht="15" hidden="false" customHeight="false" outlineLevel="0" collapsed="false">
      <c r="A2138" s="5" t="s">
        <v>494</v>
      </c>
      <c r="B2138" s="5" t="s">
        <v>58</v>
      </c>
      <c r="C2138" s="5" t="n">
        <v>2021</v>
      </c>
      <c r="D2138" s="5" t="s">
        <v>59</v>
      </c>
      <c r="E2138" s="5" t="s">
        <v>55</v>
      </c>
      <c r="F2138" s="5" t="s">
        <v>40</v>
      </c>
      <c r="G2138" s="6" t="n">
        <v>426</v>
      </c>
      <c r="H2138" s="6" t="n">
        <v>135</v>
      </c>
      <c r="I2138" s="7" t="n">
        <f aca="false">(G2138-H2138)/G2138</f>
        <v>0.683098591549296</v>
      </c>
      <c r="J2138" s="15" t="n">
        <v>0.5615</v>
      </c>
      <c r="K2138" s="11" t="str">
        <f aca="false">IF(I2138&lt;J2138,"TAK","NIE")</f>
        <v>NIE</v>
      </c>
    </row>
    <row r="2139" customFormat="false" ht="15" hidden="false" customHeight="false" outlineLevel="0" collapsed="false">
      <c r="A2139" s="5" t="s">
        <v>495</v>
      </c>
      <c r="B2139" s="5" t="s">
        <v>58</v>
      </c>
      <c r="C2139" s="5" t="n">
        <v>2021</v>
      </c>
      <c r="D2139" s="5" t="s">
        <v>59</v>
      </c>
      <c r="E2139" s="5" t="s">
        <v>55</v>
      </c>
      <c r="F2139" s="5" t="s">
        <v>40</v>
      </c>
      <c r="G2139" s="6" t="n">
        <v>426</v>
      </c>
      <c r="H2139" s="6" t="n">
        <v>137</v>
      </c>
      <c r="I2139" s="7" t="n">
        <f aca="false">(G2139-H2139)/G2139</f>
        <v>0.678403755868545</v>
      </c>
      <c r="J2139" s="15" t="n">
        <v>0.5615</v>
      </c>
      <c r="K2139" s="11" t="str">
        <f aca="false">IF(I2139&lt;J2139,"TAK","NIE")</f>
        <v>NIE</v>
      </c>
    </row>
    <row r="2140" customFormat="false" ht="15" hidden="false" customHeight="false" outlineLevel="0" collapsed="false">
      <c r="A2140" s="5" t="s">
        <v>496</v>
      </c>
      <c r="B2140" s="5" t="s">
        <v>58</v>
      </c>
      <c r="C2140" s="5" t="n">
        <v>2021</v>
      </c>
      <c r="D2140" s="5" t="s">
        <v>59</v>
      </c>
      <c r="E2140" s="5" t="s">
        <v>55</v>
      </c>
      <c r="F2140" s="5" t="s">
        <v>40</v>
      </c>
      <c r="G2140" s="6" t="n">
        <v>426</v>
      </c>
      <c r="H2140" s="6" t="n">
        <v>79</v>
      </c>
      <c r="I2140" s="7" t="n">
        <f aca="false">(G2140-H2140)/G2140</f>
        <v>0.814553990610329</v>
      </c>
      <c r="J2140" s="15" t="n">
        <v>0.5615</v>
      </c>
      <c r="K2140" s="11" t="str">
        <f aca="false">IF(I2140&lt;J2140,"TAK","NIE")</f>
        <v>NIE</v>
      </c>
    </row>
    <row r="2141" customFormat="false" ht="15" hidden="false" customHeight="false" outlineLevel="0" collapsed="false">
      <c r="A2141" s="5" t="s">
        <v>497</v>
      </c>
      <c r="B2141" s="5" t="s">
        <v>58</v>
      </c>
      <c r="C2141" s="5" t="n">
        <v>2021</v>
      </c>
      <c r="D2141" s="5" t="s">
        <v>59</v>
      </c>
      <c r="E2141" s="5" t="s">
        <v>55</v>
      </c>
      <c r="F2141" s="5" t="s">
        <v>40</v>
      </c>
      <c r="G2141" s="6" t="n">
        <v>426</v>
      </c>
      <c r="H2141" s="6" t="n">
        <v>185</v>
      </c>
      <c r="I2141" s="7" t="n">
        <f aca="false">(G2141-H2141)/G2141</f>
        <v>0.565727699530516</v>
      </c>
      <c r="J2141" s="15" t="n">
        <v>0.5615</v>
      </c>
      <c r="K2141" s="11" t="str">
        <f aca="false">IF(I2141&lt;J2141,"TAK","NIE")</f>
        <v>NIE</v>
      </c>
    </row>
    <row r="2142" customFormat="false" ht="15" hidden="false" customHeight="false" outlineLevel="0" collapsed="false">
      <c r="A2142" s="5" t="s">
        <v>498</v>
      </c>
      <c r="B2142" s="5" t="s">
        <v>58</v>
      </c>
      <c r="C2142" s="5" t="n">
        <v>2021</v>
      </c>
      <c r="D2142" s="5" t="s">
        <v>59</v>
      </c>
      <c r="E2142" s="5" t="s">
        <v>55</v>
      </c>
      <c r="F2142" s="5" t="s">
        <v>40</v>
      </c>
      <c r="G2142" s="6" t="n">
        <v>426</v>
      </c>
      <c r="H2142" s="6" t="n">
        <v>155</v>
      </c>
      <c r="I2142" s="7" t="n">
        <f aca="false">(G2142-H2142)/G2142</f>
        <v>0.636150234741784</v>
      </c>
      <c r="J2142" s="15" t="n">
        <v>0.5615</v>
      </c>
      <c r="K2142" s="11" t="str">
        <f aca="false">IF(I2142&lt;J2142,"TAK","NIE")</f>
        <v>NIE</v>
      </c>
    </row>
    <row r="2143" customFormat="false" ht="15" hidden="false" customHeight="false" outlineLevel="0" collapsed="false">
      <c r="A2143" s="5" t="s">
        <v>499</v>
      </c>
      <c r="B2143" s="5" t="s">
        <v>58</v>
      </c>
      <c r="C2143" s="5" t="n">
        <v>2021</v>
      </c>
      <c r="D2143" s="5" t="s">
        <v>59</v>
      </c>
      <c r="E2143" s="5" t="s">
        <v>55</v>
      </c>
      <c r="F2143" s="5" t="s">
        <v>40</v>
      </c>
      <c r="G2143" s="6" t="n">
        <v>426</v>
      </c>
      <c r="H2143" s="6" t="n">
        <v>140</v>
      </c>
      <c r="I2143" s="7" t="n">
        <f aca="false">(G2143-H2143)/G2143</f>
        <v>0.671361502347418</v>
      </c>
      <c r="J2143" s="15" t="n">
        <v>0.5615</v>
      </c>
      <c r="K2143" s="11" t="str">
        <f aca="false">IF(I2143&lt;J2143,"TAK","NIE")</f>
        <v>NIE</v>
      </c>
    </row>
    <row r="2144" customFormat="false" ht="15" hidden="false" customHeight="false" outlineLevel="0" collapsed="false">
      <c r="A2144" s="5" t="s">
        <v>500</v>
      </c>
      <c r="B2144" s="5" t="s">
        <v>58</v>
      </c>
      <c r="C2144" s="5" t="n">
        <v>2021</v>
      </c>
      <c r="D2144" s="5" t="s">
        <v>59</v>
      </c>
      <c r="E2144" s="5" t="s">
        <v>55</v>
      </c>
      <c r="F2144" s="5" t="s">
        <v>40</v>
      </c>
      <c r="G2144" s="6" t="n">
        <v>426</v>
      </c>
      <c r="H2144" s="6" t="n">
        <v>134</v>
      </c>
      <c r="I2144" s="7" t="n">
        <f aca="false">(G2144-H2144)/G2144</f>
        <v>0.685446009389671</v>
      </c>
      <c r="J2144" s="15" t="n">
        <v>0.5615</v>
      </c>
      <c r="K2144" s="11" t="str">
        <f aca="false">IF(I2144&lt;J2144,"TAK","NIE")</f>
        <v>NIE</v>
      </c>
    </row>
    <row r="2145" customFormat="false" ht="15" hidden="false" customHeight="false" outlineLevel="0" collapsed="false">
      <c r="A2145" s="5" t="s">
        <v>501</v>
      </c>
      <c r="B2145" s="5" t="s">
        <v>58</v>
      </c>
      <c r="C2145" s="5" t="n">
        <v>2021</v>
      </c>
      <c r="D2145" s="5" t="s">
        <v>59</v>
      </c>
      <c r="E2145" s="5" t="s">
        <v>55</v>
      </c>
      <c r="F2145" s="5" t="s">
        <v>40</v>
      </c>
      <c r="G2145" s="6" t="n">
        <v>426</v>
      </c>
      <c r="H2145" s="6" t="n">
        <v>153</v>
      </c>
      <c r="I2145" s="7" t="n">
        <f aca="false">(G2145-H2145)/G2145</f>
        <v>0.640845070422535</v>
      </c>
      <c r="J2145" s="15" t="n">
        <v>0.5615</v>
      </c>
      <c r="K2145" s="11" t="str">
        <f aca="false">IF(I2145&lt;J2145,"TAK","NIE")</f>
        <v>NIE</v>
      </c>
    </row>
    <row r="2146" customFormat="false" ht="15" hidden="false" customHeight="false" outlineLevel="0" collapsed="false">
      <c r="A2146" s="5" t="s">
        <v>503</v>
      </c>
      <c r="B2146" s="5" t="s">
        <v>58</v>
      </c>
      <c r="C2146" s="5" t="n">
        <v>2021</v>
      </c>
      <c r="D2146" s="5" t="s">
        <v>59</v>
      </c>
      <c r="E2146" s="5" t="s">
        <v>55</v>
      </c>
      <c r="F2146" s="5" t="s">
        <v>40</v>
      </c>
      <c r="G2146" s="6" t="n">
        <v>426</v>
      </c>
      <c r="H2146" s="6" t="n">
        <v>154</v>
      </c>
      <c r="I2146" s="7" t="n">
        <f aca="false">(G2146-H2146)/G2146</f>
        <v>0.63849765258216</v>
      </c>
      <c r="J2146" s="15" t="n">
        <v>0.5615</v>
      </c>
      <c r="K2146" s="11" t="str">
        <f aca="false">IF(I2146&lt;J2146,"TAK","NIE")</f>
        <v>NIE</v>
      </c>
    </row>
    <row r="2147" customFormat="false" ht="15" hidden="false" customHeight="false" outlineLevel="0" collapsed="false">
      <c r="A2147" s="5" t="s">
        <v>504</v>
      </c>
      <c r="B2147" s="5" t="s">
        <v>58</v>
      </c>
      <c r="C2147" s="5" t="n">
        <v>2021</v>
      </c>
      <c r="D2147" s="5" t="s">
        <v>59</v>
      </c>
      <c r="E2147" s="5" t="s">
        <v>55</v>
      </c>
      <c r="F2147" s="5" t="s">
        <v>40</v>
      </c>
      <c r="G2147" s="6" t="n">
        <v>426</v>
      </c>
      <c r="H2147" s="6" t="n">
        <v>116</v>
      </c>
      <c r="I2147" s="7" t="n">
        <f aca="false">(G2147-H2147)/G2147</f>
        <v>0.727699530516432</v>
      </c>
      <c r="J2147" s="15" t="n">
        <v>0.5615</v>
      </c>
      <c r="K2147" s="11" t="str">
        <f aca="false">IF(I2147&lt;J2147,"TAK","NIE")</f>
        <v>NIE</v>
      </c>
    </row>
    <row r="2148" customFormat="false" ht="15" hidden="false" customHeight="false" outlineLevel="0" collapsed="false">
      <c r="A2148" s="5" t="s">
        <v>505</v>
      </c>
      <c r="B2148" s="5" t="s">
        <v>58</v>
      </c>
      <c r="C2148" s="5" t="n">
        <v>2021</v>
      </c>
      <c r="D2148" s="5" t="s">
        <v>59</v>
      </c>
      <c r="E2148" s="5" t="s">
        <v>55</v>
      </c>
      <c r="F2148" s="5" t="s">
        <v>40</v>
      </c>
      <c r="G2148" s="6" t="n">
        <v>426</v>
      </c>
      <c r="H2148" s="6" t="n">
        <v>48</v>
      </c>
      <c r="I2148" s="7" t="n">
        <f aca="false">(G2148-H2148)/G2148</f>
        <v>0.887323943661972</v>
      </c>
      <c r="J2148" s="15" t="n">
        <v>0.5615</v>
      </c>
      <c r="K2148" s="11" t="str">
        <f aca="false">IF(I2148&lt;J2148,"TAK","NIE")</f>
        <v>NIE</v>
      </c>
    </row>
    <row r="2149" customFormat="false" ht="15" hidden="false" customHeight="false" outlineLevel="0" collapsed="false">
      <c r="A2149" s="5" t="s">
        <v>506</v>
      </c>
      <c r="B2149" s="5" t="s">
        <v>58</v>
      </c>
      <c r="C2149" s="5" t="n">
        <v>2021</v>
      </c>
      <c r="D2149" s="5" t="s">
        <v>59</v>
      </c>
      <c r="E2149" s="5" t="s">
        <v>55</v>
      </c>
      <c r="F2149" s="5" t="s">
        <v>40</v>
      </c>
      <c r="G2149" s="6" t="n">
        <v>426</v>
      </c>
      <c r="H2149" s="6" t="n">
        <v>140</v>
      </c>
      <c r="I2149" s="7" t="n">
        <f aca="false">(G2149-H2149)/G2149</f>
        <v>0.671361502347418</v>
      </c>
      <c r="J2149" s="15" t="n">
        <v>0.5615</v>
      </c>
      <c r="K2149" s="11" t="str">
        <f aca="false">IF(I2149&lt;J2149,"TAK","NIE")</f>
        <v>NIE</v>
      </c>
    </row>
    <row r="2150" customFormat="false" ht="15" hidden="false" customHeight="false" outlineLevel="0" collapsed="false">
      <c r="A2150" s="5" t="s">
        <v>507</v>
      </c>
      <c r="B2150" s="5" t="s">
        <v>58</v>
      </c>
      <c r="C2150" s="5" t="n">
        <v>2021</v>
      </c>
      <c r="D2150" s="5" t="s">
        <v>59</v>
      </c>
      <c r="E2150" s="5" t="s">
        <v>55</v>
      </c>
      <c r="F2150" s="5" t="s">
        <v>40</v>
      </c>
      <c r="G2150" s="6" t="n">
        <v>426</v>
      </c>
      <c r="H2150" s="6" t="n">
        <v>131</v>
      </c>
      <c r="I2150" s="7" t="n">
        <f aca="false">(G2150-H2150)/G2150</f>
        <v>0.692488262910798</v>
      </c>
      <c r="J2150" s="15" t="n">
        <v>0.5615</v>
      </c>
      <c r="K2150" s="11" t="str">
        <f aca="false">IF(I2150&lt;J2150,"TAK","NIE")</f>
        <v>NIE</v>
      </c>
    </row>
    <row r="2151" customFormat="false" ht="15" hidden="false" customHeight="false" outlineLevel="0" collapsed="false">
      <c r="A2151" s="5" t="s">
        <v>508</v>
      </c>
      <c r="B2151" s="5" t="s">
        <v>58</v>
      </c>
      <c r="C2151" s="5" t="n">
        <v>2021</v>
      </c>
      <c r="D2151" s="5" t="s">
        <v>59</v>
      </c>
      <c r="E2151" s="5" t="s">
        <v>55</v>
      </c>
      <c r="F2151" s="5" t="s">
        <v>40</v>
      </c>
      <c r="G2151" s="6" t="n">
        <v>426</v>
      </c>
      <c r="H2151" s="6" t="n">
        <v>131</v>
      </c>
      <c r="I2151" s="7" t="n">
        <f aca="false">(G2151-H2151)/G2151</f>
        <v>0.692488262910798</v>
      </c>
      <c r="J2151" s="15" t="n">
        <v>0.5615</v>
      </c>
      <c r="K2151" s="11" t="str">
        <f aca="false">IF(I2151&lt;J2151,"TAK","NIE")</f>
        <v>NIE</v>
      </c>
    </row>
    <row r="2152" customFormat="false" ht="15" hidden="false" customHeight="false" outlineLevel="0" collapsed="false">
      <c r="A2152" s="5" t="s">
        <v>509</v>
      </c>
      <c r="B2152" s="5" t="s">
        <v>58</v>
      </c>
      <c r="C2152" s="5" t="n">
        <v>2021</v>
      </c>
      <c r="D2152" s="5" t="s">
        <v>59</v>
      </c>
      <c r="E2152" s="5" t="s">
        <v>55</v>
      </c>
      <c r="F2152" s="5" t="s">
        <v>40</v>
      </c>
      <c r="G2152" s="6" t="n">
        <v>426</v>
      </c>
      <c r="H2152" s="6" t="n">
        <v>141</v>
      </c>
      <c r="I2152" s="7" t="n">
        <f aca="false">(G2152-H2152)/G2152</f>
        <v>0.669014084507042</v>
      </c>
      <c r="J2152" s="15" t="n">
        <v>0.5615</v>
      </c>
      <c r="K2152" s="11" t="str">
        <f aca="false">IF(I2152&lt;J2152,"TAK","NIE")</f>
        <v>NIE</v>
      </c>
    </row>
    <row r="2153" customFormat="false" ht="15" hidden="false" customHeight="false" outlineLevel="0" collapsed="false">
      <c r="A2153" s="5" t="s">
        <v>510</v>
      </c>
      <c r="B2153" s="5" t="s">
        <v>58</v>
      </c>
      <c r="C2153" s="5" t="n">
        <v>2021</v>
      </c>
      <c r="D2153" s="5" t="s">
        <v>59</v>
      </c>
      <c r="E2153" s="5" t="s">
        <v>55</v>
      </c>
      <c r="F2153" s="5" t="s">
        <v>40</v>
      </c>
      <c r="G2153" s="6" t="n">
        <v>426</v>
      </c>
      <c r="H2153" s="6" t="n">
        <v>82</v>
      </c>
      <c r="I2153" s="7" t="n">
        <f aca="false">(G2153-H2153)/G2153</f>
        <v>0.807511737089202</v>
      </c>
      <c r="J2153" s="15" t="n">
        <v>0.5615</v>
      </c>
      <c r="K2153" s="11" t="str">
        <f aca="false">IF(I2153&lt;J2153,"TAK","NIE")</f>
        <v>NIE</v>
      </c>
    </row>
    <row r="2154" customFormat="false" ht="15" hidden="false" customHeight="false" outlineLevel="0" collapsed="false">
      <c r="A2154" s="5" t="s">
        <v>488</v>
      </c>
      <c r="B2154" s="5" t="s">
        <v>60</v>
      </c>
      <c r="C2154" s="5" t="n">
        <v>2021</v>
      </c>
      <c r="D2154" s="5" t="s">
        <v>59</v>
      </c>
      <c r="E2154" s="5" t="s">
        <v>57</v>
      </c>
      <c r="F2154" s="5" t="s">
        <v>39</v>
      </c>
      <c r="G2154" s="6" t="n">
        <v>636</v>
      </c>
      <c r="H2154" s="6" t="n">
        <v>193</v>
      </c>
      <c r="I2154" s="7" t="n">
        <f aca="false">(G2154-H2154)/G2154</f>
        <v>0.696540880503145</v>
      </c>
      <c r="J2154" s="15" t="n">
        <v>0.572</v>
      </c>
      <c r="K2154" s="11" t="str">
        <f aca="false">IF(I2154&lt;J2154,"TAK","NIE")</f>
        <v>NIE</v>
      </c>
    </row>
    <row r="2155" customFormat="false" ht="15" hidden="false" customHeight="false" outlineLevel="0" collapsed="false">
      <c r="A2155" s="5" t="s">
        <v>489</v>
      </c>
      <c r="B2155" s="5" t="s">
        <v>60</v>
      </c>
      <c r="C2155" s="5" t="n">
        <v>2021</v>
      </c>
      <c r="D2155" s="5" t="s">
        <v>59</v>
      </c>
      <c r="E2155" s="5" t="s">
        <v>57</v>
      </c>
      <c r="F2155" s="5" t="s">
        <v>39</v>
      </c>
      <c r="G2155" s="6" t="n">
        <v>636</v>
      </c>
      <c r="H2155" s="6" t="n">
        <v>166</v>
      </c>
      <c r="I2155" s="7" t="n">
        <f aca="false">(G2155-H2155)/G2155</f>
        <v>0.738993710691824</v>
      </c>
      <c r="J2155" s="15" t="n">
        <v>0.572</v>
      </c>
      <c r="K2155" s="11" t="str">
        <f aca="false">IF(I2155&lt;J2155,"TAK","NIE")</f>
        <v>NIE</v>
      </c>
    </row>
    <row r="2156" customFormat="false" ht="15" hidden="false" customHeight="false" outlineLevel="0" collapsed="false">
      <c r="A2156" s="5" t="s">
        <v>490</v>
      </c>
      <c r="B2156" s="5" t="s">
        <v>60</v>
      </c>
      <c r="C2156" s="5" t="n">
        <v>2021</v>
      </c>
      <c r="D2156" s="5" t="s">
        <v>59</v>
      </c>
      <c r="E2156" s="5" t="s">
        <v>57</v>
      </c>
      <c r="F2156" s="5" t="s">
        <v>39</v>
      </c>
      <c r="G2156" s="6" t="n">
        <v>636</v>
      </c>
      <c r="H2156" s="6" t="n">
        <v>87</v>
      </c>
      <c r="I2156" s="7" t="n">
        <f aca="false">(G2156-H2156)/G2156</f>
        <v>0.863207547169811</v>
      </c>
      <c r="J2156" s="15" t="n">
        <v>0.572</v>
      </c>
      <c r="K2156" s="11" t="str">
        <f aca="false">IF(I2156&lt;J2156,"TAK","NIE")</f>
        <v>NIE</v>
      </c>
    </row>
    <row r="2157" customFormat="false" ht="15" hidden="false" customHeight="false" outlineLevel="0" collapsed="false">
      <c r="A2157" s="5" t="s">
        <v>491</v>
      </c>
      <c r="B2157" s="5" t="s">
        <v>60</v>
      </c>
      <c r="C2157" s="5" t="n">
        <v>2021</v>
      </c>
      <c r="D2157" s="5" t="s">
        <v>59</v>
      </c>
      <c r="E2157" s="5" t="s">
        <v>57</v>
      </c>
      <c r="F2157" s="5" t="s">
        <v>39</v>
      </c>
      <c r="G2157" s="6" t="n">
        <v>636</v>
      </c>
      <c r="H2157" s="6" t="n">
        <v>125</v>
      </c>
      <c r="I2157" s="7" t="n">
        <f aca="false">(G2157-H2157)/G2157</f>
        <v>0.803459119496855</v>
      </c>
      <c r="J2157" s="15" t="n">
        <v>0.572</v>
      </c>
      <c r="K2157" s="11" t="str">
        <f aca="false">IF(I2157&lt;J2157,"TAK","NIE")</f>
        <v>NIE</v>
      </c>
    </row>
    <row r="2158" customFormat="false" ht="15" hidden="false" customHeight="false" outlineLevel="0" collapsed="false">
      <c r="A2158" s="5" t="s">
        <v>492</v>
      </c>
      <c r="B2158" s="5" t="s">
        <v>60</v>
      </c>
      <c r="C2158" s="5" t="n">
        <v>2021</v>
      </c>
      <c r="D2158" s="5" t="s">
        <v>59</v>
      </c>
      <c r="E2158" s="5" t="s">
        <v>57</v>
      </c>
      <c r="F2158" s="5" t="s">
        <v>39</v>
      </c>
      <c r="G2158" s="6" t="n">
        <v>636</v>
      </c>
      <c r="H2158" s="6" t="n">
        <v>170</v>
      </c>
      <c r="I2158" s="7" t="n">
        <f aca="false">(G2158-H2158)/G2158</f>
        <v>0.732704402515723</v>
      </c>
      <c r="J2158" s="15" t="n">
        <v>0.572</v>
      </c>
      <c r="K2158" s="11" t="str">
        <f aca="false">IF(I2158&lt;J2158,"TAK","NIE")</f>
        <v>NIE</v>
      </c>
    </row>
    <row r="2159" customFormat="false" ht="15" hidden="false" customHeight="false" outlineLevel="0" collapsed="false">
      <c r="A2159" s="5" t="s">
        <v>493</v>
      </c>
      <c r="B2159" s="5" t="s">
        <v>60</v>
      </c>
      <c r="C2159" s="5" t="n">
        <v>2021</v>
      </c>
      <c r="D2159" s="5" t="s">
        <v>59</v>
      </c>
      <c r="E2159" s="5" t="s">
        <v>57</v>
      </c>
      <c r="F2159" s="5" t="s">
        <v>39</v>
      </c>
      <c r="G2159" s="6" t="n">
        <v>637</v>
      </c>
      <c r="H2159" s="6" t="n">
        <v>169</v>
      </c>
      <c r="I2159" s="7" t="n">
        <f aca="false">(G2159-H2159)/G2159</f>
        <v>0.73469387755102</v>
      </c>
      <c r="J2159" s="15" t="n">
        <v>0.572</v>
      </c>
      <c r="K2159" s="11" t="str">
        <f aca="false">IF(I2159&lt;J2159,"TAK","NIE")</f>
        <v>NIE</v>
      </c>
    </row>
    <row r="2160" customFormat="false" ht="15" hidden="false" customHeight="false" outlineLevel="0" collapsed="false">
      <c r="A2160" s="5" t="s">
        <v>494</v>
      </c>
      <c r="B2160" s="5" t="s">
        <v>60</v>
      </c>
      <c r="C2160" s="5" t="n">
        <v>2021</v>
      </c>
      <c r="D2160" s="5" t="s">
        <v>59</v>
      </c>
      <c r="E2160" s="5" t="s">
        <v>57</v>
      </c>
      <c r="F2160" s="5" t="s">
        <v>39</v>
      </c>
      <c r="G2160" s="6" t="n">
        <v>637</v>
      </c>
      <c r="H2160" s="6" t="n">
        <v>115</v>
      </c>
      <c r="I2160" s="7" t="n">
        <f aca="false">(G2160-H2160)/G2160</f>
        <v>0.819466248037677</v>
      </c>
      <c r="J2160" s="15" t="n">
        <v>0.572</v>
      </c>
      <c r="K2160" s="11" t="str">
        <f aca="false">IF(I2160&lt;J2160,"TAK","NIE")</f>
        <v>NIE</v>
      </c>
    </row>
    <row r="2161" customFormat="false" ht="15" hidden="false" customHeight="false" outlineLevel="0" collapsed="false">
      <c r="A2161" s="5" t="s">
        <v>495</v>
      </c>
      <c r="B2161" s="5" t="s">
        <v>60</v>
      </c>
      <c r="C2161" s="5" t="n">
        <v>2021</v>
      </c>
      <c r="D2161" s="5" t="s">
        <v>59</v>
      </c>
      <c r="E2161" s="5" t="s">
        <v>57</v>
      </c>
      <c r="F2161" s="5" t="s">
        <v>39</v>
      </c>
      <c r="G2161" s="6" t="n">
        <v>636</v>
      </c>
      <c r="H2161" s="6" t="n">
        <v>128</v>
      </c>
      <c r="I2161" s="7" t="n">
        <f aca="false">(G2161-H2161)/G2161</f>
        <v>0.79874213836478</v>
      </c>
      <c r="J2161" s="15" t="n">
        <v>0.572</v>
      </c>
      <c r="K2161" s="11" t="str">
        <f aca="false">IF(I2161&lt;J2161,"TAK","NIE")</f>
        <v>NIE</v>
      </c>
    </row>
    <row r="2162" customFormat="false" ht="15" hidden="false" customHeight="false" outlineLevel="0" collapsed="false">
      <c r="A2162" s="5" t="s">
        <v>496</v>
      </c>
      <c r="B2162" s="5" t="s">
        <v>60</v>
      </c>
      <c r="C2162" s="5" t="n">
        <v>2021</v>
      </c>
      <c r="D2162" s="5" t="s">
        <v>59</v>
      </c>
      <c r="E2162" s="5" t="s">
        <v>57</v>
      </c>
      <c r="F2162" s="5" t="s">
        <v>39</v>
      </c>
      <c r="G2162" s="6" t="n">
        <v>636</v>
      </c>
      <c r="H2162" s="6" t="n">
        <v>50</v>
      </c>
      <c r="I2162" s="7" t="n">
        <f aca="false">(G2162-H2162)/G2162</f>
        <v>0.921383647798742</v>
      </c>
      <c r="J2162" s="15" t="n">
        <v>0.572</v>
      </c>
      <c r="K2162" s="11" t="str">
        <f aca="false">IF(I2162&lt;J2162,"TAK","NIE")</f>
        <v>NIE</v>
      </c>
    </row>
    <row r="2163" customFormat="false" ht="15" hidden="false" customHeight="false" outlineLevel="0" collapsed="false">
      <c r="A2163" s="5" t="s">
        <v>497</v>
      </c>
      <c r="B2163" s="5" t="s">
        <v>60</v>
      </c>
      <c r="C2163" s="5" t="n">
        <v>2021</v>
      </c>
      <c r="D2163" s="5" t="s">
        <v>59</v>
      </c>
      <c r="E2163" s="5" t="s">
        <v>57</v>
      </c>
      <c r="F2163" s="5" t="s">
        <v>39</v>
      </c>
      <c r="G2163" s="6" t="n">
        <v>637</v>
      </c>
      <c r="H2163" s="6" t="n">
        <v>105</v>
      </c>
      <c r="I2163" s="7" t="n">
        <f aca="false">(G2163-H2163)/G2163</f>
        <v>0.835164835164835</v>
      </c>
      <c r="J2163" s="15" t="n">
        <v>0.572</v>
      </c>
      <c r="K2163" s="11" t="str">
        <f aca="false">IF(I2163&lt;J2163,"TAK","NIE")</f>
        <v>NIE</v>
      </c>
    </row>
    <row r="2164" customFormat="false" ht="15" hidden="false" customHeight="false" outlineLevel="0" collapsed="false">
      <c r="A2164" s="5" t="s">
        <v>498</v>
      </c>
      <c r="B2164" s="5" t="s">
        <v>60</v>
      </c>
      <c r="C2164" s="5" t="n">
        <v>2021</v>
      </c>
      <c r="D2164" s="5" t="s">
        <v>59</v>
      </c>
      <c r="E2164" s="5" t="s">
        <v>57</v>
      </c>
      <c r="F2164" s="5" t="s">
        <v>39</v>
      </c>
      <c r="G2164" s="6" t="n">
        <v>637</v>
      </c>
      <c r="H2164" s="6" t="n">
        <v>211</v>
      </c>
      <c r="I2164" s="7" t="n">
        <f aca="false">(G2164-H2164)/G2164</f>
        <v>0.668759811616955</v>
      </c>
      <c r="J2164" s="15" t="n">
        <v>0.572</v>
      </c>
      <c r="K2164" s="11" t="str">
        <f aca="false">IF(I2164&lt;J2164,"TAK","NIE")</f>
        <v>NIE</v>
      </c>
    </row>
    <row r="2165" customFormat="false" ht="15" hidden="false" customHeight="false" outlineLevel="0" collapsed="false">
      <c r="A2165" s="5" t="s">
        <v>499</v>
      </c>
      <c r="B2165" s="5" t="s">
        <v>60</v>
      </c>
      <c r="C2165" s="5" t="n">
        <v>2021</v>
      </c>
      <c r="D2165" s="5" t="s">
        <v>59</v>
      </c>
      <c r="E2165" s="5" t="s">
        <v>57</v>
      </c>
      <c r="F2165" s="5" t="s">
        <v>39</v>
      </c>
      <c r="G2165" s="6" t="n">
        <v>636</v>
      </c>
      <c r="H2165" s="6" t="n">
        <v>172</v>
      </c>
      <c r="I2165" s="7" t="n">
        <f aca="false">(G2165-H2165)/G2165</f>
        <v>0.729559748427673</v>
      </c>
      <c r="J2165" s="15" t="n">
        <v>0.572</v>
      </c>
      <c r="K2165" s="11" t="str">
        <f aca="false">IF(I2165&lt;J2165,"TAK","NIE")</f>
        <v>NIE</v>
      </c>
    </row>
    <row r="2166" customFormat="false" ht="15" hidden="false" customHeight="false" outlineLevel="0" collapsed="false">
      <c r="A2166" s="5" t="s">
        <v>500</v>
      </c>
      <c r="B2166" s="5" t="s">
        <v>60</v>
      </c>
      <c r="C2166" s="5" t="n">
        <v>2021</v>
      </c>
      <c r="D2166" s="5" t="s">
        <v>59</v>
      </c>
      <c r="E2166" s="5" t="s">
        <v>57</v>
      </c>
      <c r="F2166" s="5" t="s">
        <v>39</v>
      </c>
      <c r="G2166" s="6" t="n">
        <v>636</v>
      </c>
      <c r="H2166" s="6" t="n">
        <v>83</v>
      </c>
      <c r="I2166" s="7" t="n">
        <f aca="false">(G2166-H2166)/G2166</f>
        <v>0.869496855345912</v>
      </c>
      <c r="J2166" s="15" t="n">
        <v>0.572</v>
      </c>
      <c r="K2166" s="11" t="str">
        <f aca="false">IF(I2166&lt;J2166,"TAK","NIE")</f>
        <v>NIE</v>
      </c>
    </row>
    <row r="2167" customFormat="false" ht="15" hidden="false" customHeight="false" outlineLevel="0" collapsed="false">
      <c r="A2167" s="5" t="s">
        <v>501</v>
      </c>
      <c r="B2167" s="5" t="s">
        <v>60</v>
      </c>
      <c r="C2167" s="5" t="n">
        <v>2021</v>
      </c>
      <c r="D2167" s="5" t="s">
        <v>59</v>
      </c>
      <c r="E2167" s="5" t="s">
        <v>57</v>
      </c>
      <c r="F2167" s="5" t="s">
        <v>39</v>
      </c>
      <c r="G2167" s="6" t="n">
        <v>637</v>
      </c>
      <c r="H2167" s="6" t="n">
        <v>185</v>
      </c>
      <c r="I2167" s="7" t="n">
        <f aca="false">(G2167-H2167)/G2167</f>
        <v>0.709576138147567</v>
      </c>
      <c r="J2167" s="15" t="n">
        <v>0.572</v>
      </c>
      <c r="K2167" s="11" t="str">
        <f aca="false">IF(I2167&lt;J2167,"TAK","NIE")</f>
        <v>NIE</v>
      </c>
    </row>
    <row r="2168" customFormat="false" ht="15" hidden="false" customHeight="false" outlineLevel="0" collapsed="false">
      <c r="A2168" s="5" t="s">
        <v>407</v>
      </c>
      <c r="B2168" s="5" t="s">
        <v>60</v>
      </c>
      <c r="C2168" s="5" t="n">
        <v>2021</v>
      </c>
      <c r="D2168" s="5" t="s">
        <v>59</v>
      </c>
      <c r="E2168" s="5" t="s">
        <v>57</v>
      </c>
      <c r="F2168" s="5" t="s">
        <v>39</v>
      </c>
      <c r="G2168" s="6" t="n">
        <v>630</v>
      </c>
      <c r="H2168" s="6" t="n">
        <v>304</v>
      </c>
      <c r="I2168" s="7" t="n">
        <f aca="false">(G2168-H2168)/G2168</f>
        <v>0.517460317460318</v>
      </c>
      <c r="J2168" s="15" t="n">
        <v>0.572</v>
      </c>
      <c r="K2168" s="11" t="str">
        <f aca="false">IF(I2168&lt;J2168,"TAK","NIE")</f>
        <v>TAK</v>
      </c>
    </row>
    <row r="2169" customFormat="false" ht="15" hidden="false" customHeight="false" outlineLevel="0" collapsed="false">
      <c r="A2169" s="5" t="s">
        <v>503</v>
      </c>
      <c r="B2169" s="5" t="s">
        <v>60</v>
      </c>
      <c r="C2169" s="5" t="n">
        <v>2021</v>
      </c>
      <c r="D2169" s="5" t="s">
        <v>59</v>
      </c>
      <c r="E2169" s="5" t="s">
        <v>57</v>
      </c>
      <c r="F2169" s="5" t="s">
        <v>39</v>
      </c>
      <c r="G2169" s="6" t="n">
        <v>637</v>
      </c>
      <c r="H2169" s="6" t="n">
        <v>210</v>
      </c>
      <c r="I2169" s="7" t="n">
        <f aca="false">(G2169-H2169)/G2169</f>
        <v>0.67032967032967</v>
      </c>
      <c r="J2169" s="15" t="n">
        <v>0.572</v>
      </c>
      <c r="K2169" s="11" t="str">
        <f aca="false">IF(I2169&lt;J2169,"TAK","NIE")</f>
        <v>NIE</v>
      </c>
    </row>
    <row r="2170" customFormat="false" ht="15" hidden="false" customHeight="false" outlineLevel="0" collapsed="false">
      <c r="A2170" s="5" t="s">
        <v>504</v>
      </c>
      <c r="B2170" s="5" t="s">
        <v>60</v>
      </c>
      <c r="C2170" s="5" t="n">
        <v>2021</v>
      </c>
      <c r="D2170" s="5" t="s">
        <v>59</v>
      </c>
      <c r="E2170" s="5" t="s">
        <v>57</v>
      </c>
      <c r="F2170" s="5" t="s">
        <v>39</v>
      </c>
      <c r="G2170" s="6" t="n">
        <v>637</v>
      </c>
      <c r="H2170" s="6" t="n">
        <v>123</v>
      </c>
      <c r="I2170" s="7" t="n">
        <f aca="false">(G2170-H2170)/G2170</f>
        <v>0.80690737833595</v>
      </c>
      <c r="J2170" s="15" t="n">
        <v>0.572</v>
      </c>
      <c r="K2170" s="11" t="str">
        <f aca="false">IF(I2170&lt;J2170,"TAK","NIE")</f>
        <v>NIE</v>
      </c>
    </row>
    <row r="2171" customFormat="false" ht="15" hidden="false" customHeight="false" outlineLevel="0" collapsed="false">
      <c r="A2171" s="5" t="s">
        <v>505</v>
      </c>
      <c r="B2171" s="5" t="s">
        <v>60</v>
      </c>
      <c r="C2171" s="5" t="n">
        <v>2021</v>
      </c>
      <c r="D2171" s="5" t="s">
        <v>59</v>
      </c>
      <c r="E2171" s="5" t="s">
        <v>57</v>
      </c>
      <c r="F2171" s="5" t="s">
        <v>39</v>
      </c>
      <c r="G2171" s="6" t="n">
        <v>637</v>
      </c>
      <c r="H2171" s="6" t="n">
        <v>55</v>
      </c>
      <c r="I2171" s="7" t="n">
        <f aca="false">(G2171-H2171)/G2171</f>
        <v>0.913657770800628</v>
      </c>
      <c r="J2171" s="15" t="n">
        <v>0.572</v>
      </c>
      <c r="K2171" s="11" t="str">
        <f aca="false">IF(I2171&lt;J2171,"TAK","NIE")</f>
        <v>NIE</v>
      </c>
    </row>
    <row r="2172" customFormat="false" ht="15" hidden="false" customHeight="false" outlineLevel="0" collapsed="false">
      <c r="A2172" s="5" t="s">
        <v>506</v>
      </c>
      <c r="B2172" s="5" t="s">
        <v>60</v>
      </c>
      <c r="C2172" s="5" t="n">
        <v>2021</v>
      </c>
      <c r="D2172" s="5" t="s">
        <v>59</v>
      </c>
      <c r="E2172" s="5" t="s">
        <v>57</v>
      </c>
      <c r="F2172" s="5" t="s">
        <v>39</v>
      </c>
      <c r="G2172" s="6" t="n">
        <v>637</v>
      </c>
      <c r="H2172" s="6" t="n">
        <v>131</v>
      </c>
      <c r="I2172" s="7" t="n">
        <f aca="false">(G2172-H2172)/G2172</f>
        <v>0.794348508634223</v>
      </c>
      <c r="J2172" s="15" t="n">
        <v>0.572</v>
      </c>
      <c r="K2172" s="11" t="str">
        <f aca="false">IF(I2172&lt;J2172,"TAK","NIE")</f>
        <v>NIE</v>
      </c>
    </row>
    <row r="2173" customFormat="false" ht="15" hidden="false" customHeight="false" outlineLevel="0" collapsed="false">
      <c r="A2173" s="5" t="s">
        <v>507</v>
      </c>
      <c r="B2173" s="5" t="s">
        <v>60</v>
      </c>
      <c r="C2173" s="5" t="n">
        <v>2021</v>
      </c>
      <c r="D2173" s="5" t="s">
        <v>59</v>
      </c>
      <c r="E2173" s="5" t="s">
        <v>57</v>
      </c>
      <c r="F2173" s="5" t="s">
        <v>39</v>
      </c>
      <c r="G2173" s="6" t="n">
        <v>636</v>
      </c>
      <c r="H2173" s="6" t="n">
        <v>143</v>
      </c>
      <c r="I2173" s="7" t="n">
        <f aca="false">(G2173-H2173)/G2173</f>
        <v>0.775157232704403</v>
      </c>
      <c r="J2173" s="15" t="n">
        <v>0.572</v>
      </c>
      <c r="K2173" s="11" t="str">
        <f aca="false">IF(I2173&lt;J2173,"TAK","NIE")</f>
        <v>NIE</v>
      </c>
    </row>
    <row r="2174" customFormat="false" ht="15" hidden="false" customHeight="false" outlineLevel="0" collapsed="false">
      <c r="A2174" s="5" t="s">
        <v>508</v>
      </c>
      <c r="B2174" s="5" t="s">
        <v>60</v>
      </c>
      <c r="C2174" s="5" t="n">
        <v>2021</v>
      </c>
      <c r="D2174" s="5" t="s">
        <v>59</v>
      </c>
      <c r="E2174" s="5" t="s">
        <v>57</v>
      </c>
      <c r="F2174" s="5" t="s">
        <v>39</v>
      </c>
      <c r="G2174" s="6" t="n">
        <v>637</v>
      </c>
      <c r="H2174" s="6" t="n">
        <v>142</v>
      </c>
      <c r="I2174" s="7" t="n">
        <f aca="false">(G2174-H2174)/G2174</f>
        <v>0.777080062794349</v>
      </c>
      <c r="J2174" s="15" t="n">
        <v>0.572</v>
      </c>
      <c r="K2174" s="11" t="str">
        <f aca="false">IF(I2174&lt;J2174,"TAK","NIE")</f>
        <v>NIE</v>
      </c>
    </row>
    <row r="2175" customFormat="false" ht="15" hidden="false" customHeight="false" outlineLevel="0" collapsed="false">
      <c r="A2175" s="5" t="s">
        <v>509</v>
      </c>
      <c r="B2175" s="5" t="s">
        <v>60</v>
      </c>
      <c r="C2175" s="5" t="n">
        <v>2021</v>
      </c>
      <c r="D2175" s="5" t="s">
        <v>59</v>
      </c>
      <c r="E2175" s="5" t="s">
        <v>57</v>
      </c>
      <c r="F2175" s="5" t="s">
        <v>39</v>
      </c>
      <c r="G2175" s="6" t="n">
        <v>636</v>
      </c>
      <c r="H2175" s="6" t="n">
        <v>178</v>
      </c>
      <c r="I2175" s="7" t="n">
        <f aca="false">(G2175-H2175)/G2175</f>
        <v>0.720125786163522</v>
      </c>
      <c r="J2175" s="15" t="n">
        <v>0.572</v>
      </c>
      <c r="K2175" s="11" t="str">
        <f aca="false">IF(I2175&lt;J2175,"TAK","NIE")</f>
        <v>NIE</v>
      </c>
    </row>
    <row r="2176" customFormat="false" ht="15" hidden="false" customHeight="false" outlineLevel="0" collapsed="false">
      <c r="A2176" s="5" t="s">
        <v>510</v>
      </c>
      <c r="B2176" s="5" t="s">
        <v>60</v>
      </c>
      <c r="C2176" s="5" t="n">
        <v>2021</v>
      </c>
      <c r="D2176" s="5" t="s">
        <v>59</v>
      </c>
      <c r="E2176" s="5" t="s">
        <v>57</v>
      </c>
      <c r="F2176" s="5" t="s">
        <v>39</v>
      </c>
      <c r="G2176" s="6" t="n">
        <v>637</v>
      </c>
      <c r="H2176" s="6" t="n">
        <v>58</v>
      </c>
      <c r="I2176" s="7" t="n">
        <f aca="false">(G2176-H2176)/G2176</f>
        <v>0.90894819466248</v>
      </c>
      <c r="J2176" s="15" t="n">
        <v>0.572</v>
      </c>
      <c r="K2176" s="11" t="str">
        <f aca="false">IF(I2176&lt;J2176,"TAK","NIE")</f>
        <v>NIE</v>
      </c>
    </row>
    <row r="2177" customFormat="false" ht="15" hidden="false" customHeight="false" outlineLevel="0" collapsed="false">
      <c r="A2177" s="5" t="s">
        <v>488</v>
      </c>
      <c r="B2177" s="5" t="s">
        <v>60</v>
      </c>
      <c r="C2177" s="5" t="n">
        <v>2021</v>
      </c>
      <c r="D2177" s="5" t="s">
        <v>59</v>
      </c>
      <c r="E2177" s="5" t="s">
        <v>57</v>
      </c>
      <c r="F2177" s="5" t="s">
        <v>40</v>
      </c>
      <c r="G2177" s="6" t="n">
        <v>599</v>
      </c>
      <c r="H2177" s="6" t="n">
        <v>230</v>
      </c>
      <c r="I2177" s="7" t="n">
        <f aca="false">(G2177-H2177)/G2177</f>
        <v>0.616026711185309</v>
      </c>
      <c r="J2177" s="15" t="n">
        <v>0.3432</v>
      </c>
      <c r="K2177" s="11" t="str">
        <f aca="false">IF(I2177&lt;J2177,"TAK","NIE")</f>
        <v>NIE</v>
      </c>
    </row>
    <row r="2178" customFormat="false" ht="15" hidden="false" customHeight="false" outlineLevel="0" collapsed="false">
      <c r="A2178" s="5" t="s">
        <v>489</v>
      </c>
      <c r="B2178" s="5" t="s">
        <v>60</v>
      </c>
      <c r="C2178" s="5" t="n">
        <v>2021</v>
      </c>
      <c r="D2178" s="5" t="s">
        <v>59</v>
      </c>
      <c r="E2178" s="5" t="s">
        <v>57</v>
      </c>
      <c r="F2178" s="5" t="s">
        <v>40</v>
      </c>
      <c r="G2178" s="6" t="n">
        <v>599</v>
      </c>
      <c r="H2178" s="6" t="n">
        <v>235</v>
      </c>
      <c r="I2178" s="7" t="n">
        <f aca="false">(G2178-H2178)/G2178</f>
        <v>0.607679465776294</v>
      </c>
      <c r="J2178" s="15" t="n">
        <v>0.3432</v>
      </c>
      <c r="K2178" s="11" t="str">
        <f aca="false">IF(I2178&lt;J2178,"TAK","NIE")</f>
        <v>NIE</v>
      </c>
    </row>
    <row r="2179" customFormat="false" ht="15" hidden="false" customHeight="false" outlineLevel="0" collapsed="false">
      <c r="A2179" s="5" t="s">
        <v>490</v>
      </c>
      <c r="B2179" s="5" t="s">
        <v>60</v>
      </c>
      <c r="C2179" s="5" t="n">
        <v>2021</v>
      </c>
      <c r="D2179" s="5" t="s">
        <v>59</v>
      </c>
      <c r="E2179" s="5" t="s">
        <v>57</v>
      </c>
      <c r="F2179" s="5" t="s">
        <v>40</v>
      </c>
      <c r="G2179" s="6" t="n">
        <v>599</v>
      </c>
      <c r="H2179" s="6" t="n">
        <v>231</v>
      </c>
      <c r="I2179" s="7" t="n">
        <f aca="false">(G2179-H2179)/G2179</f>
        <v>0.614357262103506</v>
      </c>
      <c r="J2179" s="15" t="n">
        <v>0.3432</v>
      </c>
      <c r="K2179" s="11" t="str">
        <f aca="false">IF(I2179&lt;J2179,"TAK","NIE")</f>
        <v>NIE</v>
      </c>
    </row>
    <row r="2180" customFormat="false" ht="15" hidden="false" customHeight="false" outlineLevel="0" collapsed="false">
      <c r="A2180" s="5" t="s">
        <v>491</v>
      </c>
      <c r="B2180" s="5" t="s">
        <v>60</v>
      </c>
      <c r="C2180" s="5" t="n">
        <v>2021</v>
      </c>
      <c r="D2180" s="5" t="s">
        <v>59</v>
      </c>
      <c r="E2180" s="5" t="s">
        <v>57</v>
      </c>
      <c r="F2180" s="5" t="s">
        <v>40</v>
      </c>
      <c r="G2180" s="6" t="n">
        <v>599</v>
      </c>
      <c r="H2180" s="6" t="n">
        <v>226</v>
      </c>
      <c r="I2180" s="7" t="n">
        <f aca="false">(G2180-H2180)/G2180</f>
        <v>0.622704507512521</v>
      </c>
      <c r="J2180" s="15" t="n">
        <v>0.3432</v>
      </c>
      <c r="K2180" s="11" t="str">
        <f aca="false">IF(I2180&lt;J2180,"TAK","NIE")</f>
        <v>NIE</v>
      </c>
    </row>
    <row r="2181" customFormat="false" ht="15" hidden="false" customHeight="false" outlineLevel="0" collapsed="false">
      <c r="A2181" s="5" t="s">
        <v>492</v>
      </c>
      <c r="B2181" s="5" t="s">
        <v>60</v>
      </c>
      <c r="C2181" s="5" t="n">
        <v>2021</v>
      </c>
      <c r="D2181" s="5" t="s">
        <v>59</v>
      </c>
      <c r="E2181" s="5" t="s">
        <v>57</v>
      </c>
      <c r="F2181" s="5" t="s">
        <v>40</v>
      </c>
      <c r="G2181" s="6" t="n">
        <v>599</v>
      </c>
      <c r="H2181" s="6" t="n">
        <v>314</v>
      </c>
      <c r="I2181" s="7" t="n">
        <f aca="false">(G2181-H2181)/G2181</f>
        <v>0.475792988313856</v>
      </c>
      <c r="J2181" s="15" t="n">
        <v>0.3432</v>
      </c>
      <c r="K2181" s="11" t="str">
        <f aca="false">IF(I2181&lt;J2181,"TAK","NIE")</f>
        <v>NIE</v>
      </c>
    </row>
    <row r="2182" customFormat="false" ht="15" hidden="false" customHeight="false" outlineLevel="0" collapsed="false">
      <c r="A2182" s="5" t="s">
        <v>493</v>
      </c>
      <c r="B2182" s="5" t="s">
        <v>60</v>
      </c>
      <c r="C2182" s="5" t="n">
        <v>2021</v>
      </c>
      <c r="D2182" s="5" t="s">
        <v>59</v>
      </c>
      <c r="E2182" s="5" t="s">
        <v>57</v>
      </c>
      <c r="F2182" s="5" t="s">
        <v>40</v>
      </c>
      <c r="G2182" s="6" t="n">
        <v>599</v>
      </c>
      <c r="H2182" s="6" t="n">
        <v>288</v>
      </c>
      <c r="I2182" s="7" t="n">
        <f aca="false">(G2182-H2182)/G2182</f>
        <v>0.519198664440735</v>
      </c>
      <c r="J2182" s="15" t="n">
        <v>0.3432</v>
      </c>
      <c r="K2182" s="11" t="str">
        <f aca="false">IF(I2182&lt;J2182,"TAK","NIE")</f>
        <v>NIE</v>
      </c>
    </row>
    <row r="2183" customFormat="false" ht="15" hidden="false" customHeight="false" outlineLevel="0" collapsed="false">
      <c r="A2183" s="5" t="s">
        <v>494</v>
      </c>
      <c r="B2183" s="5" t="s">
        <v>60</v>
      </c>
      <c r="C2183" s="5" t="n">
        <v>2021</v>
      </c>
      <c r="D2183" s="5" t="s">
        <v>59</v>
      </c>
      <c r="E2183" s="5" t="s">
        <v>57</v>
      </c>
      <c r="F2183" s="5" t="s">
        <v>40</v>
      </c>
      <c r="G2183" s="6" t="n">
        <v>599</v>
      </c>
      <c r="H2183" s="6" t="n">
        <v>231</v>
      </c>
      <c r="I2183" s="7" t="n">
        <f aca="false">(G2183-H2183)/G2183</f>
        <v>0.614357262103506</v>
      </c>
      <c r="J2183" s="15" t="n">
        <v>0.3432</v>
      </c>
      <c r="K2183" s="11" t="str">
        <f aca="false">IF(I2183&lt;J2183,"TAK","NIE")</f>
        <v>NIE</v>
      </c>
    </row>
    <row r="2184" customFormat="false" ht="15" hidden="false" customHeight="false" outlineLevel="0" collapsed="false">
      <c r="A2184" s="5" t="s">
        <v>495</v>
      </c>
      <c r="B2184" s="5" t="s">
        <v>60</v>
      </c>
      <c r="C2184" s="5" t="n">
        <v>2021</v>
      </c>
      <c r="D2184" s="5" t="s">
        <v>59</v>
      </c>
      <c r="E2184" s="5" t="s">
        <v>57</v>
      </c>
      <c r="F2184" s="5" t="s">
        <v>40</v>
      </c>
      <c r="G2184" s="6" t="n">
        <v>599</v>
      </c>
      <c r="H2184" s="6" t="n">
        <v>225</v>
      </c>
      <c r="I2184" s="7" t="n">
        <f aca="false">(G2184-H2184)/G2184</f>
        <v>0.624373956594324</v>
      </c>
      <c r="J2184" s="15" t="n">
        <v>0.3432</v>
      </c>
      <c r="K2184" s="11" t="str">
        <f aca="false">IF(I2184&lt;J2184,"TAK","NIE")</f>
        <v>NIE</v>
      </c>
    </row>
    <row r="2185" customFormat="false" ht="15" hidden="false" customHeight="false" outlineLevel="0" collapsed="false">
      <c r="A2185" s="5" t="s">
        <v>496</v>
      </c>
      <c r="B2185" s="5" t="s">
        <v>60</v>
      </c>
      <c r="C2185" s="5" t="n">
        <v>2021</v>
      </c>
      <c r="D2185" s="5" t="s">
        <v>59</v>
      </c>
      <c r="E2185" s="5" t="s">
        <v>57</v>
      </c>
      <c r="F2185" s="5" t="s">
        <v>40</v>
      </c>
      <c r="G2185" s="6" t="n">
        <v>599</v>
      </c>
      <c r="H2185" s="6" t="n">
        <v>195</v>
      </c>
      <c r="I2185" s="7" t="n">
        <f aca="false">(G2185-H2185)/G2185</f>
        <v>0.674457429048414</v>
      </c>
      <c r="J2185" s="15" t="n">
        <v>0.3432</v>
      </c>
      <c r="K2185" s="11" t="str">
        <f aca="false">IF(I2185&lt;J2185,"TAK","NIE")</f>
        <v>NIE</v>
      </c>
    </row>
    <row r="2186" customFormat="false" ht="15" hidden="false" customHeight="false" outlineLevel="0" collapsed="false">
      <c r="A2186" s="5" t="s">
        <v>497</v>
      </c>
      <c r="B2186" s="5" t="s">
        <v>60</v>
      </c>
      <c r="C2186" s="5" t="n">
        <v>2021</v>
      </c>
      <c r="D2186" s="5" t="s">
        <v>59</v>
      </c>
      <c r="E2186" s="5" t="s">
        <v>57</v>
      </c>
      <c r="F2186" s="5" t="s">
        <v>40</v>
      </c>
      <c r="G2186" s="6" t="n">
        <v>586</v>
      </c>
      <c r="H2186" s="6" t="n">
        <v>260</v>
      </c>
      <c r="I2186" s="7" t="n">
        <f aca="false">(G2186-H2186)/G2186</f>
        <v>0.556313993174061</v>
      </c>
      <c r="J2186" s="15" t="n">
        <v>0.3432</v>
      </c>
      <c r="K2186" s="11" t="str">
        <f aca="false">IF(I2186&lt;J2186,"TAK","NIE")</f>
        <v>NIE</v>
      </c>
    </row>
    <row r="2187" customFormat="false" ht="15" hidden="false" customHeight="false" outlineLevel="0" collapsed="false">
      <c r="A2187" s="5" t="s">
        <v>498</v>
      </c>
      <c r="B2187" s="5" t="s">
        <v>60</v>
      </c>
      <c r="C2187" s="5" t="n">
        <v>2021</v>
      </c>
      <c r="D2187" s="5" t="s">
        <v>59</v>
      </c>
      <c r="E2187" s="5" t="s">
        <v>57</v>
      </c>
      <c r="F2187" s="5" t="s">
        <v>40</v>
      </c>
      <c r="G2187" s="6" t="n">
        <v>599</v>
      </c>
      <c r="H2187" s="6" t="n">
        <v>302</v>
      </c>
      <c r="I2187" s="7" t="n">
        <f aca="false">(G2187-H2187)/G2187</f>
        <v>0.495826377295493</v>
      </c>
      <c r="J2187" s="15" t="n">
        <v>0.3432</v>
      </c>
      <c r="K2187" s="11" t="str">
        <f aca="false">IF(I2187&lt;J2187,"TAK","NIE")</f>
        <v>NIE</v>
      </c>
    </row>
    <row r="2188" customFormat="false" ht="15" hidden="false" customHeight="false" outlineLevel="0" collapsed="false">
      <c r="A2188" s="5" t="s">
        <v>499</v>
      </c>
      <c r="B2188" s="5" t="s">
        <v>60</v>
      </c>
      <c r="C2188" s="5" t="n">
        <v>2021</v>
      </c>
      <c r="D2188" s="5" t="s">
        <v>59</v>
      </c>
      <c r="E2188" s="5" t="s">
        <v>57</v>
      </c>
      <c r="F2188" s="5" t="s">
        <v>40</v>
      </c>
      <c r="G2188" s="6" t="n">
        <v>599</v>
      </c>
      <c r="H2188" s="6" t="n">
        <v>291</v>
      </c>
      <c r="I2188" s="7" t="n">
        <f aca="false">(G2188-H2188)/G2188</f>
        <v>0.514190317195326</v>
      </c>
      <c r="J2188" s="15" t="n">
        <v>0.3432</v>
      </c>
      <c r="K2188" s="11" t="str">
        <f aca="false">IF(I2188&lt;J2188,"TAK","NIE")</f>
        <v>NIE</v>
      </c>
    </row>
    <row r="2189" customFormat="false" ht="15" hidden="false" customHeight="false" outlineLevel="0" collapsed="false">
      <c r="A2189" s="5" t="s">
        <v>500</v>
      </c>
      <c r="B2189" s="5" t="s">
        <v>60</v>
      </c>
      <c r="C2189" s="5" t="n">
        <v>2021</v>
      </c>
      <c r="D2189" s="5" t="s">
        <v>59</v>
      </c>
      <c r="E2189" s="5" t="s">
        <v>57</v>
      </c>
      <c r="F2189" s="5" t="s">
        <v>40</v>
      </c>
      <c r="G2189" s="6" t="n">
        <v>599</v>
      </c>
      <c r="H2189" s="6" t="n">
        <v>194</v>
      </c>
      <c r="I2189" s="7" t="n">
        <f aca="false">(G2189-H2189)/G2189</f>
        <v>0.676126878130217</v>
      </c>
      <c r="J2189" s="15" t="n">
        <v>0.3432</v>
      </c>
      <c r="K2189" s="11" t="str">
        <f aca="false">IF(I2189&lt;J2189,"TAK","NIE")</f>
        <v>NIE</v>
      </c>
    </row>
    <row r="2190" customFormat="false" ht="15" hidden="false" customHeight="false" outlineLevel="0" collapsed="false">
      <c r="A2190" s="5" t="s">
        <v>501</v>
      </c>
      <c r="B2190" s="5" t="s">
        <v>60</v>
      </c>
      <c r="C2190" s="5" t="n">
        <v>2021</v>
      </c>
      <c r="D2190" s="5" t="s">
        <v>59</v>
      </c>
      <c r="E2190" s="5" t="s">
        <v>57</v>
      </c>
      <c r="F2190" s="5" t="s">
        <v>40</v>
      </c>
      <c r="G2190" s="6" t="n">
        <v>599</v>
      </c>
      <c r="H2190" s="6" t="n">
        <v>323</v>
      </c>
      <c r="I2190" s="7" t="n">
        <f aca="false">(G2190-H2190)/G2190</f>
        <v>0.460767946577629</v>
      </c>
      <c r="J2190" s="15" t="n">
        <v>0.3432</v>
      </c>
      <c r="K2190" s="11" t="str">
        <f aca="false">IF(I2190&lt;J2190,"TAK","NIE")</f>
        <v>NIE</v>
      </c>
    </row>
    <row r="2191" customFormat="false" ht="15" hidden="false" customHeight="false" outlineLevel="0" collapsed="false">
      <c r="A2191" s="5" t="s">
        <v>407</v>
      </c>
      <c r="B2191" s="5" t="s">
        <v>60</v>
      </c>
      <c r="C2191" s="5" t="n">
        <v>2021</v>
      </c>
      <c r="D2191" s="5" t="s">
        <v>59</v>
      </c>
      <c r="E2191" s="5" t="s">
        <v>57</v>
      </c>
      <c r="F2191" s="5" t="s">
        <v>40</v>
      </c>
      <c r="G2191" s="6" t="n">
        <v>599</v>
      </c>
      <c r="H2191" s="6" t="n">
        <v>301</v>
      </c>
      <c r="I2191" s="7" t="n">
        <f aca="false">(G2191-H2191)/G2191</f>
        <v>0.497495826377296</v>
      </c>
      <c r="J2191" s="15" t="n">
        <v>0.3432</v>
      </c>
      <c r="K2191" s="11" t="str">
        <f aca="false">IF(I2191&lt;J2191,"TAK","NIE")</f>
        <v>NIE</v>
      </c>
    </row>
    <row r="2192" customFormat="false" ht="15" hidden="false" customHeight="false" outlineLevel="0" collapsed="false">
      <c r="A2192" s="5" t="s">
        <v>503</v>
      </c>
      <c r="B2192" s="5" t="s">
        <v>60</v>
      </c>
      <c r="C2192" s="5" t="n">
        <v>2021</v>
      </c>
      <c r="D2192" s="5" t="s">
        <v>59</v>
      </c>
      <c r="E2192" s="5" t="s">
        <v>57</v>
      </c>
      <c r="F2192" s="5" t="s">
        <v>40</v>
      </c>
      <c r="G2192" s="6" t="n">
        <v>586</v>
      </c>
      <c r="H2192" s="6" t="n">
        <v>277</v>
      </c>
      <c r="I2192" s="7" t="n">
        <f aca="false">(G2192-H2192)/G2192</f>
        <v>0.527303754266212</v>
      </c>
      <c r="J2192" s="15" t="n">
        <v>0.3432</v>
      </c>
      <c r="K2192" s="11" t="str">
        <f aca="false">IF(I2192&lt;J2192,"TAK","NIE")</f>
        <v>NIE</v>
      </c>
    </row>
    <row r="2193" customFormat="false" ht="15" hidden="false" customHeight="false" outlineLevel="0" collapsed="false">
      <c r="A2193" s="5" t="s">
        <v>504</v>
      </c>
      <c r="B2193" s="5" t="s">
        <v>60</v>
      </c>
      <c r="C2193" s="5" t="n">
        <v>2021</v>
      </c>
      <c r="D2193" s="5" t="s">
        <v>59</v>
      </c>
      <c r="E2193" s="5" t="s">
        <v>57</v>
      </c>
      <c r="F2193" s="5" t="s">
        <v>40</v>
      </c>
      <c r="G2193" s="6" t="n">
        <v>581</v>
      </c>
      <c r="H2193" s="6" t="n">
        <v>199</v>
      </c>
      <c r="I2193" s="7" t="n">
        <f aca="false">(G2193-H2193)/G2193</f>
        <v>0.657487091222031</v>
      </c>
      <c r="J2193" s="15" t="n">
        <v>0.3432</v>
      </c>
      <c r="K2193" s="11" t="str">
        <f aca="false">IF(I2193&lt;J2193,"TAK","NIE")</f>
        <v>NIE</v>
      </c>
    </row>
    <row r="2194" customFormat="false" ht="15" hidden="false" customHeight="false" outlineLevel="0" collapsed="false">
      <c r="A2194" s="5" t="s">
        <v>505</v>
      </c>
      <c r="B2194" s="5" t="s">
        <v>60</v>
      </c>
      <c r="C2194" s="5" t="n">
        <v>2021</v>
      </c>
      <c r="D2194" s="5" t="s">
        <v>59</v>
      </c>
      <c r="E2194" s="5" t="s">
        <v>57</v>
      </c>
      <c r="F2194" s="5" t="s">
        <v>40</v>
      </c>
      <c r="G2194" s="6" t="n">
        <v>599</v>
      </c>
      <c r="H2194" s="6" t="n">
        <v>91</v>
      </c>
      <c r="I2194" s="7" t="n">
        <f aca="false">(G2194-H2194)/G2194</f>
        <v>0.848080133555927</v>
      </c>
      <c r="J2194" s="15" t="n">
        <v>0.3432</v>
      </c>
      <c r="K2194" s="11" t="str">
        <f aca="false">IF(I2194&lt;J2194,"TAK","NIE")</f>
        <v>NIE</v>
      </c>
    </row>
    <row r="2195" customFormat="false" ht="15" hidden="false" customHeight="false" outlineLevel="0" collapsed="false">
      <c r="A2195" s="5" t="s">
        <v>506</v>
      </c>
      <c r="B2195" s="5" t="s">
        <v>60</v>
      </c>
      <c r="C2195" s="5" t="n">
        <v>2021</v>
      </c>
      <c r="D2195" s="5" t="s">
        <v>59</v>
      </c>
      <c r="E2195" s="5" t="s">
        <v>57</v>
      </c>
      <c r="F2195" s="5" t="s">
        <v>40</v>
      </c>
      <c r="G2195" s="6" t="n">
        <v>599</v>
      </c>
      <c r="H2195" s="6" t="n">
        <v>246</v>
      </c>
      <c r="I2195" s="7" t="n">
        <f aca="false">(G2195-H2195)/G2195</f>
        <v>0.589315525876461</v>
      </c>
      <c r="J2195" s="15" t="n">
        <v>0.3432</v>
      </c>
      <c r="K2195" s="11" t="str">
        <f aca="false">IF(I2195&lt;J2195,"TAK","NIE")</f>
        <v>NIE</v>
      </c>
    </row>
    <row r="2196" customFormat="false" ht="15" hidden="false" customHeight="false" outlineLevel="0" collapsed="false">
      <c r="A2196" s="5" t="s">
        <v>507</v>
      </c>
      <c r="B2196" s="5" t="s">
        <v>60</v>
      </c>
      <c r="C2196" s="5" t="n">
        <v>2021</v>
      </c>
      <c r="D2196" s="5" t="s">
        <v>59</v>
      </c>
      <c r="E2196" s="5" t="s">
        <v>57</v>
      </c>
      <c r="F2196" s="5" t="s">
        <v>40</v>
      </c>
      <c r="G2196" s="6" t="n">
        <v>599</v>
      </c>
      <c r="H2196" s="6" t="n">
        <v>258</v>
      </c>
      <c r="I2196" s="7" t="n">
        <f aca="false">(G2196-H2196)/G2196</f>
        <v>0.569282136894825</v>
      </c>
      <c r="J2196" s="15" t="n">
        <v>0.3432</v>
      </c>
      <c r="K2196" s="11" t="str">
        <f aca="false">IF(I2196&lt;J2196,"TAK","NIE")</f>
        <v>NIE</v>
      </c>
    </row>
    <row r="2197" customFormat="false" ht="15" hidden="false" customHeight="false" outlineLevel="0" collapsed="false">
      <c r="A2197" s="5" t="s">
        <v>508</v>
      </c>
      <c r="B2197" s="5" t="s">
        <v>60</v>
      </c>
      <c r="C2197" s="5" t="n">
        <v>2021</v>
      </c>
      <c r="D2197" s="5" t="s">
        <v>59</v>
      </c>
      <c r="E2197" s="5" t="s">
        <v>57</v>
      </c>
      <c r="F2197" s="5" t="s">
        <v>40</v>
      </c>
      <c r="G2197" s="6" t="n">
        <v>586</v>
      </c>
      <c r="H2197" s="6" t="n">
        <v>197</v>
      </c>
      <c r="I2197" s="7" t="n">
        <f aca="false">(G2197-H2197)/G2197</f>
        <v>0.66382252559727</v>
      </c>
      <c r="J2197" s="15" t="n">
        <v>0.3432</v>
      </c>
      <c r="K2197" s="11" t="str">
        <f aca="false">IF(I2197&lt;J2197,"TAK","NIE")</f>
        <v>NIE</v>
      </c>
    </row>
    <row r="2198" customFormat="false" ht="15" hidden="false" customHeight="false" outlineLevel="0" collapsed="false">
      <c r="A2198" s="5" t="s">
        <v>509</v>
      </c>
      <c r="B2198" s="5" t="s">
        <v>60</v>
      </c>
      <c r="C2198" s="5" t="n">
        <v>2021</v>
      </c>
      <c r="D2198" s="5" t="s">
        <v>59</v>
      </c>
      <c r="E2198" s="5" t="s">
        <v>57</v>
      </c>
      <c r="F2198" s="5" t="s">
        <v>40</v>
      </c>
      <c r="G2198" s="6" t="n">
        <v>586</v>
      </c>
      <c r="H2198" s="6" t="n">
        <v>293</v>
      </c>
      <c r="I2198" s="7" t="n">
        <f aca="false">(G2198-H2198)/G2198</f>
        <v>0.5</v>
      </c>
      <c r="J2198" s="15" t="n">
        <v>0.3432</v>
      </c>
      <c r="K2198" s="11" t="str">
        <f aca="false">IF(I2198&lt;J2198,"TAK","NIE")</f>
        <v>NIE</v>
      </c>
    </row>
    <row r="2199" customFormat="false" ht="15" hidden="false" customHeight="false" outlineLevel="0" collapsed="false">
      <c r="A2199" s="5" t="s">
        <v>510</v>
      </c>
      <c r="B2199" s="5" t="s">
        <v>60</v>
      </c>
      <c r="C2199" s="5" t="n">
        <v>2021</v>
      </c>
      <c r="D2199" s="5" t="s">
        <v>59</v>
      </c>
      <c r="E2199" s="5" t="s">
        <v>57</v>
      </c>
      <c r="F2199" s="5" t="s">
        <v>40</v>
      </c>
      <c r="G2199" s="6" t="n">
        <v>594</v>
      </c>
      <c r="H2199" s="6" t="n">
        <v>214</v>
      </c>
      <c r="I2199" s="7" t="n">
        <f aca="false">(G2199-H2199)/G2199</f>
        <v>0.63973063973064</v>
      </c>
      <c r="J2199" s="15" t="n">
        <v>0.3432</v>
      </c>
      <c r="K2199" s="11" t="str">
        <f aca="false">IF(I2199&lt;J2199,"TAK","NIE")</f>
        <v>NIE</v>
      </c>
    </row>
    <row r="2200" customFormat="false" ht="15" hidden="false" customHeight="false" outlineLevel="0" collapsed="false">
      <c r="A2200" s="5" t="s">
        <v>488</v>
      </c>
      <c r="B2200" s="5" t="s">
        <v>61</v>
      </c>
      <c r="C2200" s="5" t="n">
        <v>2021</v>
      </c>
      <c r="D2200" s="5" t="s">
        <v>59</v>
      </c>
      <c r="E2200" s="5" t="s">
        <v>75</v>
      </c>
      <c r="F2200" s="5" t="s">
        <v>39</v>
      </c>
      <c r="G2200" s="6" t="n">
        <v>424</v>
      </c>
      <c r="H2200" s="6" t="n">
        <v>118</v>
      </c>
      <c r="I2200" s="7" t="n">
        <f aca="false">(G2200-H2200)/G2200</f>
        <v>0.721698113207547</v>
      </c>
      <c r="J2200" s="15" t="n">
        <v>0.4975</v>
      </c>
      <c r="K2200" s="11" t="str">
        <f aca="false">IF(I2200&lt;J2200,"TAK","NIE")</f>
        <v>NIE</v>
      </c>
    </row>
    <row r="2201" customFormat="false" ht="15" hidden="false" customHeight="false" outlineLevel="0" collapsed="false">
      <c r="A2201" s="5" t="s">
        <v>489</v>
      </c>
      <c r="B2201" s="5" t="s">
        <v>61</v>
      </c>
      <c r="C2201" s="5" t="n">
        <v>2021</v>
      </c>
      <c r="D2201" s="5" t="s">
        <v>59</v>
      </c>
      <c r="E2201" s="5" t="s">
        <v>75</v>
      </c>
      <c r="F2201" s="5" t="s">
        <v>39</v>
      </c>
      <c r="G2201" s="6" t="n">
        <v>424</v>
      </c>
      <c r="H2201" s="6" t="n">
        <v>105</v>
      </c>
      <c r="I2201" s="7" t="n">
        <f aca="false">(G2201-H2201)/G2201</f>
        <v>0.752358490566038</v>
      </c>
      <c r="J2201" s="15" t="n">
        <v>0.4975</v>
      </c>
      <c r="K2201" s="11" t="str">
        <f aca="false">IF(I2201&lt;J2201,"TAK","NIE")</f>
        <v>NIE</v>
      </c>
    </row>
    <row r="2202" customFormat="false" ht="15" hidden="false" customHeight="false" outlineLevel="0" collapsed="false">
      <c r="A2202" s="5" t="s">
        <v>490</v>
      </c>
      <c r="B2202" s="5" t="s">
        <v>61</v>
      </c>
      <c r="C2202" s="5" t="n">
        <v>2021</v>
      </c>
      <c r="D2202" s="5" t="s">
        <v>59</v>
      </c>
      <c r="E2202" s="5" t="s">
        <v>75</v>
      </c>
      <c r="F2202" s="5" t="s">
        <v>39</v>
      </c>
      <c r="G2202" s="6" t="n">
        <v>424</v>
      </c>
      <c r="H2202" s="6" t="n">
        <v>23</v>
      </c>
      <c r="I2202" s="7" t="n">
        <f aca="false">(G2202-H2202)/G2202</f>
        <v>0.945754716981132</v>
      </c>
      <c r="J2202" s="15" t="n">
        <v>0.4975</v>
      </c>
      <c r="K2202" s="11" t="str">
        <f aca="false">IF(I2202&lt;J2202,"TAK","NIE")</f>
        <v>NIE</v>
      </c>
    </row>
    <row r="2203" customFormat="false" ht="15" hidden="false" customHeight="false" outlineLevel="0" collapsed="false">
      <c r="A2203" s="5" t="s">
        <v>491</v>
      </c>
      <c r="B2203" s="5" t="s">
        <v>61</v>
      </c>
      <c r="C2203" s="5" t="n">
        <v>2021</v>
      </c>
      <c r="D2203" s="5" t="s">
        <v>59</v>
      </c>
      <c r="E2203" s="5" t="s">
        <v>75</v>
      </c>
      <c r="F2203" s="5" t="s">
        <v>39</v>
      </c>
      <c r="G2203" s="6" t="n">
        <v>424</v>
      </c>
      <c r="H2203" s="6" t="n">
        <v>85</v>
      </c>
      <c r="I2203" s="7" t="n">
        <f aca="false">(G2203-H2203)/G2203</f>
        <v>0.799528301886793</v>
      </c>
      <c r="J2203" s="15" t="n">
        <v>0.4975</v>
      </c>
      <c r="K2203" s="11" t="str">
        <f aca="false">IF(I2203&lt;J2203,"TAK","NIE")</f>
        <v>NIE</v>
      </c>
    </row>
    <row r="2204" customFormat="false" ht="15" hidden="false" customHeight="false" outlineLevel="0" collapsed="false">
      <c r="A2204" s="5" t="s">
        <v>492</v>
      </c>
      <c r="B2204" s="5" t="s">
        <v>61</v>
      </c>
      <c r="C2204" s="5" t="n">
        <v>2021</v>
      </c>
      <c r="D2204" s="5" t="s">
        <v>59</v>
      </c>
      <c r="E2204" s="5" t="s">
        <v>75</v>
      </c>
      <c r="F2204" s="5" t="s">
        <v>39</v>
      </c>
      <c r="G2204" s="6" t="n">
        <v>424</v>
      </c>
      <c r="H2204" s="6" t="n">
        <v>104</v>
      </c>
      <c r="I2204" s="7" t="n">
        <f aca="false">(G2204-H2204)/G2204</f>
        <v>0.754716981132076</v>
      </c>
      <c r="J2204" s="15" t="n">
        <v>0.4975</v>
      </c>
      <c r="K2204" s="11" t="str">
        <f aca="false">IF(I2204&lt;J2204,"TAK","NIE")</f>
        <v>NIE</v>
      </c>
    </row>
    <row r="2205" customFormat="false" ht="15" hidden="false" customHeight="false" outlineLevel="0" collapsed="false">
      <c r="A2205" s="5" t="s">
        <v>493</v>
      </c>
      <c r="B2205" s="5" t="s">
        <v>61</v>
      </c>
      <c r="C2205" s="5" t="n">
        <v>2021</v>
      </c>
      <c r="D2205" s="5" t="s">
        <v>59</v>
      </c>
      <c r="E2205" s="5" t="s">
        <v>75</v>
      </c>
      <c r="F2205" s="5" t="s">
        <v>39</v>
      </c>
      <c r="G2205" s="6" t="n">
        <v>424</v>
      </c>
      <c r="H2205" s="6" t="n">
        <v>127</v>
      </c>
      <c r="I2205" s="7" t="n">
        <f aca="false">(G2205-H2205)/G2205</f>
        <v>0.700471698113208</v>
      </c>
      <c r="J2205" s="15" t="n">
        <v>0.4975</v>
      </c>
      <c r="K2205" s="11" t="str">
        <f aca="false">IF(I2205&lt;J2205,"TAK","NIE")</f>
        <v>NIE</v>
      </c>
    </row>
    <row r="2206" customFormat="false" ht="15" hidden="false" customHeight="false" outlineLevel="0" collapsed="false">
      <c r="A2206" s="5" t="s">
        <v>494</v>
      </c>
      <c r="B2206" s="5" t="s">
        <v>61</v>
      </c>
      <c r="C2206" s="5" t="n">
        <v>2021</v>
      </c>
      <c r="D2206" s="5" t="s">
        <v>59</v>
      </c>
      <c r="E2206" s="5" t="s">
        <v>75</v>
      </c>
      <c r="F2206" s="5" t="s">
        <v>39</v>
      </c>
      <c r="G2206" s="6" t="n">
        <v>424</v>
      </c>
      <c r="H2206" s="6" t="n">
        <v>100</v>
      </c>
      <c r="I2206" s="7" t="n">
        <f aca="false">(G2206-H2206)/G2206</f>
        <v>0.764150943396227</v>
      </c>
      <c r="J2206" s="15" t="n">
        <v>0.4975</v>
      </c>
      <c r="K2206" s="11" t="str">
        <f aca="false">IF(I2206&lt;J2206,"TAK","NIE")</f>
        <v>NIE</v>
      </c>
    </row>
    <row r="2207" customFormat="false" ht="15" hidden="false" customHeight="false" outlineLevel="0" collapsed="false">
      <c r="A2207" s="5" t="s">
        <v>495</v>
      </c>
      <c r="B2207" s="5" t="s">
        <v>61</v>
      </c>
      <c r="C2207" s="5" t="n">
        <v>2021</v>
      </c>
      <c r="D2207" s="5" t="s">
        <v>59</v>
      </c>
      <c r="E2207" s="5" t="s">
        <v>75</v>
      </c>
      <c r="F2207" s="5" t="s">
        <v>39</v>
      </c>
      <c r="G2207" s="6" t="n">
        <v>424</v>
      </c>
      <c r="H2207" s="6" t="n">
        <v>76</v>
      </c>
      <c r="I2207" s="7" t="n">
        <f aca="false">(G2207-H2207)/G2207</f>
        <v>0.820754716981132</v>
      </c>
      <c r="J2207" s="15" t="n">
        <v>0.4975</v>
      </c>
      <c r="K2207" s="11" t="str">
        <f aca="false">IF(I2207&lt;J2207,"TAK","NIE")</f>
        <v>NIE</v>
      </c>
    </row>
    <row r="2208" customFormat="false" ht="15" hidden="false" customHeight="false" outlineLevel="0" collapsed="false">
      <c r="A2208" s="5" t="s">
        <v>496</v>
      </c>
      <c r="B2208" s="5" t="s">
        <v>61</v>
      </c>
      <c r="C2208" s="5" t="n">
        <v>2021</v>
      </c>
      <c r="D2208" s="5" t="s">
        <v>59</v>
      </c>
      <c r="E2208" s="5" t="s">
        <v>75</v>
      </c>
      <c r="F2208" s="5" t="s">
        <v>39</v>
      </c>
      <c r="G2208" s="6" t="n">
        <v>424</v>
      </c>
      <c r="H2208" s="6" t="n">
        <v>52</v>
      </c>
      <c r="I2208" s="7" t="n">
        <f aca="false">(G2208-H2208)/G2208</f>
        <v>0.877358490566038</v>
      </c>
      <c r="J2208" s="15" t="n">
        <v>0.4975</v>
      </c>
      <c r="K2208" s="11" t="str">
        <f aca="false">IF(I2208&lt;J2208,"TAK","NIE")</f>
        <v>NIE</v>
      </c>
    </row>
    <row r="2209" customFormat="false" ht="15" hidden="false" customHeight="false" outlineLevel="0" collapsed="false">
      <c r="A2209" s="5" t="s">
        <v>497</v>
      </c>
      <c r="B2209" s="5" t="s">
        <v>61</v>
      </c>
      <c r="C2209" s="5" t="n">
        <v>2021</v>
      </c>
      <c r="D2209" s="5" t="s">
        <v>59</v>
      </c>
      <c r="E2209" s="5" t="s">
        <v>75</v>
      </c>
      <c r="F2209" s="5" t="s">
        <v>39</v>
      </c>
      <c r="G2209" s="6" t="n">
        <v>424</v>
      </c>
      <c r="H2209" s="6" t="n">
        <v>59</v>
      </c>
      <c r="I2209" s="7" t="n">
        <f aca="false">(G2209-H2209)/G2209</f>
        <v>0.860849056603774</v>
      </c>
      <c r="J2209" s="15" t="n">
        <v>0.4975</v>
      </c>
      <c r="K2209" s="11" t="str">
        <f aca="false">IF(I2209&lt;J2209,"TAK","NIE")</f>
        <v>NIE</v>
      </c>
    </row>
    <row r="2210" customFormat="false" ht="15" hidden="false" customHeight="false" outlineLevel="0" collapsed="false">
      <c r="A2210" s="5" t="s">
        <v>498</v>
      </c>
      <c r="B2210" s="5" t="s">
        <v>61</v>
      </c>
      <c r="C2210" s="5" t="n">
        <v>2021</v>
      </c>
      <c r="D2210" s="5" t="s">
        <v>59</v>
      </c>
      <c r="E2210" s="5" t="s">
        <v>75</v>
      </c>
      <c r="F2210" s="5" t="s">
        <v>39</v>
      </c>
      <c r="G2210" s="6" t="n">
        <v>424</v>
      </c>
      <c r="H2210" s="6" t="n">
        <v>190</v>
      </c>
      <c r="I2210" s="7" t="n">
        <f aca="false">(G2210-H2210)/G2210</f>
        <v>0.55188679245283</v>
      </c>
      <c r="J2210" s="15" t="n">
        <v>0.4975</v>
      </c>
      <c r="K2210" s="11" t="str">
        <f aca="false">IF(I2210&lt;J2210,"TAK","NIE")</f>
        <v>NIE</v>
      </c>
    </row>
    <row r="2211" customFormat="false" ht="15" hidden="false" customHeight="false" outlineLevel="0" collapsed="false">
      <c r="A2211" s="5" t="s">
        <v>499</v>
      </c>
      <c r="B2211" s="5" t="s">
        <v>61</v>
      </c>
      <c r="C2211" s="5" t="n">
        <v>2021</v>
      </c>
      <c r="D2211" s="5" t="s">
        <v>59</v>
      </c>
      <c r="E2211" s="5" t="s">
        <v>75</v>
      </c>
      <c r="F2211" s="5" t="s">
        <v>39</v>
      </c>
      <c r="G2211" s="6" t="n">
        <v>424</v>
      </c>
      <c r="H2211" s="6" t="n">
        <v>71</v>
      </c>
      <c r="I2211" s="7" t="n">
        <f aca="false">(G2211-H2211)/G2211</f>
        <v>0.832547169811321</v>
      </c>
      <c r="J2211" s="15" t="n">
        <v>0.4975</v>
      </c>
      <c r="K2211" s="11" t="str">
        <f aca="false">IF(I2211&lt;J2211,"TAK","NIE")</f>
        <v>NIE</v>
      </c>
    </row>
    <row r="2212" customFormat="false" ht="15" hidden="false" customHeight="false" outlineLevel="0" collapsed="false">
      <c r="A2212" s="5" t="s">
        <v>500</v>
      </c>
      <c r="B2212" s="5" t="s">
        <v>61</v>
      </c>
      <c r="C2212" s="5" t="n">
        <v>2021</v>
      </c>
      <c r="D2212" s="5" t="s">
        <v>59</v>
      </c>
      <c r="E2212" s="5" t="s">
        <v>75</v>
      </c>
      <c r="F2212" s="5" t="s">
        <v>39</v>
      </c>
      <c r="G2212" s="6" t="n">
        <v>424</v>
      </c>
      <c r="H2212" s="6" t="n">
        <v>47</v>
      </c>
      <c r="I2212" s="7" t="n">
        <f aca="false">(G2212-H2212)/G2212</f>
        <v>0.889150943396227</v>
      </c>
      <c r="J2212" s="15" t="n">
        <v>0.4975</v>
      </c>
      <c r="K2212" s="11" t="str">
        <f aca="false">IF(I2212&lt;J2212,"TAK","NIE")</f>
        <v>NIE</v>
      </c>
    </row>
    <row r="2213" customFormat="false" ht="15" hidden="false" customHeight="false" outlineLevel="0" collapsed="false">
      <c r="A2213" s="5" t="s">
        <v>501</v>
      </c>
      <c r="B2213" s="5" t="s">
        <v>61</v>
      </c>
      <c r="C2213" s="5" t="n">
        <v>2021</v>
      </c>
      <c r="D2213" s="5" t="s">
        <v>59</v>
      </c>
      <c r="E2213" s="5" t="s">
        <v>75</v>
      </c>
      <c r="F2213" s="5" t="s">
        <v>39</v>
      </c>
      <c r="G2213" s="6" t="n">
        <v>424</v>
      </c>
      <c r="H2213" s="6" t="n">
        <v>113</v>
      </c>
      <c r="I2213" s="7" t="n">
        <f aca="false">(G2213-H2213)/G2213</f>
        <v>0.733490566037736</v>
      </c>
      <c r="J2213" s="15" t="n">
        <v>0.4975</v>
      </c>
      <c r="K2213" s="11" t="str">
        <f aca="false">IF(I2213&lt;J2213,"TAK","NIE")</f>
        <v>NIE</v>
      </c>
    </row>
    <row r="2214" customFormat="false" ht="15" hidden="false" customHeight="false" outlineLevel="0" collapsed="false">
      <c r="A2214" s="5" t="s">
        <v>407</v>
      </c>
      <c r="B2214" s="5" t="s">
        <v>61</v>
      </c>
      <c r="C2214" s="5" t="n">
        <v>2021</v>
      </c>
      <c r="D2214" s="5" t="s">
        <v>59</v>
      </c>
      <c r="E2214" s="5" t="s">
        <v>75</v>
      </c>
      <c r="F2214" s="5" t="s">
        <v>39</v>
      </c>
      <c r="G2214" s="6" t="n">
        <v>424</v>
      </c>
      <c r="H2214" s="6" t="n">
        <v>148</v>
      </c>
      <c r="I2214" s="7" t="n">
        <f aca="false">(G2214-H2214)/G2214</f>
        <v>0.650943396226415</v>
      </c>
      <c r="J2214" s="15" t="n">
        <v>0.4975</v>
      </c>
      <c r="K2214" s="11" t="str">
        <f aca="false">IF(I2214&lt;J2214,"TAK","NIE")</f>
        <v>NIE</v>
      </c>
    </row>
    <row r="2215" customFormat="false" ht="15" hidden="false" customHeight="false" outlineLevel="0" collapsed="false">
      <c r="A2215" s="5" t="s">
        <v>503</v>
      </c>
      <c r="B2215" s="5" t="s">
        <v>61</v>
      </c>
      <c r="C2215" s="5" t="n">
        <v>2021</v>
      </c>
      <c r="D2215" s="5" t="s">
        <v>59</v>
      </c>
      <c r="E2215" s="5" t="s">
        <v>75</v>
      </c>
      <c r="F2215" s="5" t="s">
        <v>39</v>
      </c>
      <c r="G2215" s="6" t="n">
        <v>424</v>
      </c>
      <c r="H2215" s="6" t="n">
        <v>148</v>
      </c>
      <c r="I2215" s="7" t="n">
        <f aca="false">(G2215-H2215)/G2215</f>
        <v>0.650943396226415</v>
      </c>
      <c r="J2215" s="15" t="n">
        <v>0.4975</v>
      </c>
      <c r="K2215" s="11" t="str">
        <f aca="false">IF(I2215&lt;J2215,"TAK","NIE")</f>
        <v>NIE</v>
      </c>
    </row>
    <row r="2216" customFormat="false" ht="15" hidden="false" customHeight="false" outlineLevel="0" collapsed="false">
      <c r="A2216" s="5" t="s">
        <v>504</v>
      </c>
      <c r="B2216" s="5" t="s">
        <v>61</v>
      </c>
      <c r="C2216" s="5" t="n">
        <v>2021</v>
      </c>
      <c r="D2216" s="5" t="s">
        <v>59</v>
      </c>
      <c r="E2216" s="5" t="s">
        <v>75</v>
      </c>
      <c r="F2216" s="5" t="s">
        <v>39</v>
      </c>
      <c r="G2216" s="6" t="n">
        <v>424</v>
      </c>
      <c r="H2216" s="6" t="n">
        <v>74</v>
      </c>
      <c r="I2216" s="7" t="n">
        <f aca="false">(G2216-H2216)/G2216</f>
        <v>0.825471698113208</v>
      </c>
      <c r="J2216" s="15" t="n">
        <v>0.4975</v>
      </c>
      <c r="K2216" s="11" t="str">
        <f aca="false">IF(I2216&lt;J2216,"TAK","NIE")</f>
        <v>NIE</v>
      </c>
    </row>
    <row r="2217" customFormat="false" ht="15" hidden="false" customHeight="false" outlineLevel="0" collapsed="false">
      <c r="A2217" s="5" t="s">
        <v>505</v>
      </c>
      <c r="B2217" s="5" t="s">
        <v>61</v>
      </c>
      <c r="C2217" s="5" t="n">
        <v>2021</v>
      </c>
      <c r="D2217" s="5" t="s">
        <v>59</v>
      </c>
      <c r="E2217" s="5" t="s">
        <v>75</v>
      </c>
      <c r="F2217" s="5" t="s">
        <v>39</v>
      </c>
      <c r="G2217" s="6" t="n">
        <v>424</v>
      </c>
      <c r="H2217" s="6" t="n">
        <v>3</v>
      </c>
      <c r="I2217" s="7" t="n">
        <f aca="false">(G2217-H2217)/G2217</f>
        <v>0.992924528301887</v>
      </c>
      <c r="J2217" s="15" t="n">
        <v>0.4975</v>
      </c>
      <c r="K2217" s="11" t="str">
        <f aca="false">IF(I2217&lt;J2217,"TAK","NIE")</f>
        <v>NIE</v>
      </c>
    </row>
    <row r="2218" customFormat="false" ht="15" hidden="false" customHeight="false" outlineLevel="0" collapsed="false">
      <c r="A2218" s="5" t="s">
        <v>506</v>
      </c>
      <c r="B2218" s="5" t="s">
        <v>61</v>
      </c>
      <c r="C2218" s="5" t="n">
        <v>2021</v>
      </c>
      <c r="D2218" s="5" t="s">
        <v>59</v>
      </c>
      <c r="E2218" s="5" t="s">
        <v>75</v>
      </c>
      <c r="F2218" s="5" t="s">
        <v>39</v>
      </c>
      <c r="G2218" s="6" t="n">
        <v>424</v>
      </c>
      <c r="H2218" s="6" t="n">
        <v>74</v>
      </c>
      <c r="I2218" s="7" t="n">
        <f aca="false">(G2218-H2218)/G2218</f>
        <v>0.825471698113208</v>
      </c>
      <c r="J2218" s="15" t="n">
        <v>0.4975</v>
      </c>
      <c r="K2218" s="11" t="str">
        <f aca="false">IF(I2218&lt;J2218,"TAK","NIE")</f>
        <v>NIE</v>
      </c>
    </row>
    <row r="2219" customFormat="false" ht="15" hidden="false" customHeight="false" outlineLevel="0" collapsed="false">
      <c r="A2219" s="5" t="s">
        <v>507</v>
      </c>
      <c r="B2219" s="5" t="s">
        <v>61</v>
      </c>
      <c r="C2219" s="5" t="n">
        <v>2021</v>
      </c>
      <c r="D2219" s="5" t="s">
        <v>59</v>
      </c>
      <c r="E2219" s="5" t="s">
        <v>75</v>
      </c>
      <c r="F2219" s="5" t="s">
        <v>39</v>
      </c>
      <c r="G2219" s="6" t="n">
        <v>424</v>
      </c>
      <c r="H2219" s="6" t="n">
        <v>130</v>
      </c>
      <c r="I2219" s="7" t="n">
        <f aca="false">(G2219-H2219)/G2219</f>
        <v>0.693396226415094</v>
      </c>
      <c r="J2219" s="15" t="n">
        <v>0.4975</v>
      </c>
      <c r="K2219" s="11" t="str">
        <f aca="false">IF(I2219&lt;J2219,"TAK","NIE")</f>
        <v>NIE</v>
      </c>
    </row>
    <row r="2220" customFormat="false" ht="15" hidden="false" customHeight="false" outlineLevel="0" collapsed="false">
      <c r="A2220" s="5" t="s">
        <v>508</v>
      </c>
      <c r="B2220" s="5" t="s">
        <v>61</v>
      </c>
      <c r="C2220" s="5" t="n">
        <v>2021</v>
      </c>
      <c r="D2220" s="5" t="s">
        <v>59</v>
      </c>
      <c r="E2220" s="5" t="s">
        <v>75</v>
      </c>
      <c r="F2220" s="5" t="s">
        <v>39</v>
      </c>
      <c r="G2220" s="6" t="n">
        <v>424</v>
      </c>
      <c r="H2220" s="6" t="n">
        <v>62</v>
      </c>
      <c r="I2220" s="7" t="n">
        <f aca="false">(G2220-H2220)/G2220</f>
        <v>0.85377358490566</v>
      </c>
      <c r="J2220" s="15" t="n">
        <v>0.4975</v>
      </c>
      <c r="K2220" s="11" t="str">
        <f aca="false">IF(I2220&lt;J2220,"TAK","NIE")</f>
        <v>NIE</v>
      </c>
    </row>
    <row r="2221" customFormat="false" ht="15" hidden="false" customHeight="false" outlineLevel="0" collapsed="false">
      <c r="A2221" s="5" t="s">
        <v>509</v>
      </c>
      <c r="B2221" s="5" t="s">
        <v>61</v>
      </c>
      <c r="C2221" s="5" t="n">
        <v>2021</v>
      </c>
      <c r="D2221" s="5" t="s">
        <v>59</v>
      </c>
      <c r="E2221" s="5" t="s">
        <v>75</v>
      </c>
      <c r="F2221" s="5" t="s">
        <v>39</v>
      </c>
      <c r="G2221" s="6" t="n">
        <v>424</v>
      </c>
      <c r="H2221" s="6" t="n">
        <v>125</v>
      </c>
      <c r="I2221" s="7" t="n">
        <f aca="false">(G2221-H2221)/G2221</f>
        <v>0.705188679245283</v>
      </c>
      <c r="J2221" s="15" t="n">
        <v>0.4975</v>
      </c>
      <c r="K2221" s="11" t="str">
        <f aca="false">IF(I2221&lt;J2221,"TAK","NIE")</f>
        <v>NIE</v>
      </c>
    </row>
    <row r="2222" customFormat="false" ht="15" hidden="false" customHeight="false" outlineLevel="0" collapsed="false">
      <c r="A2222" s="5" t="s">
        <v>510</v>
      </c>
      <c r="B2222" s="5" t="s">
        <v>61</v>
      </c>
      <c r="C2222" s="5" t="n">
        <v>2021</v>
      </c>
      <c r="D2222" s="5" t="s">
        <v>59</v>
      </c>
      <c r="E2222" s="5" t="s">
        <v>75</v>
      </c>
      <c r="F2222" s="5" t="s">
        <v>39</v>
      </c>
      <c r="G2222" s="6" t="n">
        <v>424</v>
      </c>
      <c r="H2222" s="6" t="n">
        <v>23</v>
      </c>
      <c r="I2222" s="7" t="n">
        <f aca="false">(G2222-H2222)/G2222</f>
        <v>0.945754716981132</v>
      </c>
      <c r="J2222" s="15" t="n">
        <v>0.4975</v>
      </c>
      <c r="K2222" s="11" t="str">
        <f aca="false">IF(I2222&lt;J2222,"TAK","NIE")</f>
        <v>NIE</v>
      </c>
    </row>
    <row r="2223" customFormat="false" ht="15" hidden="false" customHeight="false" outlineLevel="0" collapsed="false">
      <c r="A2223" s="5" t="s">
        <v>488</v>
      </c>
      <c r="B2223" s="5" t="s">
        <v>61</v>
      </c>
      <c r="C2223" s="5" t="n">
        <v>2021</v>
      </c>
      <c r="D2223" s="5" t="s">
        <v>59</v>
      </c>
      <c r="E2223" s="5" t="s">
        <v>75</v>
      </c>
      <c r="F2223" s="5" t="s">
        <v>40</v>
      </c>
      <c r="G2223" s="6" t="n">
        <v>732</v>
      </c>
      <c r="H2223" s="6" t="n">
        <v>230</v>
      </c>
      <c r="I2223" s="7" t="n">
        <f aca="false">(G2223-H2223)/G2223</f>
        <v>0.685792349726776</v>
      </c>
      <c r="J2223" s="15" t="n">
        <v>0.3285</v>
      </c>
      <c r="K2223" s="11" t="str">
        <f aca="false">IF(I2223&lt;J2223,"TAK","NIE")</f>
        <v>NIE</v>
      </c>
    </row>
    <row r="2224" customFormat="false" ht="15" hidden="false" customHeight="false" outlineLevel="0" collapsed="false">
      <c r="A2224" s="5" t="s">
        <v>489</v>
      </c>
      <c r="B2224" s="5" t="s">
        <v>61</v>
      </c>
      <c r="C2224" s="5" t="n">
        <v>2021</v>
      </c>
      <c r="D2224" s="5" t="s">
        <v>59</v>
      </c>
      <c r="E2224" s="5" t="s">
        <v>75</v>
      </c>
      <c r="F2224" s="5" t="s">
        <v>40</v>
      </c>
      <c r="G2224" s="6" t="n">
        <v>732</v>
      </c>
      <c r="H2224" s="6" t="n">
        <v>309</v>
      </c>
      <c r="I2224" s="7" t="n">
        <f aca="false">(G2224-H2224)/G2224</f>
        <v>0.577868852459016</v>
      </c>
      <c r="J2224" s="15" t="n">
        <v>0.3285</v>
      </c>
      <c r="K2224" s="11" t="str">
        <f aca="false">IF(I2224&lt;J2224,"TAK","NIE")</f>
        <v>NIE</v>
      </c>
    </row>
    <row r="2225" customFormat="false" ht="15" hidden="false" customHeight="false" outlineLevel="0" collapsed="false">
      <c r="A2225" s="5" t="s">
        <v>490</v>
      </c>
      <c r="B2225" s="5" t="s">
        <v>61</v>
      </c>
      <c r="C2225" s="5" t="n">
        <v>2021</v>
      </c>
      <c r="D2225" s="5" t="s">
        <v>59</v>
      </c>
      <c r="E2225" s="5" t="s">
        <v>75</v>
      </c>
      <c r="F2225" s="5" t="s">
        <v>40</v>
      </c>
      <c r="G2225" s="6" t="n">
        <v>732</v>
      </c>
      <c r="H2225" s="6" t="n">
        <v>204</v>
      </c>
      <c r="I2225" s="7" t="n">
        <f aca="false">(G2225-H2225)/G2225</f>
        <v>0.721311475409836</v>
      </c>
      <c r="J2225" s="15" t="n">
        <v>0.3285</v>
      </c>
      <c r="K2225" s="11" t="str">
        <f aca="false">IF(I2225&lt;J2225,"TAK","NIE")</f>
        <v>NIE</v>
      </c>
    </row>
    <row r="2226" customFormat="false" ht="15" hidden="false" customHeight="false" outlineLevel="0" collapsed="false">
      <c r="A2226" s="5" t="s">
        <v>491</v>
      </c>
      <c r="B2226" s="5" t="s">
        <v>61</v>
      </c>
      <c r="C2226" s="5" t="n">
        <v>2021</v>
      </c>
      <c r="D2226" s="5" t="s">
        <v>59</v>
      </c>
      <c r="E2226" s="5" t="s">
        <v>75</v>
      </c>
      <c r="F2226" s="5" t="s">
        <v>40</v>
      </c>
      <c r="G2226" s="6" t="n">
        <v>732</v>
      </c>
      <c r="H2226" s="6" t="n">
        <v>255</v>
      </c>
      <c r="I2226" s="7" t="n">
        <f aca="false">(G2226-H2226)/G2226</f>
        <v>0.651639344262295</v>
      </c>
      <c r="J2226" s="15" t="n">
        <v>0.3285</v>
      </c>
      <c r="K2226" s="11" t="str">
        <f aca="false">IF(I2226&lt;J2226,"TAK","NIE")</f>
        <v>NIE</v>
      </c>
    </row>
    <row r="2227" customFormat="false" ht="15" hidden="false" customHeight="false" outlineLevel="0" collapsed="false">
      <c r="A2227" s="5" t="s">
        <v>492</v>
      </c>
      <c r="B2227" s="5" t="s">
        <v>61</v>
      </c>
      <c r="C2227" s="5" t="n">
        <v>2021</v>
      </c>
      <c r="D2227" s="5" t="s">
        <v>59</v>
      </c>
      <c r="E2227" s="5" t="s">
        <v>75</v>
      </c>
      <c r="F2227" s="5" t="s">
        <v>40</v>
      </c>
      <c r="G2227" s="6" t="n">
        <v>732</v>
      </c>
      <c r="H2227" s="6" t="n">
        <v>326</v>
      </c>
      <c r="I2227" s="7" t="n">
        <f aca="false">(G2227-H2227)/G2227</f>
        <v>0.554644808743169</v>
      </c>
      <c r="J2227" s="15" t="n">
        <v>0.3285</v>
      </c>
      <c r="K2227" s="11" t="str">
        <f aca="false">IF(I2227&lt;J2227,"TAK","NIE")</f>
        <v>NIE</v>
      </c>
    </row>
    <row r="2228" customFormat="false" ht="15" hidden="false" customHeight="false" outlineLevel="0" collapsed="false">
      <c r="A2228" s="5" t="s">
        <v>493</v>
      </c>
      <c r="B2228" s="5" t="s">
        <v>61</v>
      </c>
      <c r="C2228" s="5" t="n">
        <v>2021</v>
      </c>
      <c r="D2228" s="5" t="s">
        <v>59</v>
      </c>
      <c r="E2228" s="5" t="s">
        <v>75</v>
      </c>
      <c r="F2228" s="5" t="s">
        <v>40</v>
      </c>
      <c r="G2228" s="6" t="n">
        <v>739</v>
      </c>
      <c r="H2228" s="6" t="n">
        <v>367</v>
      </c>
      <c r="I2228" s="7" t="n">
        <f aca="false">(G2228-H2228)/G2228</f>
        <v>0.503382949932341</v>
      </c>
      <c r="J2228" s="15" t="n">
        <v>0.3285</v>
      </c>
      <c r="K2228" s="11" t="str">
        <f aca="false">IF(I2228&lt;J2228,"TAK","NIE")</f>
        <v>NIE</v>
      </c>
    </row>
    <row r="2229" customFormat="false" ht="15" hidden="false" customHeight="false" outlineLevel="0" collapsed="false">
      <c r="A2229" s="5" t="s">
        <v>494</v>
      </c>
      <c r="B2229" s="5" t="s">
        <v>61</v>
      </c>
      <c r="C2229" s="5" t="n">
        <v>2021</v>
      </c>
      <c r="D2229" s="5" t="s">
        <v>59</v>
      </c>
      <c r="E2229" s="5" t="s">
        <v>75</v>
      </c>
      <c r="F2229" s="5" t="s">
        <v>40</v>
      </c>
      <c r="G2229" s="6" t="n">
        <v>739</v>
      </c>
      <c r="H2229" s="6" t="n">
        <v>278</v>
      </c>
      <c r="I2229" s="7" t="n">
        <f aca="false">(G2229-H2229)/G2229</f>
        <v>0.623815967523681</v>
      </c>
      <c r="J2229" s="15" t="n">
        <v>0.3285</v>
      </c>
      <c r="K2229" s="11" t="str">
        <f aca="false">IF(I2229&lt;J2229,"TAK","NIE")</f>
        <v>NIE</v>
      </c>
    </row>
    <row r="2230" customFormat="false" ht="15" hidden="false" customHeight="false" outlineLevel="0" collapsed="false">
      <c r="A2230" s="5" t="s">
        <v>495</v>
      </c>
      <c r="B2230" s="5" t="s">
        <v>61</v>
      </c>
      <c r="C2230" s="5" t="n">
        <v>2021</v>
      </c>
      <c r="D2230" s="5" t="s">
        <v>59</v>
      </c>
      <c r="E2230" s="5" t="s">
        <v>75</v>
      </c>
      <c r="F2230" s="5" t="s">
        <v>40</v>
      </c>
      <c r="G2230" s="6" t="n">
        <v>732</v>
      </c>
      <c r="H2230" s="6" t="n">
        <v>309</v>
      </c>
      <c r="I2230" s="7" t="n">
        <f aca="false">(G2230-H2230)/G2230</f>
        <v>0.577868852459016</v>
      </c>
      <c r="J2230" s="15" t="n">
        <v>0.3285</v>
      </c>
      <c r="K2230" s="11" t="str">
        <f aca="false">IF(I2230&lt;J2230,"TAK","NIE")</f>
        <v>NIE</v>
      </c>
    </row>
    <row r="2231" customFormat="false" ht="15" hidden="false" customHeight="false" outlineLevel="0" collapsed="false">
      <c r="A2231" s="5" t="s">
        <v>496</v>
      </c>
      <c r="B2231" s="5" t="s">
        <v>61</v>
      </c>
      <c r="C2231" s="5" t="n">
        <v>2021</v>
      </c>
      <c r="D2231" s="5" t="s">
        <v>59</v>
      </c>
      <c r="E2231" s="5" t="s">
        <v>75</v>
      </c>
      <c r="F2231" s="5" t="s">
        <v>40</v>
      </c>
      <c r="G2231" s="6" t="n">
        <v>732</v>
      </c>
      <c r="H2231" s="6" t="n">
        <v>162</v>
      </c>
      <c r="I2231" s="7" t="n">
        <f aca="false">(G2231-H2231)/G2231</f>
        <v>0.778688524590164</v>
      </c>
      <c r="J2231" s="15" t="n">
        <v>0.3285</v>
      </c>
      <c r="K2231" s="11" t="str">
        <f aca="false">IF(I2231&lt;J2231,"TAK","NIE")</f>
        <v>NIE</v>
      </c>
    </row>
    <row r="2232" customFormat="false" ht="15" hidden="false" customHeight="false" outlineLevel="0" collapsed="false">
      <c r="A2232" s="5" t="s">
        <v>497</v>
      </c>
      <c r="B2232" s="5" t="s">
        <v>61</v>
      </c>
      <c r="C2232" s="5" t="n">
        <v>2021</v>
      </c>
      <c r="D2232" s="5" t="s">
        <v>59</v>
      </c>
      <c r="E2232" s="5" t="s">
        <v>75</v>
      </c>
      <c r="F2232" s="5" t="s">
        <v>40</v>
      </c>
      <c r="G2232" s="6" t="n">
        <v>739</v>
      </c>
      <c r="H2232" s="6" t="n">
        <v>264</v>
      </c>
      <c r="I2232" s="7" t="n">
        <f aca="false">(G2232-H2232)/G2232</f>
        <v>0.64276048714479</v>
      </c>
      <c r="J2232" s="15" t="n">
        <v>0.3285</v>
      </c>
      <c r="K2232" s="11" t="str">
        <f aca="false">IF(I2232&lt;J2232,"TAK","NIE")</f>
        <v>NIE</v>
      </c>
    </row>
    <row r="2233" customFormat="false" ht="15" hidden="false" customHeight="false" outlineLevel="0" collapsed="false">
      <c r="A2233" s="5" t="s">
        <v>498</v>
      </c>
      <c r="B2233" s="5" t="s">
        <v>61</v>
      </c>
      <c r="C2233" s="5" t="n">
        <v>2021</v>
      </c>
      <c r="D2233" s="5" t="s">
        <v>59</v>
      </c>
      <c r="E2233" s="5" t="s">
        <v>75</v>
      </c>
      <c r="F2233" s="5" t="s">
        <v>40</v>
      </c>
      <c r="G2233" s="6" t="n">
        <v>739</v>
      </c>
      <c r="H2233" s="6" t="n">
        <v>393</v>
      </c>
      <c r="I2233" s="7" t="n">
        <f aca="false">(G2233-H2233)/G2233</f>
        <v>0.468200270635995</v>
      </c>
      <c r="J2233" s="15" t="n">
        <v>0.3285</v>
      </c>
      <c r="K2233" s="11" t="str">
        <f aca="false">IF(I2233&lt;J2233,"TAK","NIE")</f>
        <v>NIE</v>
      </c>
    </row>
    <row r="2234" customFormat="false" ht="15" hidden="false" customHeight="false" outlineLevel="0" collapsed="false">
      <c r="A2234" s="5" t="s">
        <v>499</v>
      </c>
      <c r="B2234" s="5" t="s">
        <v>61</v>
      </c>
      <c r="C2234" s="5" t="n">
        <v>2021</v>
      </c>
      <c r="D2234" s="5" t="s">
        <v>59</v>
      </c>
      <c r="E2234" s="5" t="s">
        <v>75</v>
      </c>
      <c r="F2234" s="5" t="s">
        <v>40</v>
      </c>
      <c r="G2234" s="6" t="n">
        <v>732</v>
      </c>
      <c r="H2234" s="6" t="n">
        <v>180</v>
      </c>
      <c r="I2234" s="7" t="n">
        <f aca="false">(G2234-H2234)/G2234</f>
        <v>0.754098360655738</v>
      </c>
      <c r="J2234" s="15" t="n">
        <v>0.3285</v>
      </c>
      <c r="K2234" s="11" t="str">
        <f aca="false">IF(I2234&lt;J2234,"TAK","NIE")</f>
        <v>NIE</v>
      </c>
    </row>
    <row r="2235" customFormat="false" ht="15" hidden="false" customHeight="false" outlineLevel="0" collapsed="false">
      <c r="A2235" s="5" t="s">
        <v>500</v>
      </c>
      <c r="B2235" s="5" t="s">
        <v>61</v>
      </c>
      <c r="C2235" s="5" t="n">
        <v>2021</v>
      </c>
      <c r="D2235" s="5" t="s">
        <v>59</v>
      </c>
      <c r="E2235" s="5" t="s">
        <v>75</v>
      </c>
      <c r="F2235" s="5" t="s">
        <v>40</v>
      </c>
      <c r="G2235" s="6" t="n">
        <v>732</v>
      </c>
      <c r="H2235" s="6" t="n">
        <v>180</v>
      </c>
      <c r="I2235" s="7" t="n">
        <f aca="false">(G2235-H2235)/G2235</f>
        <v>0.754098360655738</v>
      </c>
      <c r="J2235" s="15" t="n">
        <v>0.3285</v>
      </c>
      <c r="K2235" s="11" t="str">
        <f aca="false">IF(I2235&lt;J2235,"TAK","NIE")</f>
        <v>NIE</v>
      </c>
    </row>
    <row r="2236" customFormat="false" ht="15" hidden="false" customHeight="false" outlineLevel="0" collapsed="false">
      <c r="A2236" s="5" t="s">
        <v>501</v>
      </c>
      <c r="B2236" s="5" t="s">
        <v>61</v>
      </c>
      <c r="C2236" s="5" t="n">
        <v>2021</v>
      </c>
      <c r="D2236" s="5" t="s">
        <v>59</v>
      </c>
      <c r="E2236" s="5" t="s">
        <v>75</v>
      </c>
      <c r="F2236" s="5" t="s">
        <v>40</v>
      </c>
      <c r="G2236" s="6" t="n">
        <v>739</v>
      </c>
      <c r="H2236" s="6" t="n">
        <v>272</v>
      </c>
      <c r="I2236" s="7" t="n">
        <f aca="false">(G2236-H2236)/G2236</f>
        <v>0.631935047361299</v>
      </c>
      <c r="J2236" s="15" t="n">
        <v>0.3285</v>
      </c>
      <c r="K2236" s="11" t="str">
        <f aca="false">IF(I2236&lt;J2236,"TAK","NIE")</f>
        <v>NIE</v>
      </c>
    </row>
    <row r="2237" customFormat="false" ht="15" hidden="false" customHeight="false" outlineLevel="0" collapsed="false">
      <c r="A2237" s="5" t="s">
        <v>407</v>
      </c>
      <c r="B2237" s="5" t="s">
        <v>61</v>
      </c>
      <c r="C2237" s="5" t="n">
        <v>2021</v>
      </c>
      <c r="D2237" s="5" t="s">
        <v>59</v>
      </c>
      <c r="E2237" s="5" t="s">
        <v>75</v>
      </c>
      <c r="F2237" s="5" t="s">
        <v>40</v>
      </c>
      <c r="G2237" s="6" t="n">
        <v>732</v>
      </c>
      <c r="H2237" s="6" t="n">
        <v>386</v>
      </c>
      <c r="I2237" s="7" t="n">
        <f aca="false">(G2237-H2237)/G2237</f>
        <v>0.472677595628415</v>
      </c>
      <c r="J2237" s="15" t="n">
        <v>0.3285</v>
      </c>
      <c r="K2237" s="11" t="str">
        <f aca="false">IF(I2237&lt;J2237,"TAK","NIE")</f>
        <v>NIE</v>
      </c>
    </row>
    <row r="2238" customFormat="false" ht="15" hidden="false" customHeight="false" outlineLevel="0" collapsed="false">
      <c r="A2238" s="5" t="s">
        <v>503</v>
      </c>
      <c r="B2238" s="5" t="s">
        <v>61</v>
      </c>
      <c r="C2238" s="5" t="n">
        <v>2021</v>
      </c>
      <c r="D2238" s="5" t="s">
        <v>59</v>
      </c>
      <c r="E2238" s="5" t="s">
        <v>75</v>
      </c>
      <c r="F2238" s="5" t="s">
        <v>40</v>
      </c>
      <c r="G2238" s="6" t="n">
        <v>739</v>
      </c>
      <c r="H2238" s="6" t="n">
        <v>368</v>
      </c>
      <c r="I2238" s="7" t="n">
        <f aca="false">(G2238-H2238)/G2238</f>
        <v>0.502029769959405</v>
      </c>
      <c r="J2238" s="15" t="n">
        <v>0.3285</v>
      </c>
      <c r="K2238" s="11" t="str">
        <f aca="false">IF(I2238&lt;J2238,"TAK","NIE")</f>
        <v>NIE</v>
      </c>
    </row>
    <row r="2239" customFormat="false" ht="15" hidden="false" customHeight="false" outlineLevel="0" collapsed="false">
      <c r="A2239" s="5" t="s">
        <v>504</v>
      </c>
      <c r="B2239" s="5" t="s">
        <v>61</v>
      </c>
      <c r="C2239" s="5" t="n">
        <v>2021</v>
      </c>
      <c r="D2239" s="5" t="s">
        <v>59</v>
      </c>
      <c r="E2239" s="5" t="s">
        <v>75</v>
      </c>
      <c r="F2239" s="5" t="s">
        <v>40</v>
      </c>
      <c r="G2239" s="6" t="n">
        <v>739</v>
      </c>
      <c r="H2239" s="6" t="n">
        <v>283</v>
      </c>
      <c r="I2239" s="7" t="n">
        <f aca="false">(G2239-H2239)/G2239</f>
        <v>0.617050067658999</v>
      </c>
      <c r="J2239" s="15" t="n">
        <v>0.3285</v>
      </c>
      <c r="K2239" s="11" t="str">
        <f aca="false">IF(I2239&lt;J2239,"TAK","NIE")</f>
        <v>NIE</v>
      </c>
    </row>
    <row r="2240" customFormat="false" ht="15" hidden="false" customHeight="false" outlineLevel="0" collapsed="false">
      <c r="A2240" s="5" t="s">
        <v>505</v>
      </c>
      <c r="B2240" s="5" t="s">
        <v>61</v>
      </c>
      <c r="C2240" s="5" t="n">
        <v>2021</v>
      </c>
      <c r="D2240" s="5" t="s">
        <v>59</v>
      </c>
      <c r="E2240" s="5" t="s">
        <v>75</v>
      </c>
      <c r="F2240" s="5" t="s">
        <v>40</v>
      </c>
      <c r="G2240" s="6" t="n">
        <v>739</v>
      </c>
      <c r="H2240" s="6" t="n">
        <v>87</v>
      </c>
      <c r="I2240" s="7" t="n">
        <f aca="false">(G2240-H2240)/G2240</f>
        <v>0.882273342354533</v>
      </c>
      <c r="J2240" s="15" t="n">
        <v>0.3285</v>
      </c>
      <c r="K2240" s="11" t="str">
        <f aca="false">IF(I2240&lt;J2240,"TAK","NIE")</f>
        <v>NIE</v>
      </c>
    </row>
    <row r="2241" customFormat="false" ht="15" hidden="false" customHeight="false" outlineLevel="0" collapsed="false">
      <c r="A2241" s="5" t="s">
        <v>506</v>
      </c>
      <c r="B2241" s="5" t="s">
        <v>61</v>
      </c>
      <c r="C2241" s="5" t="n">
        <v>2021</v>
      </c>
      <c r="D2241" s="5" t="s">
        <v>59</v>
      </c>
      <c r="E2241" s="5" t="s">
        <v>75</v>
      </c>
      <c r="F2241" s="5" t="s">
        <v>40</v>
      </c>
      <c r="G2241" s="6" t="n">
        <v>739</v>
      </c>
      <c r="H2241" s="6" t="n">
        <v>277</v>
      </c>
      <c r="I2241" s="7" t="n">
        <f aca="false">(G2241-H2241)/G2241</f>
        <v>0.625169147496617</v>
      </c>
      <c r="J2241" s="15" t="n">
        <v>0.3285</v>
      </c>
      <c r="K2241" s="11" t="str">
        <f aca="false">IF(I2241&lt;J2241,"TAK","NIE")</f>
        <v>NIE</v>
      </c>
    </row>
    <row r="2242" customFormat="false" ht="15" hidden="false" customHeight="false" outlineLevel="0" collapsed="false">
      <c r="A2242" s="5" t="s">
        <v>507</v>
      </c>
      <c r="B2242" s="5" t="s">
        <v>61</v>
      </c>
      <c r="C2242" s="5" t="n">
        <v>2021</v>
      </c>
      <c r="D2242" s="5" t="s">
        <v>59</v>
      </c>
      <c r="E2242" s="5" t="s">
        <v>75</v>
      </c>
      <c r="F2242" s="5" t="s">
        <v>40</v>
      </c>
      <c r="G2242" s="6" t="n">
        <v>732</v>
      </c>
      <c r="H2242" s="6" t="n">
        <v>234</v>
      </c>
      <c r="I2242" s="7" t="n">
        <f aca="false">(G2242-H2242)/G2242</f>
        <v>0.680327868852459</v>
      </c>
      <c r="J2242" s="15" t="n">
        <v>0.3285</v>
      </c>
      <c r="K2242" s="11" t="str">
        <f aca="false">IF(I2242&lt;J2242,"TAK","NIE")</f>
        <v>NIE</v>
      </c>
    </row>
    <row r="2243" customFormat="false" ht="15" hidden="false" customHeight="false" outlineLevel="0" collapsed="false">
      <c r="A2243" s="5" t="s">
        <v>508</v>
      </c>
      <c r="B2243" s="5" t="s">
        <v>61</v>
      </c>
      <c r="C2243" s="5" t="n">
        <v>2021</v>
      </c>
      <c r="D2243" s="5" t="s">
        <v>59</v>
      </c>
      <c r="E2243" s="5" t="s">
        <v>75</v>
      </c>
      <c r="F2243" s="5" t="s">
        <v>40</v>
      </c>
      <c r="G2243" s="6" t="n">
        <v>739</v>
      </c>
      <c r="H2243" s="6" t="n">
        <v>199</v>
      </c>
      <c r="I2243" s="7" t="n">
        <f aca="false">(G2243-H2243)/G2243</f>
        <v>0.730717185385656</v>
      </c>
      <c r="J2243" s="15" t="n">
        <v>0.3285</v>
      </c>
      <c r="K2243" s="11" t="str">
        <f aca="false">IF(I2243&lt;J2243,"TAK","NIE")</f>
        <v>NIE</v>
      </c>
    </row>
    <row r="2244" customFormat="false" ht="15" hidden="false" customHeight="false" outlineLevel="0" collapsed="false">
      <c r="A2244" s="5" t="s">
        <v>509</v>
      </c>
      <c r="B2244" s="5" t="s">
        <v>61</v>
      </c>
      <c r="C2244" s="5" t="n">
        <v>2021</v>
      </c>
      <c r="D2244" s="5" t="s">
        <v>59</v>
      </c>
      <c r="E2244" s="5" t="s">
        <v>75</v>
      </c>
      <c r="F2244" s="5" t="s">
        <v>40</v>
      </c>
      <c r="G2244" s="6" t="n">
        <v>732</v>
      </c>
      <c r="H2244" s="6" t="n">
        <v>325</v>
      </c>
      <c r="I2244" s="7" t="n">
        <f aca="false">(G2244-H2244)/G2244</f>
        <v>0.556010928961749</v>
      </c>
      <c r="J2244" s="15" t="n">
        <v>0.3285</v>
      </c>
      <c r="K2244" s="11" t="str">
        <f aca="false">IF(I2244&lt;J2244,"TAK","NIE")</f>
        <v>NIE</v>
      </c>
    </row>
    <row r="2245" customFormat="false" ht="15" hidden="false" customHeight="false" outlineLevel="0" collapsed="false">
      <c r="A2245" s="5" t="s">
        <v>510</v>
      </c>
      <c r="B2245" s="5" t="s">
        <v>61</v>
      </c>
      <c r="C2245" s="5" t="n">
        <v>2021</v>
      </c>
      <c r="D2245" s="5" t="s">
        <v>59</v>
      </c>
      <c r="E2245" s="5" t="s">
        <v>75</v>
      </c>
      <c r="F2245" s="5" t="s">
        <v>40</v>
      </c>
      <c r="G2245" s="6" t="n">
        <v>739</v>
      </c>
      <c r="H2245" s="6" t="n">
        <v>147</v>
      </c>
      <c r="I2245" s="7" t="n">
        <f aca="false">(G2245-H2245)/G2245</f>
        <v>0.801082543978349</v>
      </c>
      <c r="J2245" s="15" t="n">
        <v>0.3285</v>
      </c>
      <c r="K2245" s="11" t="str">
        <f aca="false">IF(I2245&lt;J2245,"TAK","NIE")</f>
        <v>NIE</v>
      </c>
    </row>
    <row r="2246" customFormat="false" ht="15" hidden="false" customHeight="false" outlineLevel="0" collapsed="false">
      <c r="A2246" s="5" t="s">
        <v>488</v>
      </c>
      <c r="B2246" s="5" t="s">
        <v>62</v>
      </c>
      <c r="C2246" s="5" t="n">
        <v>2021</v>
      </c>
      <c r="D2246" s="5" t="s">
        <v>59</v>
      </c>
      <c r="E2246" s="5" t="s">
        <v>89</v>
      </c>
      <c r="F2246" s="5" t="s">
        <v>39</v>
      </c>
      <c r="G2246" s="6" t="n">
        <v>423</v>
      </c>
      <c r="H2246" s="6" t="n">
        <v>177</v>
      </c>
      <c r="I2246" s="7" t="n">
        <f aca="false">(G2246-H2246)/G2246</f>
        <v>0.581560283687943</v>
      </c>
      <c r="J2246" s="15" t="n">
        <v>0.3155</v>
      </c>
      <c r="K2246" s="11" t="str">
        <f aca="false">IF(I2246&lt;J2246,"TAK","NIE")</f>
        <v>NIE</v>
      </c>
    </row>
    <row r="2247" customFormat="false" ht="15" hidden="false" customHeight="false" outlineLevel="0" collapsed="false">
      <c r="A2247" s="5" t="s">
        <v>489</v>
      </c>
      <c r="B2247" s="5" t="s">
        <v>62</v>
      </c>
      <c r="C2247" s="5" t="n">
        <v>2021</v>
      </c>
      <c r="D2247" s="5" t="s">
        <v>59</v>
      </c>
      <c r="E2247" s="5" t="s">
        <v>89</v>
      </c>
      <c r="F2247" s="5" t="s">
        <v>39</v>
      </c>
      <c r="G2247" s="6" t="n">
        <v>423</v>
      </c>
      <c r="H2247" s="6" t="n">
        <v>198</v>
      </c>
      <c r="I2247" s="7" t="n">
        <f aca="false">(G2247-H2247)/G2247</f>
        <v>0.531914893617021</v>
      </c>
      <c r="J2247" s="15" t="n">
        <v>0.3155</v>
      </c>
      <c r="K2247" s="11" t="str">
        <f aca="false">IF(I2247&lt;J2247,"TAK","NIE")</f>
        <v>NIE</v>
      </c>
    </row>
    <row r="2248" customFormat="false" ht="15" hidden="false" customHeight="false" outlineLevel="0" collapsed="false">
      <c r="A2248" s="5" t="s">
        <v>490</v>
      </c>
      <c r="B2248" s="5" t="s">
        <v>62</v>
      </c>
      <c r="C2248" s="5" t="n">
        <v>2021</v>
      </c>
      <c r="D2248" s="5" t="s">
        <v>59</v>
      </c>
      <c r="E2248" s="5" t="s">
        <v>89</v>
      </c>
      <c r="F2248" s="5" t="s">
        <v>39</v>
      </c>
      <c r="G2248" s="6" t="n">
        <v>426</v>
      </c>
      <c r="H2248" s="6" t="n">
        <v>71</v>
      </c>
      <c r="I2248" s="7" t="n">
        <f aca="false">(G2248-H2248)/G2248</f>
        <v>0.833333333333333</v>
      </c>
      <c r="J2248" s="15" t="n">
        <v>0.3155</v>
      </c>
      <c r="K2248" s="11" t="str">
        <f aca="false">IF(I2248&lt;J2248,"TAK","NIE")</f>
        <v>NIE</v>
      </c>
    </row>
    <row r="2249" customFormat="false" ht="15" hidden="false" customHeight="false" outlineLevel="0" collapsed="false">
      <c r="A2249" s="5" t="s">
        <v>491</v>
      </c>
      <c r="B2249" s="5" t="s">
        <v>62</v>
      </c>
      <c r="C2249" s="5" t="n">
        <v>2021</v>
      </c>
      <c r="D2249" s="5" t="s">
        <v>59</v>
      </c>
      <c r="E2249" s="5" t="s">
        <v>89</v>
      </c>
      <c r="F2249" s="5" t="s">
        <v>39</v>
      </c>
      <c r="G2249" s="6" t="n">
        <v>423</v>
      </c>
      <c r="H2249" s="6" t="n">
        <v>168</v>
      </c>
      <c r="I2249" s="7" t="n">
        <f aca="false">(G2249-H2249)/G2249</f>
        <v>0.602836879432624</v>
      </c>
      <c r="J2249" s="15" t="n">
        <v>0.3155</v>
      </c>
      <c r="K2249" s="11" t="str">
        <f aca="false">IF(I2249&lt;J2249,"TAK","NIE")</f>
        <v>NIE</v>
      </c>
    </row>
    <row r="2250" customFormat="false" ht="15" hidden="false" customHeight="false" outlineLevel="0" collapsed="false">
      <c r="A2250" s="5" t="s">
        <v>492</v>
      </c>
      <c r="B2250" s="5" t="s">
        <v>62</v>
      </c>
      <c r="C2250" s="5" t="n">
        <v>2021</v>
      </c>
      <c r="D2250" s="5" t="s">
        <v>59</v>
      </c>
      <c r="E2250" s="5" t="s">
        <v>89</v>
      </c>
      <c r="F2250" s="5" t="s">
        <v>39</v>
      </c>
      <c r="G2250" s="6" t="n">
        <v>423</v>
      </c>
      <c r="H2250" s="6" t="n">
        <v>181</v>
      </c>
      <c r="I2250" s="7" t="n">
        <f aca="false">(G2250-H2250)/G2250</f>
        <v>0.57210401891253</v>
      </c>
      <c r="J2250" s="15" t="n">
        <v>0.3155</v>
      </c>
      <c r="K2250" s="11" t="str">
        <f aca="false">IF(I2250&lt;J2250,"TAK","NIE")</f>
        <v>NIE</v>
      </c>
    </row>
    <row r="2251" customFormat="false" ht="15" hidden="false" customHeight="false" outlineLevel="0" collapsed="false">
      <c r="A2251" s="5" t="s">
        <v>493</v>
      </c>
      <c r="B2251" s="5" t="s">
        <v>62</v>
      </c>
      <c r="C2251" s="5" t="n">
        <v>2021</v>
      </c>
      <c r="D2251" s="5" t="s">
        <v>59</v>
      </c>
      <c r="E2251" s="5" t="s">
        <v>89</v>
      </c>
      <c r="F2251" s="5" t="s">
        <v>39</v>
      </c>
      <c r="G2251" s="6" t="n">
        <v>422</v>
      </c>
      <c r="H2251" s="6" t="n">
        <v>161</v>
      </c>
      <c r="I2251" s="7" t="n">
        <f aca="false">(G2251-H2251)/G2251</f>
        <v>0.618483412322275</v>
      </c>
      <c r="J2251" s="15" t="n">
        <v>0.3155</v>
      </c>
      <c r="K2251" s="11" t="str">
        <f aca="false">IF(I2251&lt;J2251,"TAK","NIE")</f>
        <v>NIE</v>
      </c>
    </row>
    <row r="2252" customFormat="false" ht="15" hidden="false" customHeight="false" outlineLevel="0" collapsed="false">
      <c r="A2252" s="5" t="s">
        <v>494</v>
      </c>
      <c r="B2252" s="5" t="s">
        <v>62</v>
      </c>
      <c r="C2252" s="5" t="n">
        <v>2021</v>
      </c>
      <c r="D2252" s="5" t="s">
        <v>59</v>
      </c>
      <c r="E2252" s="5" t="s">
        <v>89</v>
      </c>
      <c r="F2252" s="5" t="s">
        <v>39</v>
      </c>
      <c r="G2252" s="6" t="n">
        <v>422</v>
      </c>
      <c r="H2252" s="6" t="n">
        <v>130</v>
      </c>
      <c r="I2252" s="7" t="n">
        <f aca="false">(G2252-H2252)/G2252</f>
        <v>0.691943127962085</v>
      </c>
      <c r="J2252" s="15" t="n">
        <v>0.3155</v>
      </c>
      <c r="K2252" s="11" t="str">
        <f aca="false">IF(I2252&lt;J2252,"TAK","NIE")</f>
        <v>NIE</v>
      </c>
    </row>
    <row r="2253" customFormat="false" ht="15" hidden="false" customHeight="false" outlineLevel="0" collapsed="false">
      <c r="A2253" s="5" t="s">
        <v>495</v>
      </c>
      <c r="B2253" s="5" t="s">
        <v>62</v>
      </c>
      <c r="C2253" s="5" t="n">
        <v>2021</v>
      </c>
      <c r="D2253" s="5" t="s">
        <v>59</v>
      </c>
      <c r="E2253" s="5" t="s">
        <v>89</v>
      </c>
      <c r="F2253" s="5" t="s">
        <v>39</v>
      </c>
      <c r="G2253" s="6" t="n">
        <v>423</v>
      </c>
      <c r="H2253" s="6" t="n">
        <v>165</v>
      </c>
      <c r="I2253" s="7" t="n">
        <f aca="false">(G2253-H2253)/G2253</f>
        <v>0.609929078014184</v>
      </c>
      <c r="J2253" s="15" t="n">
        <v>0.3155</v>
      </c>
      <c r="K2253" s="11" t="str">
        <f aca="false">IF(I2253&lt;J2253,"TAK","NIE")</f>
        <v>NIE</v>
      </c>
    </row>
    <row r="2254" customFormat="false" ht="15" hidden="false" customHeight="false" outlineLevel="0" collapsed="false">
      <c r="A2254" s="5" t="s">
        <v>496</v>
      </c>
      <c r="B2254" s="5" t="s">
        <v>62</v>
      </c>
      <c r="C2254" s="5" t="n">
        <v>2021</v>
      </c>
      <c r="D2254" s="5" t="s">
        <v>59</v>
      </c>
      <c r="E2254" s="5" t="s">
        <v>89</v>
      </c>
      <c r="F2254" s="5" t="s">
        <v>39</v>
      </c>
      <c r="G2254" s="6" t="n">
        <v>423</v>
      </c>
      <c r="H2254" s="6" t="n">
        <v>73</v>
      </c>
      <c r="I2254" s="7" t="n">
        <f aca="false">(G2254-H2254)/G2254</f>
        <v>0.8274231678487</v>
      </c>
      <c r="J2254" s="15" t="n">
        <v>0.3155</v>
      </c>
      <c r="K2254" s="11" t="str">
        <f aca="false">IF(I2254&lt;J2254,"TAK","NIE")</f>
        <v>NIE</v>
      </c>
    </row>
    <row r="2255" customFormat="false" ht="15" hidden="false" customHeight="false" outlineLevel="0" collapsed="false">
      <c r="A2255" s="5" t="s">
        <v>497</v>
      </c>
      <c r="B2255" s="5" t="s">
        <v>62</v>
      </c>
      <c r="C2255" s="5" t="n">
        <v>2021</v>
      </c>
      <c r="D2255" s="5" t="s">
        <v>59</v>
      </c>
      <c r="E2255" s="5" t="s">
        <v>89</v>
      </c>
      <c r="F2255" s="5" t="s">
        <v>39</v>
      </c>
      <c r="G2255" s="6" t="n">
        <v>425</v>
      </c>
      <c r="H2255" s="6" t="n">
        <v>142</v>
      </c>
      <c r="I2255" s="7" t="n">
        <f aca="false">(G2255-H2255)/G2255</f>
        <v>0.665882352941177</v>
      </c>
      <c r="J2255" s="15" t="n">
        <v>0.3155</v>
      </c>
      <c r="K2255" s="11" t="str">
        <f aca="false">IF(I2255&lt;J2255,"TAK","NIE")</f>
        <v>NIE</v>
      </c>
    </row>
    <row r="2256" customFormat="false" ht="15" hidden="false" customHeight="false" outlineLevel="0" collapsed="false">
      <c r="A2256" s="5" t="s">
        <v>498</v>
      </c>
      <c r="B2256" s="5" t="s">
        <v>62</v>
      </c>
      <c r="C2256" s="5" t="n">
        <v>2021</v>
      </c>
      <c r="D2256" s="5" t="s">
        <v>59</v>
      </c>
      <c r="E2256" s="5" t="s">
        <v>89</v>
      </c>
      <c r="F2256" s="5" t="s">
        <v>39</v>
      </c>
      <c r="G2256" s="6" t="n">
        <v>422</v>
      </c>
      <c r="H2256" s="6" t="n">
        <v>181</v>
      </c>
      <c r="I2256" s="7" t="n">
        <f aca="false">(G2256-H2256)/G2256</f>
        <v>0.571090047393365</v>
      </c>
      <c r="J2256" s="15" t="n">
        <v>0.3155</v>
      </c>
      <c r="K2256" s="11" t="str">
        <f aca="false">IF(I2256&lt;J2256,"TAK","NIE")</f>
        <v>NIE</v>
      </c>
    </row>
    <row r="2257" customFormat="false" ht="15" hidden="false" customHeight="false" outlineLevel="0" collapsed="false">
      <c r="A2257" s="5" t="s">
        <v>499</v>
      </c>
      <c r="B2257" s="5" t="s">
        <v>62</v>
      </c>
      <c r="C2257" s="5" t="n">
        <v>2021</v>
      </c>
      <c r="D2257" s="5" t="s">
        <v>59</v>
      </c>
      <c r="E2257" s="5" t="s">
        <v>89</v>
      </c>
      <c r="F2257" s="5" t="s">
        <v>39</v>
      </c>
      <c r="G2257" s="6" t="n">
        <v>423</v>
      </c>
      <c r="H2257" s="6" t="n">
        <v>99</v>
      </c>
      <c r="I2257" s="7" t="n">
        <f aca="false">(G2257-H2257)/G2257</f>
        <v>0.765957446808511</v>
      </c>
      <c r="J2257" s="15" t="n">
        <v>0.3155</v>
      </c>
      <c r="K2257" s="11" t="str">
        <f aca="false">IF(I2257&lt;J2257,"TAK","NIE")</f>
        <v>NIE</v>
      </c>
    </row>
    <row r="2258" customFormat="false" ht="15" hidden="false" customHeight="false" outlineLevel="0" collapsed="false">
      <c r="A2258" s="5" t="s">
        <v>500</v>
      </c>
      <c r="B2258" s="5" t="s">
        <v>62</v>
      </c>
      <c r="C2258" s="5" t="n">
        <v>2021</v>
      </c>
      <c r="D2258" s="5" t="s">
        <v>59</v>
      </c>
      <c r="E2258" s="5" t="s">
        <v>89</v>
      </c>
      <c r="F2258" s="5" t="s">
        <v>39</v>
      </c>
      <c r="G2258" s="6" t="n">
        <v>423</v>
      </c>
      <c r="H2258" s="6" t="n">
        <v>91</v>
      </c>
      <c r="I2258" s="7" t="n">
        <f aca="false">(G2258-H2258)/G2258</f>
        <v>0.784869976359338</v>
      </c>
      <c r="J2258" s="15" t="n">
        <v>0.3155</v>
      </c>
      <c r="K2258" s="11" t="str">
        <f aca="false">IF(I2258&lt;J2258,"TAK","NIE")</f>
        <v>NIE</v>
      </c>
    </row>
    <row r="2259" customFormat="false" ht="15" hidden="false" customHeight="false" outlineLevel="0" collapsed="false">
      <c r="A2259" s="5" t="s">
        <v>501</v>
      </c>
      <c r="B2259" s="5" t="s">
        <v>62</v>
      </c>
      <c r="C2259" s="5" t="n">
        <v>2021</v>
      </c>
      <c r="D2259" s="5" t="s">
        <v>59</v>
      </c>
      <c r="E2259" s="5" t="s">
        <v>89</v>
      </c>
      <c r="F2259" s="5" t="s">
        <v>39</v>
      </c>
      <c r="G2259" s="6" t="n">
        <v>422</v>
      </c>
      <c r="H2259" s="6" t="n">
        <v>137</v>
      </c>
      <c r="I2259" s="7" t="n">
        <f aca="false">(G2259-H2259)/G2259</f>
        <v>0.675355450236967</v>
      </c>
      <c r="J2259" s="15" t="n">
        <v>0.3155</v>
      </c>
      <c r="K2259" s="11" t="str">
        <f aca="false">IF(I2259&lt;J2259,"TAK","NIE")</f>
        <v>NIE</v>
      </c>
    </row>
    <row r="2260" customFormat="false" ht="15" hidden="false" customHeight="false" outlineLevel="0" collapsed="false">
      <c r="A2260" s="5" t="s">
        <v>407</v>
      </c>
      <c r="B2260" s="5" t="s">
        <v>62</v>
      </c>
      <c r="C2260" s="5" t="n">
        <v>2021</v>
      </c>
      <c r="D2260" s="5" t="s">
        <v>59</v>
      </c>
      <c r="E2260" s="5" t="s">
        <v>89</v>
      </c>
      <c r="F2260" s="5" t="s">
        <v>39</v>
      </c>
      <c r="G2260" s="6" t="n">
        <v>407</v>
      </c>
      <c r="H2260" s="6" t="n">
        <v>208</v>
      </c>
      <c r="I2260" s="7" t="n">
        <f aca="false">(G2260-H2260)/G2260</f>
        <v>0.488943488943489</v>
      </c>
      <c r="J2260" s="15" t="n">
        <v>0.3155</v>
      </c>
      <c r="K2260" s="11" t="str">
        <f aca="false">IF(I2260&lt;J2260,"TAK","NIE")</f>
        <v>NIE</v>
      </c>
    </row>
    <row r="2261" customFormat="false" ht="15" hidden="false" customHeight="false" outlineLevel="0" collapsed="false">
      <c r="A2261" s="5" t="s">
        <v>503</v>
      </c>
      <c r="B2261" s="5" t="s">
        <v>62</v>
      </c>
      <c r="C2261" s="5" t="n">
        <v>2021</v>
      </c>
      <c r="D2261" s="5" t="s">
        <v>59</v>
      </c>
      <c r="E2261" s="5" t="s">
        <v>89</v>
      </c>
      <c r="F2261" s="5" t="s">
        <v>39</v>
      </c>
      <c r="G2261" s="6" t="n">
        <v>422</v>
      </c>
      <c r="H2261" s="6" t="n">
        <v>206</v>
      </c>
      <c r="I2261" s="7" t="n">
        <f aca="false">(G2261-H2261)/G2261</f>
        <v>0.511848341232227</v>
      </c>
      <c r="J2261" s="15" t="n">
        <v>0.3155</v>
      </c>
      <c r="K2261" s="11" t="str">
        <f aca="false">IF(I2261&lt;J2261,"TAK","NIE")</f>
        <v>NIE</v>
      </c>
    </row>
    <row r="2262" customFormat="false" ht="15" hidden="false" customHeight="false" outlineLevel="0" collapsed="false">
      <c r="A2262" s="5" t="s">
        <v>504</v>
      </c>
      <c r="B2262" s="5" t="s">
        <v>62</v>
      </c>
      <c r="C2262" s="5" t="n">
        <v>2021</v>
      </c>
      <c r="D2262" s="5" t="s">
        <v>59</v>
      </c>
      <c r="E2262" s="5" t="s">
        <v>89</v>
      </c>
      <c r="F2262" s="5" t="s">
        <v>39</v>
      </c>
      <c r="G2262" s="6" t="n">
        <v>425</v>
      </c>
      <c r="H2262" s="6" t="n">
        <v>166</v>
      </c>
      <c r="I2262" s="7" t="n">
        <f aca="false">(G2262-H2262)/G2262</f>
        <v>0.609411764705882</v>
      </c>
      <c r="J2262" s="15" t="n">
        <v>0.3155</v>
      </c>
      <c r="K2262" s="11" t="str">
        <f aca="false">IF(I2262&lt;J2262,"TAK","NIE")</f>
        <v>NIE</v>
      </c>
    </row>
    <row r="2263" customFormat="false" ht="15" hidden="false" customHeight="false" outlineLevel="0" collapsed="false">
      <c r="A2263" s="5" t="s">
        <v>505</v>
      </c>
      <c r="B2263" s="5" t="s">
        <v>62</v>
      </c>
      <c r="C2263" s="5" t="n">
        <v>2021</v>
      </c>
      <c r="D2263" s="5" t="s">
        <v>59</v>
      </c>
      <c r="E2263" s="5" t="s">
        <v>89</v>
      </c>
      <c r="F2263" s="5" t="s">
        <v>39</v>
      </c>
      <c r="G2263" s="6" t="n">
        <v>425</v>
      </c>
      <c r="H2263" s="6" t="n">
        <v>12</v>
      </c>
      <c r="I2263" s="7" t="n">
        <f aca="false">(G2263-H2263)/G2263</f>
        <v>0.971764705882353</v>
      </c>
      <c r="J2263" s="15" t="n">
        <v>0.3155</v>
      </c>
      <c r="K2263" s="11" t="str">
        <f aca="false">IF(I2263&lt;J2263,"TAK","NIE")</f>
        <v>NIE</v>
      </c>
    </row>
    <row r="2264" customFormat="false" ht="15" hidden="false" customHeight="false" outlineLevel="0" collapsed="false">
      <c r="A2264" s="5" t="s">
        <v>506</v>
      </c>
      <c r="B2264" s="5" t="s">
        <v>62</v>
      </c>
      <c r="C2264" s="5" t="n">
        <v>2021</v>
      </c>
      <c r="D2264" s="5" t="s">
        <v>59</v>
      </c>
      <c r="E2264" s="5" t="s">
        <v>89</v>
      </c>
      <c r="F2264" s="5" t="s">
        <v>39</v>
      </c>
      <c r="G2264" s="6" t="n">
        <v>425</v>
      </c>
      <c r="H2264" s="6" t="n">
        <v>102</v>
      </c>
      <c r="I2264" s="7" t="n">
        <f aca="false">(G2264-H2264)/G2264</f>
        <v>0.76</v>
      </c>
      <c r="J2264" s="15" t="n">
        <v>0.3155</v>
      </c>
      <c r="K2264" s="11" t="str">
        <f aca="false">IF(I2264&lt;J2264,"TAK","NIE")</f>
        <v>NIE</v>
      </c>
    </row>
    <row r="2265" customFormat="false" ht="15" hidden="false" customHeight="false" outlineLevel="0" collapsed="false">
      <c r="A2265" s="5" t="s">
        <v>507</v>
      </c>
      <c r="B2265" s="5" t="s">
        <v>62</v>
      </c>
      <c r="C2265" s="5" t="n">
        <v>2021</v>
      </c>
      <c r="D2265" s="5" t="s">
        <v>59</v>
      </c>
      <c r="E2265" s="5" t="s">
        <v>89</v>
      </c>
      <c r="F2265" s="5" t="s">
        <v>39</v>
      </c>
      <c r="G2265" s="6" t="n">
        <v>423</v>
      </c>
      <c r="H2265" s="6" t="n">
        <v>154</v>
      </c>
      <c r="I2265" s="7" t="n">
        <f aca="false">(G2265-H2265)/G2265</f>
        <v>0.635933806146572</v>
      </c>
      <c r="J2265" s="15" t="n">
        <v>0.3155</v>
      </c>
      <c r="K2265" s="11" t="str">
        <f aca="false">IF(I2265&lt;J2265,"TAK","NIE")</f>
        <v>NIE</v>
      </c>
    </row>
    <row r="2266" customFormat="false" ht="15" hidden="false" customHeight="false" outlineLevel="0" collapsed="false">
      <c r="A2266" s="5" t="s">
        <v>508</v>
      </c>
      <c r="B2266" s="5" t="s">
        <v>62</v>
      </c>
      <c r="C2266" s="5" t="n">
        <v>2021</v>
      </c>
      <c r="D2266" s="5" t="s">
        <v>59</v>
      </c>
      <c r="E2266" s="5" t="s">
        <v>89</v>
      </c>
      <c r="F2266" s="5" t="s">
        <v>39</v>
      </c>
      <c r="G2266" s="6" t="n">
        <v>422</v>
      </c>
      <c r="H2266" s="6" t="n">
        <v>108</v>
      </c>
      <c r="I2266" s="7" t="n">
        <f aca="false">(G2266-H2266)/G2266</f>
        <v>0.744075829383886</v>
      </c>
      <c r="J2266" s="15" t="n">
        <v>0.3155</v>
      </c>
      <c r="K2266" s="11" t="str">
        <f aca="false">IF(I2266&lt;J2266,"TAK","NIE")</f>
        <v>NIE</v>
      </c>
    </row>
    <row r="2267" customFormat="false" ht="15" hidden="false" customHeight="false" outlineLevel="0" collapsed="false">
      <c r="A2267" s="5" t="s">
        <v>509</v>
      </c>
      <c r="B2267" s="5" t="s">
        <v>62</v>
      </c>
      <c r="C2267" s="5" t="n">
        <v>2021</v>
      </c>
      <c r="D2267" s="5" t="s">
        <v>59</v>
      </c>
      <c r="E2267" s="5" t="s">
        <v>89</v>
      </c>
      <c r="F2267" s="5" t="s">
        <v>39</v>
      </c>
      <c r="G2267" s="6" t="n">
        <v>423</v>
      </c>
      <c r="H2267" s="6" t="n">
        <v>175</v>
      </c>
      <c r="I2267" s="7" t="n">
        <f aca="false">(G2267-H2267)/G2267</f>
        <v>0.58628841607565</v>
      </c>
      <c r="J2267" s="15" t="n">
        <v>0.3155</v>
      </c>
      <c r="K2267" s="11" t="str">
        <f aca="false">IF(I2267&lt;J2267,"TAK","NIE")</f>
        <v>NIE</v>
      </c>
    </row>
    <row r="2268" customFormat="false" ht="15" hidden="false" customHeight="false" outlineLevel="0" collapsed="false">
      <c r="A2268" s="5" t="s">
        <v>510</v>
      </c>
      <c r="B2268" s="5" t="s">
        <v>62</v>
      </c>
      <c r="C2268" s="5" t="n">
        <v>2021</v>
      </c>
      <c r="D2268" s="5" t="s">
        <v>59</v>
      </c>
      <c r="E2268" s="5" t="s">
        <v>89</v>
      </c>
      <c r="F2268" s="5" t="s">
        <v>39</v>
      </c>
      <c r="G2268" s="6" t="n">
        <v>425</v>
      </c>
      <c r="H2268" s="6" t="n">
        <v>63</v>
      </c>
      <c r="I2268" s="7" t="n">
        <f aca="false">(G2268-H2268)/G2268</f>
        <v>0.851764705882353</v>
      </c>
      <c r="J2268" s="15" t="n">
        <v>0.3155</v>
      </c>
      <c r="K2268" s="11" t="str">
        <f aca="false">IF(I2268&lt;J2268,"TAK","NIE")</f>
        <v>NIE</v>
      </c>
    </row>
    <row r="2269" customFormat="false" ht="15" hidden="false" customHeight="false" outlineLevel="0" collapsed="false">
      <c r="A2269" s="5" t="s">
        <v>488</v>
      </c>
      <c r="B2269" s="5" t="s">
        <v>62</v>
      </c>
      <c r="C2269" s="5" t="n">
        <v>2021</v>
      </c>
      <c r="D2269" s="5" t="s">
        <v>59</v>
      </c>
      <c r="E2269" s="5" t="s">
        <v>89</v>
      </c>
      <c r="F2269" s="5" t="s">
        <v>40</v>
      </c>
      <c r="G2269" s="6" t="n">
        <v>341</v>
      </c>
      <c r="H2269" s="6" t="n">
        <v>161</v>
      </c>
      <c r="I2269" s="7" t="n">
        <f aca="false">(G2269-H2269)/G2269</f>
        <v>0.527859237536657</v>
      </c>
      <c r="J2269" s="15" t="n">
        <v>0.127</v>
      </c>
      <c r="K2269" s="11" t="str">
        <f aca="false">IF(I2269&lt;J2269,"TAK","NIE")</f>
        <v>NIE</v>
      </c>
    </row>
    <row r="2270" customFormat="false" ht="15" hidden="false" customHeight="false" outlineLevel="0" collapsed="false">
      <c r="A2270" s="5" t="s">
        <v>489</v>
      </c>
      <c r="B2270" s="5" t="s">
        <v>62</v>
      </c>
      <c r="C2270" s="5" t="n">
        <v>2021</v>
      </c>
      <c r="D2270" s="5" t="s">
        <v>59</v>
      </c>
      <c r="E2270" s="5" t="s">
        <v>89</v>
      </c>
      <c r="F2270" s="5" t="s">
        <v>40</v>
      </c>
      <c r="G2270" s="6" t="n">
        <v>341</v>
      </c>
      <c r="H2270" s="6" t="n">
        <v>197</v>
      </c>
      <c r="I2270" s="7" t="n">
        <f aca="false">(G2270-H2270)/G2270</f>
        <v>0.422287390029326</v>
      </c>
      <c r="J2270" s="15" t="n">
        <v>0.127</v>
      </c>
      <c r="K2270" s="11" t="str">
        <f aca="false">IF(I2270&lt;J2270,"TAK","NIE")</f>
        <v>NIE</v>
      </c>
    </row>
    <row r="2271" customFormat="false" ht="15" hidden="false" customHeight="false" outlineLevel="0" collapsed="false">
      <c r="A2271" s="5" t="s">
        <v>490</v>
      </c>
      <c r="B2271" s="5" t="s">
        <v>62</v>
      </c>
      <c r="C2271" s="5" t="n">
        <v>2021</v>
      </c>
      <c r="D2271" s="5" t="s">
        <v>59</v>
      </c>
      <c r="E2271" s="5" t="s">
        <v>89</v>
      </c>
      <c r="F2271" s="5" t="s">
        <v>40</v>
      </c>
      <c r="G2271" s="6" t="n">
        <v>352</v>
      </c>
      <c r="H2271" s="6" t="n">
        <v>148</v>
      </c>
      <c r="I2271" s="7" t="n">
        <f aca="false">(G2271-H2271)/G2271</f>
        <v>0.579545454545455</v>
      </c>
      <c r="J2271" s="15" t="n">
        <v>0.127</v>
      </c>
      <c r="K2271" s="11" t="str">
        <f aca="false">IF(I2271&lt;J2271,"TAK","NIE")</f>
        <v>NIE</v>
      </c>
    </row>
    <row r="2272" customFormat="false" ht="15" hidden="false" customHeight="false" outlineLevel="0" collapsed="false">
      <c r="A2272" s="5" t="s">
        <v>491</v>
      </c>
      <c r="B2272" s="5" t="s">
        <v>62</v>
      </c>
      <c r="C2272" s="5" t="n">
        <v>2021</v>
      </c>
      <c r="D2272" s="5" t="s">
        <v>59</v>
      </c>
      <c r="E2272" s="5" t="s">
        <v>89</v>
      </c>
      <c r="F2272" s="5" t="s">
        <v>40</v>
      </c>
      <c r="G2272" s="6" t="n">
        <v>341</v>
      </c>
      <c r="H2272" s="6" t="n">
        <v>165</v>
      </c>
      <c r="I2272" s="7" t="n">
        <f aca="false">(G2272-H2272)/G2272</f>
        <v>0.516129032258065</v>
      </c>
      <c r="J2272" s="15" t="n">
        <v>0.127</v>
      </c>
      <c r="K2272" s="11" t="str">
        <f aca="false">IF(I2272&lt;J2272,"TAK","NIE")</f>
        <v>NIE</v>
      </c>
    </row>
    <row r="2273" customFormat="false" ht="15" hidden="false" customHeight="false" outlineLevel="0" collapsed="false">
      <c r="A2273" s="5" t="s">
        <v>492</v>
      </c>
      <c r="B2273" s="5" t="s">
        <v>62</v>
      </c>
      <c r="C2273" s="5" t="n">
        <v>2021</v>
      </c>
      <c r="D2273" s="5" t="s">
        <v>59</v>
      </c>
      <c r="E2273" s="5" t="s">
        <v>89</v>
      </c>
      <c r="F2273" s="5" t="s">
        <v>40</v>
      </c>
      <c r="G2273" s="6" t="n">
        <v>341</v>
      </c>
      <c r="H2273" s="6" t="n">
        <v>217</v>
      </c>
      <c r="I2273" s="7" t="n">
        <f aca="false">(G2273-H2273)/G2273</f>
        <v>0.363636363636364</v>
      </c>
      <c r="J2273" s="15" t="n">
        <v>0.127</v>
      </c>
      <c r="K2273" s="11" t="str">
        <f aca="false">IF(I2273&lt;J2273,"TAK","NIE")</f>
        <v>NIE</v>
      </c>
    </row>
    <row r="2274" customFormat="false" ht="15" hidden="false" customHeight="false" outlineLevel="0" collapsed="false">
      <c r="A2274" s="5" t="s">
        <v>493</v>
      </c>
      <c r="B2274" s="5" t="s">
        <v>62</v>
      </c>
      <c r="C2274" s="5" t="n">
        <v>2021</v>
      </c>
      <c r="D2274" s="5" t="s">
        <v>59</v>
      </c>
      <c r="E2274" s="5" t="s">
        <v>89</v>
      </c>
      <c r="F2274" s="5" t="s">
        <v>40</v>
      </c>
      <c r="G2274" s="6" t="n">
        <v>341</v>
      </c>
      <c r="H2274" s="6" t="n">
        <v>212</v>
      </c>
      <c r="I2274" s="7" t="n">
        <f aca="false">(G2274-H2274)/G2274</f>
        <v>0.378299120234604</v>
      </c>
      <c r="J2274" s="15" t="n">
        <v>0.127</v>
      </c>
      <c r="K2274" s="11" t="str">
        <f aca="false">IF(I2274&lt;J2274,"TAK","NIE")</f>
        <v>NIE</v>
      </c>
    </row>
    <row r="2275" customFormat="false" ht="15" hidden="false" customHeight="false" outlineLevel="0" collapsed="false">
      <c r="A2275" s="5" t="s">
        <v>494</v>
      </c>
      <c r="B2275" s="5" t="s">
        <v>62</v>
      </c>
      <c r="C2275" s="5" t="n">
        <v>2021</v>
      </c>
      <c r="D2275" s="5" t="s">
        <v>59</v>
      </c>
      <c r="E2275" s="5" t="s">
        <v>89</v>
      </c>
      <c r="F2275" s="5" t="s">
        <v>40</v>
      </c>
      <c r="G2275" s="6" t="n">
        <v>341</v>
      </c>
      <c r="H2275" s="6" t="n">
        <v>120</v>
      </c>
      <c r="I2275" s="7" t="n">
        <f aca="false">(G2275-H2275)/G2275</f>
        <v>0.648093841642229</v>
      </c>
      <c r="J2275" s="15" t="n">
        <v>0.127</v>
      </c>
      <c r="K2275" s="11" t="str">
        <f aca="false">IF(I2275&lt;J2275,"TAK","NIE")</f>
        <v>NIE</v>
      </c>
    </row>
    <row r="2276" customFormat="false" ht="15" hidden="false" customHeight="false" outlineLevel="0" collapsed="false">
      <c r="A2276" s="5" t="s">
        <v>495</v>
      </c>
      <c r="B2276" s="5" t="s">
        <v>62</v>
      </c>
      <c r="C2276" s="5" t="n">
        <v>2021</v>
      </c>
      <c r="D2276" s="5" t="s">
        <v>59</v>
      </c>
      <c r="E2276" s="5" t="s">
        <v>89</v>
      </c>
      <c r="F2276" s="5" t="s">
        <v>40</v>
      </c>
      <c r="G2276" s="6" t="n">
        <v>341</v>
      </c>
      <c r="H2276" s="6" t="n">
        <v>229</v>
      </c>
      <c r="I2276" s="7" t="n">
        <f aca="false">(G2276-H2276)/G2276</f>
        <v>0.328445747800587</v>
      </c>
      <c r="J2276" s="15" t="n">
        <v>0.127</v>
      </c>
      <c r="K2276" s="11" t="str">
        <f aca="false">IF(I2276&lt;J2276,"TAK","NIE")</f>
        <v>NIE</v>
      </c>
    </row>
    <row r="2277" customFormat="false" ht="15" hidden="false" customHeight="false" outlineLevel="0" collapsed="false">
      <c r="A2277" s="5" t="s">
        <v>496</v>
      </c>
      <c r="B2277" s="5" t="s">
        <v>62</v>
      </c>
      <c r="C2277" s="5" t="n">
        <v>2021</v>
      </c>
      <c r="D2277" s="5" t="s">
        <v>59</v>
      </c>
      <c r="E2277" s="5" t="s">
        <v>89</v>
      </c>
      <c r="F2277" s="5" t="s">
        <v>40</v>
      </c>
      <c r="G2277" s="6" t="n">
        <v>341</v>
      </c>
      <c r="H2277" s="6" t="n">
        <v>137</v>
      </c>
      <c r="I2277" s="7" t="n">
        <f aca="false">(G2277-H2277)/G2277</f>
        <v>0.598240469208211</v>
      </c>
      <c r="J2277" s="15" t="n">
        <v>0.127</v>
      </c>
      <c r="K2277" s="11" t="str">
        <f aca="false">IF(I2277&lt;J2277,"TAK","NIE")</f>
        <v>NIE</v>
      </c>
    </row>
    <row r="2278" customFormat="false" ht="15" hidden="false" customHeight="false" outlineLevel="0" collapsed="false">
      <c r="A2278" s="5" t="s">
        <v>497</v>
      </c>
      <c r="B2278" s="5" t="s">
        <v>62</v>
      </c>
      <c r="C2278" s="5" t="n">
        <v>2021</v>
      </c>
      <c r="D2278" s="5" t="s">
        <v>59</v>
      </c>
      <c r="E2278" s="5" t="s">
        <v>89</v>
      </c>
      <c r="F2278" s="5" t="s">
        <v>40</v>
      </c>
      <c r="G2278" s="6" t="n">
        <v>352</v>
      </c>
      <c r="H2278" s="6" t="n">
        <v>175</v>
      </c>
      <c r="I2278" s="7" t="n">
        <f aca="false">(G2278-H2278)/G2278</f>
        <v>0.502840909090909</v>
      </c>
      <c r="J2278" s="15" t="n">
        <v>0.127</v>
      </c>
      <c r="K2278" s="11" t="str">
        <f aca="false">IF(I2278&lt;J2278,"TAK","NIE")</f>
        <v>NIE</v>
      </c>
    </row>
    <row r="2279" customFormat="false" ht="15" hidden="false" customHeight="false" outlineLevel="0" collapsed="false">
      <c r="A2279" s="5" t="s">
        <v>498</v>
      </c>
      <c r="B2279" s="5" t="s">
        <v>62</v>
      </c>
      <c r="C2279" s="5" t="n">
        <v>2021</v>
      </c>
      <c r="D2279" s="5" t="s">
        <v>59</v>
      </c>
      <c r="E2279" s="5" t="s">
        <v>89</v>
      </c>
      <c r="F2279" s="5" t="s">
        <v>40</v>
      </c>
      <c r="G2279" s="6" t="n">
        <v>341</v>
      </c>
      <c r="H2279" s="6" t="n">
        <v>236</v>
      </c>
      <c r="I2279" s="7" t="n">
        <f aca="false">(G2279-H2279)/G2279</f>
        <v>0.30791788856305</v>
      </c>
      <c r="J2279" s="15" t="n">
        <v>0.127</v>
      </c>
      <c r="K2279" s="11" t="str">
        <f aca="false">IF(I2279&lt;J2279,"TAK","NIE")</f>
        <v>NIE</v>
      </c>
    </row>
    <row r="2280" customFormat="false" ht="15" hidden="false" customHeight="false" outlineLevel="0" collapsed="false">
      <c r="A2280" s="5" t="s">
        <v>499</v>
      </c>
      <c r="B2280" s="5" t="s">
        <v>62</v>
      </c>
      <c r="C2280" s="5" t="n">
        <v>2021</v>
      </c>
      <c r="D2280" s="5" t="s">
        <v>59</v>
      </c>
      <c r="E2280" s="5" t="s">
        <v>89</v>
      </c>
      <c r="F2280" s="5" t="s">
        <v>40</v>
      </c>
      <c r="G2280" s="6" t="n">
        <v>341</v>
      </c>
      <c r="H2280" s="6" t="n">
        <v>181</v>
      </c>
      <c r="I2280" s="7" t="n">
        <f aca="false">(G2280-H2280)/G2280</f>
        <v>0.469208211143695</v>
      </c>
      <c r="J2280" s="15" t="n">
        <v>0.127</v>
      </c>
      <c r="K2280" s="11" t="str">
        <f aca="false">IF(I2280&lt;J2280,"TAK","NIE")</f>
        <v>NIE</v>
      </c>
    </row>
    <row r="2281" customFormat="false" ht="15" hidden="false" customHeight="false" outlineLevel="0" collapsed="false">
      <c r="A2281" s="5" t="s">
        <v>500</v>
      </c>
      <c r="B2281" s="5" t="s">
        <v>62</v>
      </c>
      <c r="C2281" s="5" t="n">
        <v>2021</v>
      </c>
      <c r="D2281" s="5" t="s">
        <v>59</v>
      </c>
      <c r="E2281" s="5" t="s">
        <v>89</v>
      </c>
      <c r="F2281" s="5" t="s">
        <v>40</v>
      </c>
      <c r="G2281" s="6" t="n">
        <v>341</v>
      </c>
      <c r="H2281" s="6" t="n">
        <v>146</v>
      </c>
      <c r="I2281" s="7" t="n">
        <f aca="false">(G2281-H2281)/G2281</f>
        <v>0.571847507331378</v>
      </c>
      <c r="J2281" s="15" t="n">
        <v>0.127</v>
      </c>
      <c r="K2281" s="11" t="str">
        <f aca="false">IF(I2281&lt;J2281,"TAK","NIE")</f>
        <v>NIE</v>
      </c>
    </row>
    <row r="2282" customFormat="false" ht="15" hidden="false" customHeight="false" outlineLevel="0" collapsed="false">
      <c r="A2282" s="5" t="s">
        <v>501</v>
      </c>
      <c r="B2282" s="5" t="s">
        <v>62</v>
      </c>
      <c r="C2282" s="5" t="n">
        <v>2021</v>
      </c>
      <c r="D2282" s="5" t="s">
        <v>59</v>
      </c>
      <c r="E2282" s="5" t="s">
        <v>89</v>
      </c>
      <c r="F2282" s="5" t="s">
        <v>40</v>
      </c>
      <c r="G2282" s="6" t="n">
        <v>341</v>
      </c>
      <c r="H2282" s="6" t="n">
        <v>198</v>
      </c>
      <c r="I2282" s="7" t="n">
        <f aca="false">(G2282-H2282)/G2282</f>
        <v>0.419354838709677</v>
      </c>
      <c r="J2282" s="15" t="n">
        <v>0.127</v>
      </c>
      <c r="K2282" s="11" t="str">
        <f aca="false">IF(I2282&lt;J2282,"TAK","NIE")</f>
        <v>NIE</v>
      </c>
    </row>
    <row r="2283" customFormat="false" ht="15" hidden="false" customHeight="false" outlineLevel="0" collapsed="false">
      <c r="A2283" s="5" t="s">
        <v>407</v>
      </c>
      <c r="B2283" s="5" t="s">
        <v>62</v>
      </c>
      <c r="C2283" s="5" t="n">
        <v>2021</v>
      </c>
      <c r="D2283" s="5" t="s">
        <v>59</v>
      </c>
      <c r="E2283" s="5" t="s">
        <v>89</v>
      </c>
      <c r="F2283" s="5" t="s">
        <v>40</v>
      </c>
      <c r="G2283" s="6" t="n">
        <v>341</v>
      </c>
      <c r="H2283" s="6" t="n">
        <v>290</v>
      </c>
      <c r="I2283" s="7" t="n">
        <f aca="false">(G2283-H2283)/G2283</f>
        <v>0.149560117302053</v>
      </c>
      <c r="J2283" s="15" t="n">
        <v>0.127</v>
      </c>
      <c r="K2283" s="11" t="str">
        <f aca="false">IF(I2283&lt;J2283,"TAK","NIE")</f>
        <v>NIE</v>
      </c>
    </row>
    <row r="2284" customFormat="false" ht="15" hidden="false" customHeight="false" outlineLevel="0" collapsed="false">
      <c r="A2284" s="5" t="s">
        <v>503</v>
      </c>
      <c r="B2284" s="5" t="s">
        <v>62</v>
      </c>
      <c r="C2284" s="5" t="n">
        <v>2021</v>
      </c>
      <c r="D2284" s="5" t="s">
        <v>59</v>
      </c>
      <c r="E2284" s="5" t="s">
        <v>89</v>
      </c>
      <c r="F2284" s="5" t="s">
        <v>40</v>
      </c>
      <c r="G2284" s="6" t="n">
        <v>341</v>
      </c>
      <c r="H2284" s="6" t="n">
        <v>211</v>
      </c>
      <c r="I2284" s="7" t="n">
        <f aca="false">(G2284-H2284)/G2284</f>
        <v>0.381231671554252</v>
      </c>
      <c r="J2284" s="15" t="n">
        <v>0.127</v>
      </c>
      <c r="K2284" s="11" t="str">
        <f aca="false">IF(I2284&lt;J2284,"TAK","NIE")</f>
        <v>NIE</v>
      </c>
    </row>
    <row r="2285" customFormat="false" ht="15" hidden="false" customHeight="false" outlineLevel="0" collapsed="false">
      <c r="A2285" s="5" t="s">
        <v>504</v>
      </c>
      <c r="B2285" s="5" t="s">
        <v>62</v>
      </c>
      <c r="C2285" s="5" t="n">
        <v>2021</v>
      </c>
      <c r="D2285" s="5" t="s">
        <v>59</v>
      </c>
      <c r="E2285" s="5" t="s">
        <v>89</v>
      </c>
      <c r="F2285" s="5" t="s">
        <v>40</v>
      </c>
      <c r="G2285" s="6" t="n">
        <v>352</v>
      </c>
      <c r="H2285" s="6" t="n">
        <v>140</v>
      </c>
      <c r="I2285" s="7" t="n">
        <f aca="false">(G2285-H2285)/G2285</f>
        <v>0.602272727272727</v>
      </c>
      <c r="J2285" s="15" t="n">
        <v>0.127</v>
      </c>
      <c r="K2285" s="11" t="str">
        <f aca="false">IF(I2285&lt;J2285,"TAK","NIE")</f>
        <v>NIE</v>
      </c>
    </row>
    <row r="2286" customFormat="false" ht="15" hidden="false" customHeight="false" outlineLevel="0" collapsed="false">
      <c r="A2286" s="5" t="s">
        <v>505</v>
      </c>
      <c r="B2286" s="5" t="s">
        <v>62</v>
      </c>
      <c r="C2286" s="5" t="n">
        <v>2021</v>
      </c>
      <c r="D2286" s="5" t="s">
        <v>59</v>
      </c>
      <c r="E2286" s="5" t="s">
        <v>89</v>
      </c>
      <c r="F2286" s="5" t="s">
        <v>40</v>
      </c>
      <c r="G2286" s="6" t="n">
        <v>352</v>
      </c>
      <c r="H2286" s="6" t="n">
        <v>92</v>
      </c>
      <c r="I2286" s="7" t="n">
        <f aca="false">(G2286-H2286)/G2286</f>
        <v>0.738636363636364</v>
      </c>
      <c r="J2286" s="15" t="n">
        <v>0.127</v>
      </c>
      <c r="K2286" s="11" t="str">
        <f aca="false">IF(I2286&lt;J2286,"TAK","NIE")</f>
        <v>NIE</v>
      </c>
    </row>
    <row r="2287" customFormat="false" ht="15" hidden="false" customHeight="false" outlineLevel="0" collapsed="false">
      <c r="A2287" s="5" t="s">
        <v>506</v>
      </c>
      <c r="B2287" s="5" t="s">
        <v>62</v>
      </c>
      <c r="C2287" s="5" t="n">
        <v>2021</v>
      </c>
      <c r="D2287" s="5" t="s">
        <v>59</v>
      </c>
      <c r="E2287" s="5" t="s">
        <v>89</v>
      </c>
      <c r="F2287" s="5" t="s">
        <v>40</v>
      </c>
      <c r="G2287" s="6" t="n">
        <v>352</v>
      </c>
      <c r="H2287" s="6" t="n">
        <v>175</v>
      </c>
      <c r="I2287" s="7" t="n">
        <f aca="false">(G2287-H2287)/G2287</f>
        <v>0.502840909090909</v>
      </c>
      <c r="J2287" s="15" t="n">
        <v>0.127</v>
      </c>
      <c r="K2287" s="11" t="str">
        <f aca="false">IF(I2287&lt;J2287,"TAK","NIE")</f>
        <v>NIE</v>
      </c>
    </row>
    <row r="2288" customFormat="false" ht="15" hidden="false" customHeight="false" outlineLevel="0" collapsed="false">
      <c r="A2288" s="5" t="s">
        <v>507</v>
      </c>
      <c r="B2288" s="5" t="s">
        <v>62</v>
      </c>
      <c r="C2288" s="5" t="n">
        <v>2021</v>
      </c>
      <c r="D2288" s="5" t="s">
        <v>59</v>
      </c>
      <c r="E2288" s="5" t="s">
        <v>89</v>
      </c>
      <c r="F2288" s="5" t="s">
        <v>40</v>
      </c>
      <c r="G2288" s="6" t="n">
        <v>341</v>
      </c>
      <c r="H2288" s="6" t="n">
        <v>196</v>
      </c>
      <c r="I2288" s="7" t="n">
        <f aca="false">(G2288-H2288)/G2288</f>
        <v>0.425219941348974</v>
      </c>
      <c r="J2288" s="15" t="n">
        <v>0.127</v>
      </c>
      <c r="K2288" s="11" t="str">
        <f aca="false">IF(I2288&lt;J2288,"TAK","NIE")</f>
        <v>NIE</v>
      </c>
    </row>
    <row r="2289" customFormat="false" ht="15" hidden="false" customHeight="false" outlineLevel="0" collapsed="false">
      <c r="A2289" s="5" t="s">
        <v>508</v>
      </c>
      <c r="B2289" s="5" t="s">
        <v>62</v>
      </c>
      <c r="C2289" s="5" t="n">
        <v>2021</v>
      </c>
      <c r="D2289" s="5" t="s">
        <v>59</v>
      </c>
      <c r="E2289" s="5" t="s">
        <v>89</v>
      </c>
      <c r="F2289" s="5" t="s">
        <v>40</v>
      </c>
      <c r="G2289" s="6" t="n">
        <v>341</v>
      </c>
      <c r="H2289" s="6" t="n">
        <v>142</v>
      </c>
      <c r="I2289" s="7" t="n">
        <f aca="false">(G2289-H2289)/G2289</f>
        <v>0.583577712609971</v>
      </c>
      <c r="J2289" s="15" t="n">
        <v>0.127</v>
      </c>
      <c r="K2289" s="11" t="str">
        <f aca="false">IF(I2289&lt;J2289,"TAK","NIE")</f>
        <v>NIE</v>
      </c>
    </row>
    <row r="2290" customFormat="false" ht="15" hidden="false" customHeight="false" outlineLevel="0" collapsed="false">
      <c r="A2290" s="5" t="s">
        <v>509</v>
      </c>
      <c r="B2290" s="5" t="s">
        <v>62</v>
      </c>
      <c r="C2290" s="5" t="n">
        <v>2021</v>
      </c>
      <c r="D2290" s="5" t="s">
        <v>59</v>
      </c>
      <c r="E2290" s="5" t="s">
        <v>89</v>
      </c>
      <c r="F2290" s="5" t="s">
        <v>40</v>
      </c>
      <c r="G2290" s="6" t="n">
        <v>341</v>
      </c>
      <c r="H2290" s="6" t="n">
        <v>183</v>
      </c>
      <c r="I2290" s="7" t="n">
        <f aca="false">(G2290-H2290)/G2290</f>
        <v>0.463343108504399</v>
      </c>
      <c r="J2290" s="15" t="n">
        <v>0.127</v>
      </c>
      <c r="K2290" s="11" t="str">
        <f aca="false">IF(I2290&lt;J2290,"TAK","NIE")</f>
        <v>NIE</v>
      </c>
    </row>
    <row r="2291" customFormat="false" ht="15" hidden="false" customHeight="false" outlineLevel="0" collapsed="false">
      <c r="A2291" s="5" t="s">
        <v>510</v>
      </c>
      <c r="B2291" s="5" t="s">
        <v>62</v>
      </c>
      <c r="C2291" s="5" t="n">
        <v>2021</v>
      </c>
      <c r="D2291" s="5" t="s">
        <v>59</v>
      </c>
      <c r="E2291" s="5" t="s">
        <v>89</v>
      </c>
      <c r="F2291" s="5" t="s">
        <v>40</v>
      </c>
      <c r="G2291" s="6" t="n">
        <v>352</v>
      </c>
      <c r="H2291" s="6" t="n">
        <v>136</v>
      </c>
      <c r="I2291" s="7" t="n">
        <f aca="false">(G2291-H2291)/G2291</f>
        <v>0.613636363636364</v>
      </c>
      <c r="J2291" s="15" t="n">
        <v>0.127</v>
      </c>
      <c r="K2291" s="11" t="str">
        <f aca="false">IF(I2291&lt;J2291,"TAK","NIE")</f>
        <v>NIE</v>
      </c>
    </row>
    <row r="2292" customFormat="false" ht="15" hidden="false" customHeight="false" outlineLevel="0" collapsed="false">
      <c r="A2292" s="5" t="s">
        <v>511</v>
      </c>
      <c r="B2292" s="5" t="s">
        <v>76</v>
      </c>
      <c r="C2292" s="5" t="n">
        <v>2021</v>
      </c>
      <c r="D2292" s="5" t="s">
        <v>77</v>
      </c>
      <c r="E2292" s="5" t="s">
        <v>46</v>
      </c>
      <c r="F2292" s="5" t="s">
        <v>39</v>
      </c>
      <c r="G2292" s="6" t="n">
        <v>637</v>
      </c>
      <c r="H2292" s="6" t="n">
        <v>136</v>
      </c>
      <c r="I2292" s="7" t="n">
        <f aca="false">(G2292-H2292)/G2292</f>
        <v>0.786499215070644</v>
      </c>
      <c r="J2292" s="15" t="n">
        <v>0.5779</v>
      </c>
      <c r="K2292" s="11" t="str">
        <f aca="false">IF(I2292&lt;J2292,"TAK","NIE")</f>
        <v>NIE</v>
      </c>
    </row>
    <row r="2293" customFormat="false" ht="15" hidden="false" customHeight="false" outlineLevel="0" collapsed="false">
      <c r="A2293" s="5" t="s">
        <v>512</v>
      </c>
      <c r="B2293" s="5" t="s">
        <v>76</v>
      </c>
      <c r="C2293" s="5" t="n">
        <v>2021</v>
      </c>
      <c r="D2293" s="5" t="s">
        <v>77</v>
      </c>
      <c r="E2293" s="5" t="s">
        <v>46</v>
      </c>
      <c r="F2293" s="5" t="s">
        <v>39</v>
      </c>
      <c r="G2293" s="6" t="n">
        <v>660</v>
      </c>
      <c r="H2293" s="6" t="n">
        <v>99</v>
      </c>
      <c r="I2293" s="7" t="n">
        <f aca="false">(G2293-H2293)/G2293</f>
        <v>0.85</v>
      </c>
      <c r="J2293" s="15" t="n">
        <v>0.5779</v>
      </c>
      <c r="K2293" s="11" t="str">
        <f aca="false">IF(I2293&lt;J2293,"TAK","NIE")</f>
        <v>NIE</v>
      </c>
    </row>
    <row r="2294" customFormat="false" ht="15" hidden="false" customHeight="false" outlineLevel="0" collapsed="false">
      <c r="A2294" s="5" t="s">
        <v>513</v>
      </c>
      <c r="B2294" s="5" t="s">
        <v>76</v>
      </c>
      <c r="C2294" s="5" t="n">
        <v>2021</v>
      </c>
      <c r="D2294" s="5" t="s">
        <v>77</v>
      </c>
      <c r="E2294" s="5" t="s">
        <v>46</v>
      </c>
      <c r="F2294" s="5" t="s">
        <v>39</v>
      </c>
      <c r="G2294" s="6" t="n">
        <v>660</v>
      </c>
      <c r="H2294" s="6" t="n">
        <v>232</v>
      </c>
      <c r="I2294" s="7" t="n">
        <f aca="false">(G2294-H2294)/G2294</f>
        <v>0.648484848484848</v>
      </c>
      <c r="J2294" s="15" t="n">
        <v>0.5779</v>
      </c>
      <c r="K2294" s="11" t="str">
        <f aca="false">IF(I2294&lt;J2294,"TAK","NIE")</f>
        <v>NIE</v>
      </c>
    </row>
    <row r="2295" customFormat="false" ht="15" hidden="false" customHeight="false" outlineLevel="0" collapsed="false">
      <c r="A2295" s="5" t="s">
        <v>514</v>
      </c>
      <c r="B2295" s="5" t="s">
        <v>76</v>
      </c>
      <c r="C2295" s="5" t="n">
        <v>2021</v>
      </c>
      <c r="D2295" s="5" t="s">
        <v>77</v>
      </c>
      <c r="E2295" s="5" t="s">
        <v>46</v>
      </c>
      <c r="F2295" s="5" t="s">
        <v>39</v>
      </c>
      <c r="G2295" s="6" t="n">
        <v>660</v>
      </c>
      <c r="H2295" s="6" t="n">
        <v>53</v>
      </c>
      <c r="I2295" s="7" t="n">
        <f aca="false">(G2295-H2295)/G2295</f>
        <v>0.91969696969697</v>
      </c>
      <c r="J2295" s="15" t="n">
        <v>0.5779</v>
      </c>
      <c r="K2295" s="11" t="str">
        <f aca="false">IF(I2295&lt;J2295,"TAK","NIE")</f>
        <v>NIE</v>
      </c>
    </row>
    <row r="2296" customFormat="false" ht="15" hidden="false" customHeight="false" outlineLevel="0" collapsed="false">
      <c r="A2296" s="5" t="s">
        <v>515</v>
      </c>
      <c r="B2296" s="5" t="s">
        <v>76</v>
      </c>
      <c r="C2296" s="5" t="n">
        <v>2021</v>
      </c>
      <c r="D2296" s="5" t="s">
        <v>77</v>
      </c>
      <c r="E2296" s="5" t="s">
        <v>46</v>
      </c>
      <c r="F2296" s="5" t="s">
        <v>39</v>
      </c>
      <c r="G2296" s="6" t="n">
        <v>660</v>
      </c>
      <c r="H2296" s="6" t="n">
        <v>117</v>
      </c>
      <c r="I2296" s="7" t="n">
        <f aca="false">(G2296-H2296)/G2296</f>
        <v>0.822727272727273</v>
      </c>
      <c r="J2296" s="15" t="n">
        <v>0.5779</v>
      </c>
      <c r="K2296" s="11" t="str">
        <f aca="false">IF(I2296&lt;J2296,"TAK","NIE")</f>
        <v>NIE</v>
      </c>
    </row>
    <row r="2297" customFormat="false" ht="15" hidden="false" customHeight="false" outlineLevel="0" collapsed="false">
      <c r="A2297" s="5" t="s">
        <v>516</v>
      </c>
      <c r="B2297" s="5" t="s">
        <v>76</v>
      </c>
      <c r="C2297" s="5" t="n">
        <v>2021</v>
      </c>
      <c r="D2297" s="5" t="s">
        <v>77</v>
      </c>
      <c r="E2297" s="5" t="s">
        <v>46</v>
      </c>
      <c r="F2297" s="5" t="s">
        <v>39</v>
      </c>
      <c r="G2297" s="6" t="n">
        <v>660</v>
      </c>
      <c r="H2297" s="6" t="n">
        <v>24</v>
      </c>
      <c r="I2297" s="7" t="n">
        <f aca="false">(G2297-H2297)/G2297</f>
        <v>0.963636363636364</v>
      </c>
      <c r="J2297" s="15" t="n">
        <v>0.5779</v>
      </c>
      <c r="K2297" s="11" t="str">
        <f aca="false">IF(I2297&lt;J2297,"TAK","NIE")</f>
        <v>NIE</v>
      </c>
    </row>
    <row r="2298" customFormat="false" ht="15" hidden="false" customHeight="false" outlineLevel="0" collapsed="false">
      <c r="A2298" s="5" t="s">
        <v>517</v>
      </c>
      <c r="B2298" s="5" t="s">
        <v>76</v>
      </c>
      <c r="C2298" s="5" t="n">
        <v>2021</v>
      </c>
      <c r="D2298" s="5" t="s">
        <v>77</v>
      </c>
      <c r="E2298" s="5" t="s">
        <v>46</v>
      </c>
      <c r="F2298" s="5" t="s">
        <v>39</v>
      </c>
      <c r="G2298" s="6" t="n">
        <v>660</v>
      </c>
      <c r="H2298" s="6" t="n">
        <v>65</v>
      </c>
      <c r="I2298" s="7" t="n">
        <f aca="false">(G2298-H2298)/G2298</f>
        <v>0.901515151515152</v>
      </c>
      <c r="J2298" s="15" t="n">
        <v>0.5779</v>
      </c>
      <c r="K2298" s="11" t="str">
        <f aca="false">IF(I2298&lt;J2298,"TAK","NIE")</f>
        <v>NIE</v>
      </c>
    </row>
    <row r="2299" customFormat="false" ht="15" hidden="false" customHeight="false" outlineLevel="0" collapsed="false">
      <c r="A2299" s="5" t="s">
        <v>518</v>
      </c>
      <c r="B2299" s="5" t="s">
        <v>76</v>
      </c>
      <c r="C2299" s="5" t="n">
        <v>2021</v>
      </c>
      <c r="D2299" s="5" t="s">
        <v>77</v>
      </c>
      <c r="E2299" s="5" t="s">
        <v>46</v>
      </c>
      <c r="F2299" s="5" t="s">
        <v>39</v>
      </c>
      <c r="G2299" s="6" t="n">
        <v>637</v>
      </c>
      <c r="H2299" s="6" t="n">
        <v>45</v>
      </c>
      <c r="I2299" s="7" t="n">
        <f aca="false">(G2299-H2299)/G2299</f>
        <v>0.929356357927787</v>
      </c>
      <c r="J2299" s="15" t="n">
        <v>0.5779</v>
      </c>
      <c r="K2299" s="11" t="str">
        <f aca="false">IF(I2299&lt;J2299,"TAK","NIE")</f>
        <v>NIE</v>
      </c>
    </row>
    <row r="2300" customFormat="false" ht="15" hidden="false" customHeight="false" outlineLevel="0" collapsed="false">
      <c r="A2300" s="5" t="s">
        <v>519</v>
      </c>
      <c r="B2300" s="5" t="s">
        <v>76</v>
      </c>
      <c r="C2300" s="5" t="n">
        <v>2021</v>
      </c>
      <c r="D2300" s="5" t="s">
        <v>77</v>
      </c>
      <c r="E2300" s="5" t="s">
        <v>46</v>
      </c>
      <c r="F2300" s="5" t="s">
        <v>39</v>
      </c>
      <c r="G2300" s="6" t="n">
        <v>660</v>
      </c>
      <c r="H2300" s="6" t="n">
        <v>162</v>
      </c>
      <c r="I2300" s="7" t="n">
        <f aca="false">(G2300-H2300)/G2300</f>
        <v>0.754545454545455</v>
      </c>
      <c r="J2300" s="15" t="n">
        <v>0.5779</v>
      </c>
      <c r="K2300" s="11" t="str">
        <f aca="false">IF(I2300&lt;J2300,"TAK","NIE")</f>
        <v>NIE</v>
      </c>
    </row>
    <row r="2301" customFormat="false" ht="15" hidden="false" customHeight="false" outlineLevel="0" collapsed="false">
      <c r="A2301" s="5" t="s">
        <v>520</v>
      </c>
      <c r="B2301" s="5" t="s">
        <v>76</v>
      </c>
      <c r="C2301" s="5" t="n">
        <v>2021</v>
      </c>
      <c r="D2301" s="5" t="s">
        <v>77</v>
      </c>
      <c r="E2301" s="5" t="s">
        <v>46</v>
      </c>
      <c r="F2301" s="5" t="s">
        <v>39</v>
      </c>
      <c r="G2301" s="6" t="n">
        <v>637</v>
      </c>
      <c r="H2301" s="6" t="n">
        <v>142</v>
      </c>
      <c r="I2301" s="7" t="n">
        <f aca="false">(G2301-H2301)/G2301</f>
        <v>0.777080062794349</v>
      </c>
      <c r="J2301" s="15" t="n">
        <v>0.5779</v>
      </c>
      <c r="K2301" s="11" t="str">
        <f aca="false">IF(I2301&lt;J2301,"TAK","NIE")</f>
        <v>NIE</v>
      </c>
    </row>
    <row r="2302" customFormat="false" ht="15" hidden="false" customHeight="false" outlineLevel="0" collapsed="false">
      <c r="A2302" s="5" t="s">
        <v>521</v>
      </c>
      <c r="B2302" s="5" t="s">
        <v>76</v>
      </c>
      <c r="C2302" s="5" t="n">
        <v>2021</v>
      </c>
      <c r="D2302" s="5" t="s">
        <v>77</v>
      </c>
      <c r="E2302" s="5" t="s">
        <v>46</v>
      </c>
      <c r="F2302" s="5" t="s">
        <v>39</v>
      </c>
      <c r="G2302" s="6" t="n">
        <v>637</v>
      </c>
      <c r="H2302" s="6" t="n">
        <v>190</v>
      </c>
      <c r="I2302" s="7" t="n">
        <f aca="false">(G2302-H2302)/G2302</f>
        <v>0.701726844583988</v>
      </c>
      <c r="J2302" s="15" t="n">
        <v>0.5779</v>
      </c>
      <c r="K2302" s="11" t="str">
        <f aca="false">IF(I2302&lt;J2302,"TAK","NIE")</f>
        <v>NIE</v>
      </c>
    </row>
    <row r="2303" customFormat="false" ht="15" hidden="false" customHeight="false" outlineLevel="0" collapsed="false">
      <c r="A2303" s="5" t="s">
        <v>522</v>
      </c>
      <c r="B2303" s="5" t="s">
        <v>76</v>
      </c>
      <c r="C2303" s="5" t="n">
        <v>2021</v>
      </c>
      <c r="D2303" s="5" t="s">
        <v>77</v>
      </c>
      <c r="E2303" s="5" t="s">
        <v>46</v>
      </c>
      <c r="F2303" s="5" t="s">
        <v>39</v>
      </c>
      <c r="G2303" s="6" t="n">
        <v>660</v>
      </c>
      <c r="H2303" s="6" t="n">
        <v>56</v>
      </c>
      <c r="I2303" s="7" t="n">
        <f aca="false">(G2303-H2303)/G2303</f>
        <v>0.915151515151515</v>
      </c>
      <c r="J2303" s="15" t="n">
        <v>0.5779</v>
      </c>
      <c r="K2303" s="11" t="str">
        <f aca="false">IF(I2303&lt;J2303,"TAK","NIE")</f>
        <v>NIE</v>
      </c>
    </row>
    <row r="2304" customFormat="false" ht="15" hidden="false" customHeight="false" outlineLevel="0" collapsed="false">
      <c r="A2304" s="5" t="s">
        <v>523</v>
      </c>
      <c r="B2304" s="5" t="s">
        <v>76</v>
      </c>
      <c r="C2304" s="5" t="n">
        <v>2021</v>
      </c>
      <c r="D2304" s="5" t="s">
        <v>77</v>
      </c>
      <c r="E2304" s="5" t="s">
        <v>46</v>
      </c>
      <c r="F2304" s="5" t="s">
        <v>39</v>
      </c>
      <c r="G2304" s="6" t="n">
        <v>660</v>
      </c>
      <c r="H2304" s="6" t="n">
        <v>88</v>
      </c>
      <c r="I2304" s="7" t="n">
        <f aca="false">(G2304-H2304)/G2304</f>
        <v>0.866666666666667</v>
      </c>
      <c r="J2304" s="15" t="n">
        <v>0.5779</v>
      </c>
      <c r="K2304" s="11" t="str">
        <f aca="false">IF(I2304&lt;J2304,"TAK","NIE")</f>
        <v>NIE</v>
      </c>
    </row>
    <row r="2305" customFormat="false" ht="15" hidden="false" customHeight="false" outlineLevel="0" collapsed="false">
      <c r="A2305" s="5" t="s">
        <v>524</v>
      </c>
      <c r="B2305" s="5" t="s">
        <v>76</v>
      </c>
      <c r="C2305" s="5" t="n">
        <v>2021</v>
      </c>
      <c r="D2305" s="5" t="s">
        <v>77</v>
      </c>
      <c r="E2305" s="5" t="s">
        <v>46</v>
      </c>
      <c r="F2305" s="5" t="s">
        <v>39</v>
      </c>
      <c r="G2305" s="6" t="n">
        <v>660</v>
      </c>
      <c r="H2305" s="6" t="n">
        <v>128</v>
      </c>
      <c r="I2305" s="7" t="n">
        <f aca="false">(G2305-H2305)/G2305</f>
        <v>0.806060606060606</v>
      </c>
      <c r="J2305" s="15" t="n">
        <v>0.5779</v>
      </c>
      <c r="K2305" s="11" t="str">
        <f aca="false">IF(I2305&lt;J2305,"TAK","NIE")</f>
        <v>NIE</v>
      </c>
    </row>
    <row r="2306" customFormat="false" ht="15" hidden="false" customHeight="false" outlineLevel="0" collapsed="false">
      <c r="A2306" s="5" t="s">
        <v>525</v>
      </c>
      <c r="B2306" s="5" t="s">
        <v>76</v>
      </c>
      <c r="C2306" s="5" t="n">
        <v>2021</v>
      </c>
      <c r="D2306" s="5" t="s">
        <v>77</v>
      </c>
      <c r="E2306" s="5" t="s">
        <v>46</v>
      </c>
      <c r="F2306" s="5" t="s">
        <v>39</v>
      </c>
      <c r="G2306" s="6" t="n">
        <v>660</v>
      </c>
      <c r="H2306" s="6" t="n">
        <v>205</v>
      </c>
      <c r="I2306" s="7" t="n">
        <f aca="false">(G2306-H2306)/G2306</f>
        <v>0.689393939393939</v>
      </c>
      <c r="J2306" s="15" t="n">
        <v>0.5779</v>
      </c>
      <c r="K2306" s="11" t="str">
        <f aca="false">IF(I2306&lt;J2306,"TAK","NIE")</f>
        <v>NIE</v>
      </c>
    </row>
    <row r="2307" customFormat="false" ht="15" hidden="false" customHeight="false" outlineLevel="0" collapsed="false">
      <c r="A2307" s="5" t="s">
        <v>526</v>
      </c>
      <c r="B2307" s="5" t="s">
        <v>76</v>
      </c>
      <c r="C2307" s="5" t="n">
        <v>2021</v>
      </c>
      <c r="D2307" s="5" t="s">
        <v>77</v>
      </c>
      <c r="E2307" s="5" t="s">
        <v>46</v>
      </c>
      <c r="F2307" s="5" t="s">
        <v>39</v>
      </c>
      <c r="G2307" s="6" t="n">
        <v>660</v>
      </c>
      <c r="H2307" s="6" t="n">
        <v>1</v>
      </c>
      <c r="I2307" s="7" t="n">
        <f aca="false">(G2307-H2307)/G2307</f>
        <v>0.998484848484849</v>
      </c>
      <c r="J2307" s="15" t="n">
        <v>0.5779</v>
      </c>
      <c r="K2307" s="11" t="str">
        <f aca="false">IF(I2307&lt;J2307,"TAK","NIE")</f>
        <v>NIE</v>
      </c>
    </row>
    <row r="2308" customFormat="false" ht="15" hidden="false" customHeight="false" outlineLevel="0" collapsed="false">
      <c r="A2308" s="5" t="s">
        <v>527</v>
      </c>
      <c r="B2308" s="5" t="s">
        <v>76</v>
      </c>
      <c r="C2308" s="5" t="n">
        <v>2021</v>
      </c>
      <c r="D2308" s="5" t="s">
        <v>77</v>
      </c>
      <c r="E2308" s="5" t="s">
        <v>46</v>
      </c>
      <c r="F2308" s="5" t="s">
        <v>39</v>
      </c>
      <c r="G2308" s="6" t="n">
        <v>660</v>
      </c>
      <c r="H2308" s="6" t="n">
        <v>155</v>
      </c>
      <c r="I2308" s="7" t="n">
        <f aca="false">(G2308-H2308)/G2308</f>
        <v>0.765151515151515</v>
      </c>
      <c r="J2308" s="15" t="n">
        <v>0.5779</v>
      </c>
      <c r="K2308" s="11" t="str">
        <f aca="false">IF(I2308&lt;J2308,"TAK","NIE")</f>
        <v>NIE</v>
      </c>
    </row>
    <row r="2309" customFormat="false" ht="15" hidden="false" customHeight="false" outlineLevel="0" collapsed="false">
      <c r="A2309" s="5" t="s">
        <v>528</v>
      </c>
      <c r="B2309" s="5" t="s">
        <v>76</v>
      </c>
      <c r="C2309" s="5" t="n">
        <v>2021</v>
      </c>
      <c r="D2309" s="5" t="s">
        <v>77</v>
      </c>
      <c r="E2309" s="5" t="s">
        <v>46</v>
      </c>
      <c r="F2309" s="5" t="s">
        <v>39</v>
      </c>
      <c r="G2309" s="6" t="n">
        <v>660</v>
      </c>
      <c r="H2309" s="6" t="n">
        <v>113</v>
      </c>
      <c r="I2309" s="7" t="n">
        <f aca="false">(G2309-H2309)/G2309</f>
        <v>0.828787878787879</v>
      </c>
      <c r="J2309" s="15" t="n">
        <v>0.5779</v>
      </c>
      <c r="K2309" s="11" t="str">
        <f aca="false">IF(I2309&lt;J2309,"TAK","NIE")</f>
        <v>NIE</v>
      </c>
    </row>
    <row r="2310" customFormat="false" ht="15" hidden="false" customHeight="false" outlineLevel="0" collapsed="false">
      <c r="A2310" s="5" t="s">
        <v>529</v>
      </c>
      <c r="B2310" s="5" t="s">
        <v>76</v>
      </c>
      <c r="C2310" s="5" t="n">
        <v>2021</v>
      </c>
      <c r="D2310" s="5" t="s">
        <v>77</v>
      </c>
      <c r="E2310" s="5" t="s">
        <v>46</v>
      </c>
      <c r="F2310" s="5" t="s">
        <v>39</v>
      </c>
      <c r="G2310" s="6" t="n">
        <v>660</v>
      </c>
      <c r="H2310" s="6" t="n">
        <v>96</v>
      </c>
      <c r="I2310" s="7" t="n">
        <f aca="false">(G2310-H2310)/G2310</f>
        <v>0.854545454545455</v>
      </c>
      <c r="J2310" s="15" t="n">
        <v>0.5779</v>
      </c>
      <c r="K2310" s="11" t="str">
        <f aca="false">IF(I2310&lt;J2310,"TAK","NIE")</f>
        <v>NIE</v>
      </c>
    </row>
    <row r="2311" customFormat="false" ht="15" hidden="false" customHeight="false" outlineLevel="0" collapsed="false">
      <c r="A2311" s="5" t="s">
        <v>530</v>
      </c>
      <c r="B2311" s="5" t="s">
        <v>76</v>
      </c>
      <c r="C2311" s="5" t="n">
        <v>2021</v>
      </c>
      <c r="D2311" s="5" t="s">
        <v>77</v>
      </c>
      <c r="E2311" s="5" t="s">
        <v>46</v>
      </c>
      <c r="F2311" s="5" t="s">
        <v>39</v>
      </c>
      <c r="G2311" s="6" t="n">
        <v>523</v>
      </c>
      <c r="H2311" s="6" t="n">
        <v>40</v>
      </c>
      <c r="I2311" s="7" t="n">
        <f aca="false">(G2311-H2311)/G2311</f>
        <v>0.923518164435947</v>
      </c>
      <c r="J2311" s="15" t="n">
        <v>0.5779</v>
      </c>
      <c r="K2311" s="11" t="str">
        <f aca="false">IF(I2311&lt;J2311,"TAK","NIE")</f>
        <v>NIE</v>
      </c>
    </row>
    <row r="2312" customFormat="false" ht="15" hidden="false" customHeight="false" outlineLevel="0" collapsed="false">
      <c r="A2312" s="5" t="s">
        <v>531</v>
      </c>
      <c r="B2312" s="5" t="s">
        <v>76</v>
      </c>
      <c r="C2312" s="5" t="n">
        <v>2021</v>
      </c>
      <c r="D2312" s="5" t="s">
        <v>77</v>
      </c>
      <c r="E2312" s="5" t="s">
        <v>46</v>
      </c>
      <c r="F2312" s="5" t="s">
        <v>39</v>
      </c>
      <c r="G2312" s="6" t="n">
        <v>637</v>
      </c>
      <c r="H2312" s="6" t="n">
        <v>23</v>
      </c>
      <c r="I2312" s="7" t="n">
        <f aca="false">(G2312-H2312)/G2312</f>
        <v>0.963893249607535</v>
      </c>
      <c r="J2312" s="15" t="n">
        <v>0.5779</v>
      </c>
      <c r="K2312" s="11" t="str">
        <f aca="false">IF(I2312&lt;J2312,"TAK","NIE")</f>
        <v>NIE</v>
      </c>
    </row>
    <row r="2313" customFormat="false" ht="15" hidden="false" customHeight="false" outlineLevel="0" collapsed="false">
      <c r="A2313" s="5" t="s">
        <v>532</v>
      </c>
      <c r="B2313" s="5" t="s">
        <v>76</v>
      </c>
      <c r="C2313" s="5" t="n">
        <v>2021</v>
      </c>
      <c r="D2313" s="5" t="s">
        <v>77</v>
      </c>
      <c r="E2313" s="5" t="s">
        <v>46</v>
      </c>
      <c r="F2313" s="5" t="s">
        <v>39</v>
      </c>
      <c r="G2313" s="6" t="n">
        <v>637</v>
      </c>
      <c r="H2313" s="6" t="n">
        <v>65</v>
      </c>
      <c r="I2313" s="7" t="n">
        <f aca="false">(G2313-H2313)/G2313</f>
        <v>0.897959183673469</v>
      </c>
      <c r="J2313" s="15" t="n">
        <v>0.5779</v>
      </c>
      <c r="K2313" s="11" t="str">
        <f aca="false">IF(I2313&lt;J2313,"TAK","NIE")</f>
        <v>NIE</v>
      </c>
    </row>
    <row r="2314" customFormat="false" ht="15" hidden="false" customHeight="false" outlineLevel="0" collapsed="false">
      <c r="A2314" s="5" t="s">
        <v>533</v>
      </c>
      <c r="B2314" s="5" t="s">
        <v>76</v>
      </c>
      <c r="C2314" s="5" t="n">
        <v>2021</v>
      </c>
      <c r="D2314" s="5" t="s">
        <v>77</v>
      </c>
      <c r="E2314" s="5" t="s">
        <v>46</v>
      </c>
      <c r="F2314" s="5" t="s">
        <v>39</v>
      </c>
      <c r="G2314" s="6" t="n">
        <v>660</v>
      </c>
      <c r="H2314" s="6" t="n">
        <v>37</v>
      </c>
      <c r="I2314" s="7" t="n">
        <f aca="false">(G2314-H2314)/G2314</f>
        <v>0.943939393939394</v>
      </c>
      <c r="J2314" s="15" t="n">
        <v>0.5779</v>
      </c>
      <c r="K2314" s="11" t="str">
        <f aca="false">IF(I2314&lt;J2314,"TAK","NIE")</f>
        <v>NIE</v>
      </c>
    </row>
    <row r="2315" customFormat="false" ht="15" hidden="false" customHeight="false" outlineLevel="0" collapsed="false">
      <c r="A2315" s="5" t="s">
        <v>534</v>
      </c>
      <c r="B2315" s="5" t="s">
        <v>76</v>
      </c>
      <c r="C2315" s="5" t="n">
        <v>2021</v>
      </c>
      <c r="D2315" s="5" t="s">
        <v>77</v>
      </c>
      <c r="E2315" s="5" t="s">
        <v>46</v>
      </c>
      <c r="F2315" s="5" t="s">
        <v>39</v>
      </c>
      <c r="G2315" s="6" t="n">
        <v>660</v>
      </c>
      <c r="H2315" s="6" t="n">
        <v>67</v>
      </c>
      <c r="I2315" s="7" t="n">
        <f aca="false">(G2315-H2315)/G2315</f>
        <v>0.898484848484848</v>
      </c>
      <c r="J2315" s="15" t="n">
        <v>0.5779</v>
      </c>
      <c r="K2315" s="11" t="str">
        <f aca="false">IF(I2315&lt;J2315,"TAK","NIE")</f>
        <v>NIE</v>
      </c>
    </row>
    <row r="2316" customFormat="false" ht="15" hidden="false" customHeight="false" outlineLevel="0" collapsed="false">
      <c r="A2316" s="5" t="s">
        <v>511</v>
      </c>
      <c r="B2316" s="5" t="s">
        <v>76</v>
      </c>
      <c r="C2316" s="5" t="n">
        <v>2021</v>
      </c>
      <c r="D2316" s="5" t="s">
        <v>77</v>
      </c>
      <c r="E2316" s="5" t="s">
        <v>46</v>
      </c>
      <c r="F2316" s="5" t="s">
        <v>40</v>
      </c>
      <c r="G2316" s="6" t="n">
        <v>564</v>
      </c>
      <c r="H2316" s="6" t="n">
        <v>115</v>
      </c>
      <c r="I2316" s="7" t="n">
        <f aca="false">(G2316-H2316)/G2316</f>
        <v>0.796099290780142</v>
      </c>
      <c r="J2316" s="15" t="n">
        <v>0.5311</v>
      </c>
      <c r="K2316" s="11" t="str">
        <f aca="false">IF(I2316&lt;J2316,"TAK","NIE")</f>
        <v>NIE</v>
      </c>
    </row>
    <row r="2317" customFormat="false" ht="15" hidden="false" customHeight="false" outlineLevel="0" collapsed="false">
      <c r="A2317" s="5" t="s">
        <v>512</v>
      </c>
      <c r="B2317" s="5" t="s">
        <v>76</v>
      </c>
      <c r="C2317" s="5" t="n">
        <v>2021</v>
      </c>
      <c r="D2317" s="5" t="s">
        <v>77</v>
      </c>
      <c r="E2317" s="5" t="s">
        <v>46</v>
      </c>
      <c r="F2317" s="5" t="s">
        <v>40</v>
      </c>
      <c r="G2317" s="6" t="n">
        <v>603</v>
      </c>
      <c r="H2317" s="6" t="n">
        <v>160</v>
      </c>
      <c r="I2317" s="7" t="n">
        <f aca="false">(G2317-H2317)/G2317</f>
        <v>0.734660033167496</v>
      </c>
      <c r="J2317" s="15" t="n">
        <v>0.5311</v>
      </c>
      <c r="K2317" s="11" t="str">
        <f aca="false">IF(I2317&lt;J2317,"TAK","NIE")</f>
        <v>NIE</v>
      </c>
    </row>
    <row r="2318" customFormat="false" ht="15" hidden="false" customHeight="false" outlineLevel="0" collapsed="false">
      <c r="A2318" s="5" t="s">
        <v>513</v>
      </c>
      <c r="B2318" s="5" t="s">
        <v>76</v>
      </c>
      <c r="C2318" s="5" t="n">
        <v>2021</v>
      </c>
      <c r="D2318" s="5" t="s">
        <v>77</v>
      </c>
      <c r="E2318" s="5" t="s">
        <v>46</v>
      </c>
      <c r="F2318" s="5" t="s">
        <v>40</v>
      </c>
      <c r="G2318" s="6" t="n">
        <v>605</v>
      </c>
      <c r="H2318" s="6" t="n">
        <v>192</v>
      </c>
      <c r="I2318" s="7" t="n">
        <f aca="false">(G2318-H2318)/G2318</f>
        <v>0.682644628099174</v>
      </c>
      <c r="J2318" s="15" t="n">
        <v>0.5311</v>
      </c>
      <c r="K2318" s="11" t="str">
        <f aca="false">IF(I2318&lt;J2318,"TAK","NIE")</f>
        <v>NIE</v>
      </c>
    </row>
    <row r="2319" customFormat="false" ht="15" hidden="false" customHeight="false" outlineLevel="0" collapsed="false">
      <c r="A2319" s="5" t="s">
        <v>514</v>
      </c>
      <c r="B2319" s="5" t="s">
        <v>76</v>
      </c>
      <c r="C2319" s="5" t="n">
        <v>2021</v>
      </c>
      <c r="D2319" s="5" t="s">
        <v>77</v>
      </c>
      <c r="E2319" s="5" t="s">
        <v>46</v>
      </c>
      <c r="F2319" s="5" t="s">
        <v>40</v>
      </c>
      <c r="G2319" s="6" t="n">
        <v>603</v>
      </c>
      <c r="H2319" s="6" t="n">
        <v>53</v>
      </c>
      <c r="I2319" s="7" t="n">
        <f aca="false">(G2319-H2319)/G2319</f>
        <v>0.912106135986733</v>
      </c>
      <c r="J2319" s="15" t="n">
        <v>0.5311</v>
      </c>
      <c r="K2319" s="11" t="str">
        <f aca="false">IF(I2319&lt;J2319,"TAK","NIE")</f>
        <v>NIE</v>
      </c>
    </row>
    <row r="2320" customFormat="false" ht="15" hidden="false" customHeight="false" outlineLevel="0" collapsed="false">
      <c r="A2320" s="5" t="s">
        <v>515</v>
      </c>
      <c r="B2320" s="5" t="s">
        <v>76</v>
      </c>
      <c r="C2320" s="5" t="n">
        <v>2021</v>
      </c>
      <c r="D2320" s="5" t="s">
        <v>77</v>
      </c>
      <c r="E2320" s="5" t="s">
        <v>46</v>
      </c>
      <c r="F2320" s="5" t="s">
        <v>40</v>
      </c>
      <c r="G2320" s="6" t="n">
        <v>597</v>
      </c>
      <c r="H2320" s="6" t="n">
        <v>93</v>
      </c>
      <c r="I2320" s="7" t="n">
        <f aca="false">(G2320-H2320)/G2320</f>
        <v>0.844221105527638</v>
      </c>
      <c r="J2320" s="15" t="n">
        <v>0.5311</v>
      </c>
      <c r="K2320" s="11" t="str">
        <f aca="false">IF(I2320&lt;J2320,"TAK","NIE")</f>
        <v>NIE</v>
      </c>
    </row>
    <row r="2321" customFormat="false" ht="15" hidden="false" customHeight="false" outlineLevel="0" collapsed="false">
      <c r="A2321" s="5" t="s">
        <v>516</v>
      </c>
      <c r="B2321" s="5" t="s">
        <v>76</v>
      </c>
      <c r="C2321" s="5" t="n">
        <v>2021</v>
      </c>
      <c r="D2321" s="5" t="s">
        <v>77</v>
      </c>
      <c r="E2321" s="5" t="s">
        <v>46</v>
      </c>
      <c r="F2321" s="5" t="s">
        <v>40</v>
      </c>
      <c r="G2321" s="6" t="n">
        <v>597</v>
      </c>
      <c r="H2321" s="6" t="n">
        <v>57</v>
      </c>
      <c r="I2321" s="7" t="n">
        <f aca="false">(G2321-H2321)/G2321</f>
        <v>0.904522613065327</v>
      </c>
      <c r="J2321" s="15" t="n">
        <v>0.5311</v>
      </c>
      <c r="K2321" s="11" t="str">
        <f aca="false">IF(I2321&lt;J2321,"TAK","NIE")</f>
        <v>NIE</v>
      </c>
    </row>
    <row r="2322" customFormat="false" ht="15" hidden="false" customHeight="false" outlineLevel="0" collapsed="false">
      <c r="A2322" s="5" t="s">
        <v>517</v>
      </c>
      <c r="B2322" s="5" t="s">
        <v>76</v>
      </c>
      <c r="C2322" s="5" t="n">
        <v>2021</v>
      </c>
      <c r="D2322" s="5" t="s">
        <v>77</v>
      </c>
      <c r="E2322" s="5" t="s">
        <v>46</v>
      </c>
      <c r="F2322" s="5" t="s">
        <v>40</v>
      </c>
      <c r="G2322" s="6" t="n">
        <v>603</v>
      </c>
      <c r="H2322" s="6" t="n">
        <v>88</v>
      </c>
      <c r="I2322" s="7" t="n">
        <f aca="false">(G2322-H2322)/G2322</f>
        <v>0.854063018242123</v>
      </c>
      <c r="J2322" s="15" t="n">
        <v>0.5311</v>
      </c>
      <c r="K2322" s="11" t="str">
        <f aca="false">IF(I2322&lt;J2322,"TAK","NIE")</f>
        <v>NIE</v>
      </c>
    </row>
    <row r="2323" customFormat="false" ht="15" hidden="false" customHeight="false" outlineLevel="0" collapsed="false">
      <c r="A2323" s="5" t="s">
        <v>518</v>
      </c>
      <c r="B2323" s="5" t="s">
        <v>76</v>
      </c>
      <c r="C2323" s="5" t="n">
        <v>2021</v>
      </c>
      <c r="D2323" s="5" t="s">
        <v>77</v>
      </c>
      <c r="E2323" s="5" t="s">
        <v>46</v>
      </c>
      <c r="F2323" s="5" t="s">
        <v>40</v>
      </c>
      <c r="G2323" s="6" t="n">
        <v>542</v>
      </c>
      <c r="H2323" s="6" t="n">
        <v>51</v>
      </c>
      <c r="I2323" s="7" t="n">
        <f aca="false">(G2323-H2323)/G2323</f>
        <v>0.905904059040591</v>
      </c>
      <c r="J2323" s="15" t="n">
        <v>0.5311</v>
      </c>
      <c r="K2323" s="11" t="str">
        <f aca="false">IF(I2323&lt;J2323,"TAK","NIE")</f>
        <v>NIE</v>
      </c>
    </row>
    <row r="2324" customFormat="false" ht="15" hidden="false" customHeight="false" outlineLevel="0" collapsed="false">
      <c r="A2324" s="5" t="s">
        <v>519</v>
      </c>
      <c r="B2324" s="5" t="s">
        <v>76</v>
      </c>
      <c r="C2324" s="5" t="n">
        <v>2021</v>
      </c>
      <c r="D2324" s="5" t="s">
        <v>77</v>
      </c>
      <c r="E2324" s="5" t="s">
        <v>46</v>
      </c>
      <c r="F2324" s="5" t="s">
        <v>40</v>
      </c>
      <c r="G2324" s="6" t="n">
        <v>603</v>
      </c>
      <c r="H2324" s="6" t="n">
        <v>213</v>
      </c>
      <c r="I2324" s="7" t="n">
        <f aca="false">(G2324-H2324)/G2324</f>
        <v>0.646766169154229</v>
      </c>
      <c r="J2324" s="15" t="n">
        <v>0.5311</v>
      </c>
      <c r="K2324" s="11" t="str">
        <f aca="false">IF(I2324&lt;J2324,"TAK","NIE")</f>
        <v>NIE</v>
      </c>
    </row>
    <row r="2325" customFormat="false" ht="15" hidden="false" customHeight="false" outlineLevel="0" collapsed="false">
      <c r="A2325" s="5" t="s">
        <v>520</v>
      </c>
      <c r="B2325" s="5" t="s">
        <v>76</v>
      </c>
      <c r="C2325" s="5" t="n">
        <v>2021</v>
      </c>
      <c r="D2325" s="5" t="s">
        <v>77</v>
      </c>
      <c r="E2325" s="5" t="s">
        <v>46</v>
      </c>
      <c r="F2325" s="5" t="s">
        <v>40</v>
      </c>
      <c r="G2325" s="6" t="n">
        <v>564</v>
      </c>
      <c r="H2325" s="6" t="n">
        <v>206</v>
      </c>
      <c r="I2325" s="7" t="n">
        <f aca="false">(G2325-H2325)/G2325</f>
        <v>0.634751773049645</v>
      </c>
      <c r="J2325" s="15" t="n">
        <v>0.5311</v>
      </c>
      <c r="K2325" s="11" t="str">
        <f aca="false">IF(I2325&lt;J2325,"TAK","NIE")</f>
        <v>NIE</v>
      </c>
    </row>
    <row r="2326" customFormat="false" ht="15" hidden="false" customHeight="false" outlineLevel="0" collapsed="false">
      <c r="A2326" s="5" t="s">
        <v>521</v>
      </c>
      <c r="B2326" s="5" t="s">
        <v>76</v>
      </c>
      <c r="C2326" s="5" t="n">
        <v>2021</v>
      </c>
      <c r="D2326" s="5" t="s">
        <v>77</v>
      </c>
      <c r="E2326" s="5" t="s">
        <v>46</v>
      </c>
      <c r="F2326" s="5" t="s">
        <v>40</v>
      </c>
      <c r="G2326" s="6" t="n">
        <v>566</v>
      </c>
      <c r="H2326" s="6" t="n">
        <v>319</v>
      </c>
      <c r="I2326" s="7" t="n">
        <f aca="false">(G2326-H2326)/G2326</f>
        <v>0.436395759717315</v>
      </c>
      <c r="J2326" s="15" t="n">
        <v>0.5311</v>
      </c>
      <c r="K2326" s="11" t="str">
        <f aca="false">IF(I2326&lt;J2326,"TAK","NIE")</f>
        <v>TAK</v>
      </c>
    </row>
    <row r="2327" customFormat="false" ht="15" hidden="false" customHeight="false" outlineLevel="0" collapsed="false">
      <c r="A2327" s="5" t="s">
        <v>522</v>
      </c>
      <c r="B2327" s="5" t="s">
        <v>76</v>
      </c>
      <c r="C2327" s="5" t="n">
        <v>2021</v>
      </c>
      <c r="D2327" s="5" t="s">
        <v>77</v>
      </c>
      <c r="E2327" s="5" t="s">
        <v>46</v>
      </c>
      <c r="F2327" s="5" t="s">
        <v>40</v>
      </c>
      <c r="G2327" s="6" t="n">
        <v>597</v>
      </c>
      <c r="H2327" s="6" t="n">
        <v>166</v>
      </c>
      <c r="I2327" s="7" t="n">
        <f aca="false">(G2327-H2327)/G2327</f>
        <v>0.721943048576214</v>
      </c>
      <c r="J2327" s="15" t="n">
        <v>0.5311</v>
      </c>
      <c r="K2327" s="11" t="str">
        <f aca="false">IF(I2327&lt;J2327,"TAK","NIE")</f>
        <v>NIE</v>
      </c>
    </row>
    <row r="2328" customFormat="false" ht="15" hidden="false" customHeight="false" outlineLevel="0" collapsed="false">
      <c r="A2328" s="5" t="s">
        <v>523</v>
      </c>
      <c r="B2328" s="5" t="s">
        <v>76</v>
      </c>
      <c r="C2328" s="5" t="n">
        <v>2021</v>
      </c>
      <c r="D2328" s="5" t="s">
        <v>77</v>
      </c>
      <c r="E2328" s="5" t="s">
        <v>46</v>
      </c>
      <c r="F2328" s="5" t="s">
        <v>40</v>
      </c>
      <c r="G2328" s="6" t="n">
        <v>603</v>
      </c>
      <c r="H2328" s="6" t="n">
        <v>129</v>
      </c>
      <c r="I2328" s="7" t="n">
        <f aca="false">(G2328-H2328)/G2328</f>
        <v>0.786069651741294</v>
      </c>
      <c r="J2328" s="15" t="n">
        <v>0.5311</v>
      </c>
      <c r="K2328" s="11" t="str">
        <f aca="false">IF(I2328&lt;J2328,"TAK","NIE")</f>
        <v>NIE</v>
      </c>
    </row>
    <row r="2329" customFormat="false" ht="15" hidden="false" customHeight="false" outlineLevel="0" collapsed="false">
      <c r="A2329" s="5" t="s">
        <v>524</v>
      </c>
      <c r="B2329" s="5" t="s">
        <v>76</v>
      </c>
      <c r="C2329" s="5" t="n">
        <v>2021</v>
      </c>
      <c r="D2329" s="5" t="s">
        <v>77</v>
      </c>
      <c r="E2329" s="5" t="s">
        <v>46</v>
      </c>
      <c r="F2329" s="5" t="s">
        <v>40</v>
      </c>
      <c r="G2329" s="6" t="n">
        <v>597</v>
      </c>
      <c r="H2329" s="6" t="n">
        <v>177</v>
      </c>
      <c r="I2329" s="7" t="n">
        <f aca="false">(G2329-H2329)/G2329</f>
        <v>0.703517587939699</v>
      </c>
      <c r="J2329" s="15" t="n">
        <v>0.5311</v>
      </c>
      <c r="K2329" s="11" t="str">
        <f aca="false">IF(I2329&lt;J2329,"TAK","NIE")</f>
        <v>NIE</v>
      </c>
    </row>
    <row r="2330" customFormat="false" ht="15" hidden="false" customHeight="false" outlineLevel="0" collapsed="false">
      <c r="A2330" s="5" t="s">
        <v>525</v>
      </c>
      <c r="B2330" s="5" t="s">
        <v>76</v>
      </c>
      <c r="C2330" s="5" t="n">
        <v>2021</v>
      </c>
      <c r="D2330" s="5" t="s">
        <v>77</v>
      </c>
      <c r="E2330" s="5" t="s">
        <v>46</v>
      </c>
      <c r="F2330" s="5" t="s">
        <v>40</v>
      </c>
      <c r="G2330" s="6" t="n">
        <v>603</v>
      </c>
      <c r="H2330" s="6" t="n">
        <v>221</v>
      </c>
      <c r="I2330" s="7" t="n">
        <f aca="false">(G2330-H2330)/G2330</f>
        <v>0.633499170812604</v>
      </c>
      <c r="J2330" s="15" t="n">
        <v>0.5311</v>
      </c>
      <c r="K2330" s="11" t="str">
        <f aca="false">IF(I2330&lt;J2330,"TAK","NIE")</f>
        <v>NIE</v>
      </c>
    </row>
    <row r="2331" customFormat="false" ht="15" hidden="false" customHeight="false" outlineLevel="0" collapsed="false">
      <c r="A2331" s="5" t="s">
        <v>526</v>
      </c>
      <c r="B2331" s="5" t="s">
        <v>76</v>
      </c>
      <c r="C2331" s="5" t="n">
        <v>2021</v>
      </c>
      <c r="D2331" s="5" t="s">
        <v>77</v>
      </c>
      <c r="E2331" s="5" t="s">
        <v>46</v>
      </c>
      <c r="F2331" s="5" t="s">
        <v>40</v>
      </c>
      <c r="G2331" s="6" t="n">
        <v>597</v>
      </c>
      <c r="H2331" s="6" t="n">
        <v>95</v>
      </c>
      <c r="I2331" s="7" t="n">
        <f aca="false">(G2331-H2331)/G2331</f>
        <v>0.840871021775544</v>
      </c>
      <c r="J2331" s="15" t="n">
        <v>0.5311</v>
      </c>
      <c r="K2331" s="11" t="str">
        <f aca="false">IF(I2331&lt;J2331,"TAK","NIE")</f>
        <v>NIE</v>
      </c>
    </row>
    <row r="2332" customFormat="false" ht="15" hidden="false" customHeight="false" outlineLevel="0" collapsed="false">
      <c r="A2332" s="5" t="s">
        <v>527</v>
      </c>
      <c r="B2332" s="5" t="s">
        <v>76</v>
      </c>
      <c r="C2332" s="5" t="n">
        <v>2021</v>
      </c>
      <c r="D2332" s="5" t="s">
        <v>77</v>
      </c>
      <c r="E2332" s="5" t="s">
        <v>46</v>
      </c>
      <c r="F2332" s="5" t="s">
        <v>40</v>
      </c>
      <c r="G2332" s="6" t="n">
        <v>603</v>
      </c>
      <c r="H2332" s="6" t="n">
        <v>144</v>
      </c>
      <c r="I2332" s="7" t="n">
        <f aca="false">(G2332-H2332)/G2332</f>
        <v>0.761194029850746</v>
      </c>
      <c r="J2332" s="15" t="n">
        <v>0.5311</v>
      </c>
      <c r="K2332" s="11" t="str">
        <f aca="false">IF(I2332&lt;J2332,"TAK","NIE")</f>
        <v>NIE</v>
      </c>
    </row>
    <row r="2333" customFormat="false" ht="15" hidden="false" customHeight="false" outlineLevel="0" collapsed="false">
      <c r="A2333" s="5" t="s">
        <v>528</v>
      </c>
      <c r="B2333" s="5" t="s">
        <v>76</v>
      </c>
      <c r="C2333" s="5" t="n">
        <v>2021</v>
      </c>
      <c r="D2333" s="5" t="s">
        <v>77</v>
      </c>
      <c r="E2333" s="5" t="s">
        <v>46</v>
      </c>
      <c r="F2333" s="5" t="s">
        <v>40</v>
      </c>
      <c r="G2333" s="6" t="n">
        <v>603</v>
      </c>
      <c r="H2333" s="6" t="n">
        <v>138</v>
      </c>
      <c r="I2333" s="7" t="n">
        <f aca="false">(G2333-H2333)/G2333</f>
        <v>0.771144278606965</v>
      </c>
      <c r="J2333" s="15" t="n">
        <v>0.5311</v>
      </c>
      <c r="K2333" s="11" t="str">
        <f aca="false">IF(I2333&lt;J2333,"TAK","NIE")</f>
        <v>NIE</v>
      </c>
    </row>
    <row r="2334" customFormat="false" ht="15" hidden="false" customHeight="false" outlineLevel="0" collapsed="false">
      <c r="A2334" s="5" t="s">
        <v>529</v>
      </c>
      <c r="B2334" s="5" t="s">
        <v>76</v>
      </c>
      <c r="C2334" s="5" t="n">
        <v>2021</v>
      </c>
      <c r="D2334" s="5" t="s">
        <v>77</v>
      </c>
      <c r="E2334" s="5" t="s">
        <v>46</v>
      </c>
      <c r="F2334" s="5" t="s">
        <v>40</v>
      </c>
      <c r="G2334" s="6" t="n">
        <v>603</v>
      </c>
      <c r="H2334" s="6" t="n">
        <v>120</v>
      </c>
      <c r="I2334" s="7" t="n">
        <f aca="false">(G2334-H2334)/G2334</f>
        <v>0.800995024875622</v>
      </c>
      <c r="J2334" s="15" t="n">
        <v>0.5311</v>
      </c>
      <c r="K2334" s="11" t="str">
        <f aca="false">IF(I2334&lt;J2334,"TAK","NIE")</f>
        <v>NIE</v>
      </c>
    </row>
    <row r="2335" customFormat="false" ht="15" hidden="false" customHeight="false" outlineLevel="0" collapsed="false">
      <c r="A2335" s="5" t="s">
        <v>530</v>
      </c>
      <c r="B2335" s="5" t="s">
        <v>76</v>
      </c>
      <c r="C2335" s="5" t="n">
        <v>2021</v>
      </c>
      <c r="D2335" s="5" t="s">
        <v>77</v>
      </c>
      <c r="E2335" s="5" t="s">
        <v>46</v>
      </c>
      <c r="F2335" s="5" t="s">
        <v>40</v>
      </c>
      <c r="G2335" s="6" t="n">
        <v>465</v>
      </c>
      <c r="H2335" s="6" t="n">
        <v>88</v>
      </c>
      <c r="I2335" s="7" t="n">
        <f aca="false">(G2335-H2335)/G2335</f>
        <v>0.810752688172043</v>
      </c>
      <c r="J2335" s="15" t="n">
        <v>0.5311</v>
      </c>
      <c r="K2335" s="11" t="str">
        <f aca="false">IF(I2335&lt;J2335,"TAK","NIE")</f>
        <v>NIE</v>
      </c>
    </row>
    <row r="2336" customFormat="false" ht="15" hidden="false" customHeight="false" outlineLevel="0" collapsed="false">
      <c r="A2336" s="5" t="s">
        <v>531</v>
      </c>
      <c r="B2336" s="5" t="s">
        <v>76</v>
      </c>
      <c r="C2336" s="5" t="n">
        <v>2021</v>
      </c>
      <c r="D2336" s="5" t="s">
        <v>77</v>
      </c>
      <c r="E2336" s="5" t="s">
        <v>46</v>
      </c>
      <c r="F2336" s="5" t="s">
        <v>40</v>
      </c>
      <c r="G2336" s="6" t="n">
        <v>570</v>
      </c>
      <c r="H2336" s="6" t="n">
        <v>110</v>
      </c>
      <c r="I2336" s="7" t="n">
        <f aca="false">(G2336-H2336)/G2336</f>
        <v>0.807017543859649</v>
      </c>
      <c r="J2336" s="15" t="n">
        <v>0.5311</v>
      </c>
      <c r="K2336" s="11" t="str">
        <f aca="false">IF(I2336&lt;J2336,"TAK","NIE")</f>
        <v>NIE</v>
      </c>
    </row>
    <row r="2337" customFormat="false" ht="15" hidden="false" customHeight="false" outlineLevel="0" collapsed="false">
      <c r="A2337" s="5" t="s">
        <v>532</v>
      </c>
      <c r="B2337" s="5" t="s">
        <v>76</v>
      </c>
      <c r="C2337" s="5" t="n">
        <v>2021</v>
      </c>
      <c r="D2337" s="5" t="s">
        <v>77</v>
      </c>
      <c r="E2337" s="5" t="s">
        <v>46</v>
      </c>
      <c r="F2337" s="5" t="s">
        <v>40</v>
      </c>
      <c r="G2337" s="6" t="n">
        <v>564</v>
      </c>
      <c r="H2337" s="6" t="n">
        <v>140</v>
      </c>
      <c r="I2337" s="7" t="n">
        <f aca="false">(G2337-H2337)/G2337</f>
        <v>0.75177304964539</v>
      </c>
      <c r="J2337" s="15" t="n">
        <v>0.5311</v>
      </c>
      <c r="K2337" s="11" t="str">
        <f aca="false">IF(I2337&lt;J2337,"TAK","NIE")</f>
        <v>NIE</v>
      </c>
    </row>
    <row r="2338" customFormat="false" ht="15" hidden="false" customHeight="false" outlineLevel="0" collapsed="false">
      <c r="A2338" s="5" t="s">
        <v>533</v>
      </c>
      <c r="B2338" s="5" t="s">
        <v>76</v>
      </c>
      <c r="C2338" s="5" t="n">
        <v>2021</v>
      </c>
      <c r="D2338" s="5" t="s">
        <v>77</v>
      </c>
      <c r="E2338" s="5" t="s">
        <v>46</v>
      </c>
      <c r="F2338" s="5" t="s">
        <v>40</v>
      </c>
      <c r="G2338" s="6" t="n">
        <v>599</v>
      </c>
      <c r="H2338" s="6" t="n">
        <v>129</v>
      </c>
      <c r="I2338" s="7" t="n">
        <f aca="false">(G2338-H2338)/G2338</f>
        <v>0.784641068447412</v>
      </c>
      <c r="J2338" s="15" t="n">
        <v>0.5311</v>
      </c>
      <c r="K2338" s="11" t="str">
        <f aca="false">IF(I2338&lt;J2338,"TAK","NIE")</f>
        <v>NIE</v>
      </c>
    </row>
    <row r="2339" customFormat="false" ht="15" hidden="false" customHeight="false" outlineLevel="0" collapsed="false">
      <c r="A2339" s="5" t="s">
        <v>534</v>
      </c>
      <c r="B2339" s="5" t="s">
        <v>76</v>
      </c>
      <c r="C2339" s="5" t="n">
        <v>2021</v>
      </c>
      <c r="D2339" s="5" t="s">
        <v>77</v>
      </c>
      <c r="E2339" s="5" t="s">
        <v>46</v>
      </c>
      <c r="F2339" s="5" t="s">
        <v>40</v>
      </c>
      <c r="G2339" s="6" t="n">
        <v>603</v>
      </c>
      <c r="H2339" s="6" t="n">
        <v>78</v>
      </c>
      <c r="I2339" s="7" t="n">
        <f aca="false">(G2339-H2339)/G2339</f>
        <v>0.870646766169154</v>
      </c>
      <c r="J2339" s="15" t="n">
        <v>0.5311</v>
      </c>
      <c r="K2339" s="11" t="str">
        <f aca="false">IF(I2339&lt;J2339,"TAK","NIE")</f>
        <v>NIE</v>
      </c>
    </row>
    <row r="2340" customFormat="false" ht="15" hidden="false" customHeight="false" outlineLevel="0" collapsed="false">
      <c r="A2340" s="5" t="s">
        <v>511</v>
      </c>
      <c r="B2340" s="5" t="s">
        <v>78</v>
      </c>
      <c r="C2340" s="5" t="n">
        <v>2021</v>
      </c>
      <c r="D2340" s="5" t="s">
        <v>77</v>
      </c>
      <c r="E2340" s="5" t="s">
        <v>55</v>
      </c>
      <c r="F2340" s="5" t="s">
        <v>39</v>
      </c>
      <c r="G2340" s="6" t="n">
        <v>740</v>
      </c>
      <c r="H2340" s="6" t="n">
        <v>116</v>
      </c>
      <c r="I2340" s="7" t="n">
        <f aca="false">(G2340-H2340)/G2340</f>
        <v>0.843243243243243</v>
      </c>
      <c r="J2340" s="15" t="n">
        <v>0.6373</v>
      </c>
      <c r="K2340" s="11" t="str">
        <f aca="false">IF(I2340&lt;J2340,"TAK","NIE")</f>
        <v>NIE</v>
      </c>
    </row>
    <row r="2341" customFormat="false" ht="15" hidden="false" customHeight="false" outlineLevel="0" collapsed="false">
      <c r="A2341" s="5" t="s">
        <v>512</v>
      </c>
      <c r="B2341" s="5" t="s">
        <v>78</v>
      </c>
      <c r="C2341" s="5" t="n">
        <v>2021</v>
      </c>
      <c r="D2341" s="5" t="s">
        <v>77</v>
      </c>
      <c r="E2341" s="5" t="s">
        <v>55</v>
      </c>
      <c r="F2341" s="5" t="s">
        <v>39</v>
      </c>
      <c r="G2341" s="6" t="n">
        <v>775</v>
      </c>
      <c r="H2341" s="6" t="n">
        <v>126</v>
      </c>
      <c r="I2341" s="7" t="n">
        <f aca="false">(G2341-H2341)/G2341</f>
        <v>0.83741935483871</v>
      </c>
      <c r="J2341" s="15" t="n">
        <v>0.6373</v>
      </c>
      <c r="K2341" s="11" t="str">
        <f aca="false">IF(I2341&lt;J2341,"TAK","NIE")</f>
        <v>NIE</v>
      </c>
    </row>
    <row r="2342" customFormat="false" ht="15" hidden="false" customHeight="false" outlineLevel="0" collapsed="false">
      <c r="A2342" s="5" t="s">
        <v>513</v>
      </c>
      <c r="B2342" s="5" t="s">
        <v>78</v>
      </c>
      <c r="C2342" s="5" t="n">
        <v>2021</v>
      </c>
      <c r="D2342" s="5" t="s">
        <v>77</v>
      </c>
      <c r="E2342" s="5" t="s">
        <v>55</v>
      </c>
      <c r="F2342" s="5" t="s">
        <v>39</v>
      </c>
      <c r="G2342" s="6" t="n">
        <v>775</v>
      </c>
      <c r="H2342" s="6" t="n">
        <v>270</v>
      </c>
      <c r="I2342" s="7" t="n">
        <f aca="false">(G2342-H2342)/G2342</f>
        <v>0.651612903225807</v>
      </c>
      <c r="J2342" s="15" t="n">
        <v>0.6373</v>
      </c>
      <c r="K2342" s="11" t="str">
        <f aca="false">IF(I2342&lt;J2342,"TAK","NIE")</f>
        <v>NIE</v>
      </c>
    </row>
    <row r="2343" customFormat="false" ht="15" hidden="false" customHeight="false" outlineLevel="0" collapsed="false">
      <c r="A2343" s="5" t="s">
        <v>514</v>
      </c>
      <c r="B2343" s="5" t="s">
        <v>78</v>
      </c>
      <c r="C2343" s="5" t="n">
        <v>2021</v>
      </c>
      <c r="D2343" s="5" t="s">
        <v>77</v>
      </c>
      <c r="E2343" s="5" t="s">
        <v>55</v>
      </c>
      <c r="F2343" s="5" t="s">
        <v>39</v>
      </c>
      <c r="G2343" s="6" t="n">
        <v>775</v>
      </c>
      <c r="H2343" s="6" t="n">
        <v>102</v>
      </c>
      <c r="I2343" s="7" t="n">
        <f aca="false">(G2343-H2343)/G2343</f>
        <v>0.868387096774194</v>
      </c>
      <c r="J2343" s="15" t="n">
        <v>0.6373</v>
      </c>
      <c r="K2343" s="11" t="str">
        <f aca="false">IF(I2343&lt;J2343,"TAK","NIE")</f>
        <v>NIE</v>
      </c>
    </row>
    <row r="2344" customFormat="false" ht="15" hidden="false" customHeight="false" outlineLevel="0" collapsed="false">
      <c r="A2344" s="5" t="s">
        <v>515</v>
      </c>
      <c r="B2344" s="5" t="s">
        <v>78</v>
      </c>
      <c r="C2344" s="5" t="n">
        <v>2021</v>
      </c>
      <c r="D2344" s="5" t="s">
        <v>77</v>
      </c>
      <c r="E2344" s="5" t="s">
        <v>55</v>
      </c>
      <c r="F2344" s="5" t="s">
        <v>39</v>
      </c>
      <c r="G2344" s="6" t="n">
        <v>776</v>
      </c>
      <c r="H2344" s="6" t="n">
        <v>41</v>
      </c>
      <c r="I2344" s="7" t="n">
        <f aca="false">(G2344-H2344)/G2344</f>
        <v>0.947164948453608</v>
      </c>
      <c r="J2344" s="15" t="n">
        <v>0.6373</v>
      </c>
      <c r="K2344" s="11" t="str">
        <f aca="false">IF(I2344&lt;J2344,"TAK","NIE")</f>
        <v>NIE</v>
      </c>
    </row>
    <row r="2345" customFormat="false" ht="15" hidden="false" customHeight="false" outlineLevel="0" collapsed="false">
      <c r="A2345" s="5" t="s">
        <v>516</v>
      </c>
      <c r="B2345" s="5" t="s">
        <v>78</v>
      </c>
      <c r="C2345" s="5" t="n">
        <v>2021</v>
      </c>
      <c r="D2345" s="5" t="s">
        <v>77</v>
      </c>
      <c r="E2345" s="5" t="s">
        <v>55</v>
      </c>
      <c r="F2345" s="5" t="s">
        <v>39</v>
      </c>
      <c r="G2345" s="6" t="n">
        <v>776</v>
      </c>
      <c r="H2345" s="6" t="n">
        <v>41</v>
      </c>
      <c r="I2345" s="7" t="n">
        <f aca="false">(G2345-H2345)/G2345</f>
        <v>0.947164948453608</v>
      </c>
      <c r="J2345" s="15" t="n">
        <v>0.6373</v>
      </c>
      <c r="K2345" s="11" t="str">
        <f aca="false">IF(I2345&lt;J2345,"TAK","NIE")</f>
        <v>NIE</v>
      </c>
    </row>
    <row r="2346" customFormat="false" ht="15" hidden="false" customHeight="false" outlineLevel="0" collapsed="false">
      <c r="A2346" s="5" t="s">
        <v>517</v>
      </c>
      <c r="B2346" s="5" t="s">
        <v>78</v>
      </c>
      <c r="C2346" s="5" t="n">
        <v>2021</v>
      </c>
      <c r="D2346" s="5" t="s">
        <v>77</v>
      </c>
      <c r="E2346" s="5" t="s">
        <v>55</v>
      </c>
      <c r="F2346" s="5" t="s">
        <v>39</v>
      </c>
      <c r="G2346" s="6" t="n">
        <v>775</v>
      </c>
      <c r="H2346" s="6" t="n">
        <v>66</v>
      </c>
      <c r="I2346" s="7" t="n">
        <f aca="false">(G2346-H2346)/G2346</f>
        <v>0.914838709677419</v>
      </c>
      <c r="J2346" s="15" t="n">
        <v>0.6373</v>
      </c>
      <c r="K2346" s="11" t="str">
        <f aca="false">IF(I2346&lt;J2346,"TAK","NIE")</f>
        <v>NIE</v>
      </c>
    </row>
    <row r="2347" customFormat="false" ht="15" hidden="false" customHeight="false" outlineLevel="0" collapsed="false">
      <c r="A2347" s="5" t="s">
        <v>518</v>
      </c>
      <c r="B2347" s="5" t="s">
        <v>78</v>
      </c>
      <c r="C2347" s="5" t="n">
        <v>2021</v>
      </c>
      <c r="D2347" s="5" t="s">
        <v>77</v>
      </c>
      <c r="E2347" s="5" t="s">
        <v>55</v>
      </c>
      <c r="F2347" s="5" t="s">
        <v>39</v>
      </c>
      <c r="G2347" s="6" t="n">
        <v>703</v>
      </c>
      <c r="H2347" s="6" t="n">
        <v>52</v>
      </c>
      <c r="I2347" s="7" t="n">
        <f aca="false">(G2347-H2347)/G2347</f>
        <v>0.926031294452347</v>
      </c>
      <c r="J2347" s="15" t="n">
        <v>0.6373</v>
      </c>
      <c r="K2347" s="11" t="str">
        <f aca="false">IF(I2347&lt;J2347,"TAK","NIE")</f>
        <v>NIE</v>
      </c>
    </row>
    <row r="2348" customFormat="false" ht="15" hidden="false" customHeight="false" outlineLevel="0" collapsed="false">
      <c r="A2348" s="5" t="s">
        <v>519</v>
      </c>
      <c r="B2348" s="5" t="s">
        <v>78</v>
      </c>
      <c r="C2348" s="5" t="n">
        <v>2021</v>
      </c>
      <c r="D2348" s="5" t="s">
        <v>77</v>
      </c>
      <c r="E2348" s="5" t="s">
        <v>55</v>
      </c>
      <c r="F2348" s="5" t="s">
        <v>39</v>
      </c>
      <c r="G2348" s="6" t="n">
        <v>775</v>
      </c>
      <c r="H2348" s="6" t="n">
        <v>150</v>
      </c>
      <c r="I2348" s="7" t="n">
        <f aca="false">(G2348-H2348)/G2348</f>
        <v>0.806451612903226</v>
      </c>
      <c r="J2348" s="15" t="n">
        <v>0.6373</v>
      </c>
      <c r="K2348" s="11" t="str">
        <f aca="false">IF(I2348&lt;J2348,"TAK","NIE")</f>
        <v>NIE</v>
      </c>
    </row>
    <row r="2349" customFormat="false" ht="15" hidden="false" customHeight="false" outlineLevel="0" collapsed="false">
      <c r="A2349" s="5" t="s">
        <v>520</v>
      </c>
      <c r="B2349" s="5" t="s">
        <v>78</v>
      </c>
      <c r="C2349" s="5" t="n">
        <v>2021</v>
      </c>
      <c r="D2349" s="5" t="s">
        <v>77</v>
      </c>
      <c r="E2349" s="5" t="s">
        <v>55</v>
      </c>
      <c r="F2349" s="5" t="s">
        <v>39</v>
      </c>
      <c r="G2349" s="6" t="n">
        <v>737</v>
      </c>
      <c r="H2349" s="6" t="n">
        <v>185</v>
      </c>
      <c r="I2349" s="7" t="n">
        <f aca="false">(G2349-H2349)/G2349</f>
        <v>0.74898236092266</v>
      </c>
      <c r="J2349" s="15" t="n">
        <v>0.6373</v>
      </c>
      <c r="K2349" s="11" t="str">
        <f aca="false">IF(I2349&lt;J2349,"TAK","NIE")</f>
        <v>NIE</v>
      </c>
    </row>
    <row r="2350" customFormat="false" ht="15" hidden="false" customHeight="false" outlineLevel="0" collapsed="false">
      <c r="A2350" s="5" t="s">
        <v>522</v>
      </c>
      <c r="B2350" s="5" t="s">
        <v>78</v>
      </c>
      <c r="C2350" s="5" t="n">
        <v>2021</v>
      </c>
      <c r="D2350" s="5" t="s">
        <v>77</v>
      </c>
      <c r="E2350" s="5" t="s">
        <v>55</v>
      </c>
      <c r="F2350" s="5" t="s">
        <v>39</v>
      </c>
      <c r="G2350" s="6" t="n">
        <v>776</v>
      </c>
      <c r="H2350" s="6" t="n">
        <v>67</v>
      </c>
      <c r="I2350" s="7" t="n">
        <f aca="false">(G2350-H2350)/G2350</f>
        <v>0.913659793814433</v>
      </c>
      <c r="J2350" s="15" t="n">
        <v>0.6373</v>
      </c>
      <c r="K2350" s="11" t="str">
        <f aca="false">IF(I2350&lt;J2350,"TAK","NIE")</f>
        <v>NIE</v>
      </c>
    </row>
    <row r="2351" customFormat="false" ht="15" hidden="false" customHeight="false" outlineLevel="0" collapsed="false">
      <c r="A2351" s="5" t="s">
        <v>523</v>
      </c>
      <c r="B2351" s="5" t="s">
        <v>78</v>
      </c>
      <c r="C2351" s="5" t="n">
        <v>2021</v>
      </c>
      <c r="D2351" s="5" t="s">
        <v>77</v>
      </c>
      <c r="E2351" s="5" t="s">
        <v>55</v>
      </c>
      <c r="F2351" s="5" t="s">
        <v>39</v>
      </c>
      <c r="G2351" s="6" t="n">
        <v>775</v>
      </c>
      <c r="H2351" s="6" t="n">
        <v>54</v>
      </c>
      <c r="I2351" s="7" t="n">
        <f aca="false">(G2351-H2351)/G2351</f>
        <v>0.930322580645161</v>
      </c>
      <c r="J2351" s="15" t="n">
        <v>0.6373</v>
      </c>
      <c r="K2351" s="11" t="str">
        <f aca="false">IF(I2351&lt;J2351,"TAK","NIE")</f>
        <v>NIE</v>
      </c>
    </row>
    <row r="2352" customFormat="false" ht="15" hidden="false" customHeight="false" outlineLevel="0" collapsed="false">
      <c r="A2352" s="5" t="s">
        <v>524</v>
      </c>
      <c r="B2352" s="5" t="s">
        <v>78</v>
      </c>
      <c r="C2352" s="5" t="n">
        <v>2021</v>
      </c>
      <c r="D2352" s="5" t="s">
        <v>77</v>
      </c>
      <c r="E2352" s="5" t="s">
        <v>55</v>
      </c>
      <c r="F2352" s="5" t="s">
        <v>39</v>
      </c>
      <c r="G2352" s="6" t="n">
        <v>776</v>
      </c>
      <c r="H2352" s="6" t="n">
        <v>194</v>
      </c>
      <c r="I2352" s="7" t="n">
        <f aca="false">(G2352-H2352)/G2352</f>
        <v>0.75</v>
      </c>
      <c r="J2352" s="15" t="n">
        <v>0.6373</v>
      </c>
      <c r="K2352" s="11" t="str">
        <f aca="false">IF(I2352&lt;J2352,"TAK","NIE")</f>
        <v>NIE</v>
      </c>
    </row>
    <row r="2353" customFormat="false" ht="15" hidden="false" customHeight="false" outlineLevel="0" collapsed="false">
      <c r="A2353" s="5" t="s">
        <v>525</v>
      </c>
      <c r="B2353" s="5" t="s">
        <v>78</v>
      </c>
      <c r="C2353" s="5" t="n">
        <v>2021</v>
      </c>
      <c r="D2353" s="5" t="s">
        <v>77</v>
      </c>
      <c r="E2353" s="5" t="s">
        <v>55</v>
      </c>
      <c r="F2353" s="5" t="s">
        <v>39</v>
      </c>
      <c r="G2353" s="6" t="n">
        <v>775</v>
      </c>
      <c r="H2353" s="6" t="n">
        <v>160</v>
      </c>
      <c r="I2353" s="7" t="n">
        <f aca="false">(G2353-H2353)/G2353</f>
        <v>0.793548387096774</v>
      </c>
      <c r="J2353" s="15" t="n">
        <v>0.6373</v>
      </c>
      <c r="K2353" s="11" t="str">
        <f aca="false">IF(I2353&lt;J2353,"TAK","NIE")</f>
        <v>NIE</v>
      </c>
    </row>
    <row r="2354" customFormat="false" ht="15" hidden="false" customHeight="false" outlineLevel="0" collapsed="false">
      <c r="A2354" s="5" t="s">
        <v>526</v>
      </c>
      <c r="B2354" s="5" t="s">
        <v>78</v>
      </c>
      <c r="C2354" s="5" t="n">
        <v>2021</v>
      </c>
      <c r="D2354" s="5" t="s">
        <v>77</v>
      </c>
      <c r="E2354" s="5" t="s">
        <v>55</v>
      </c>
      <c r="F2354" s="5" t="s">
        <v>39</v>
      </c>
      <c r="G2354" s="6" t="n">
        <v>776</v>
      </c>
      <c r="H2354" s="6" t="n">
        <v>24</v>
      </c>
      <c r="I2354" s="7" t="n">
        <f aca="false">(G2354-H2354)/G2354</f>
        <v>0.969072164948454</v>
      </c>
      <c r="J2354" s="15" t="n">
        <v>0.6373</v>
      </c>
      <c r="K2354" s="11" t="str">
        <f aca="false">IF(I2354&lt;J2354,"TAK","NIE")</f>
        <v>NIE</v>
      </c>
    </row>
    <row r="2355" customFormat="false" ht="15" hidden="false" customHeight="false" outlineLevel="0" collapsed="false">
      <c r="A2355" s="5" t="s">
        <v>527</v>
      </c>
      <c r="B2355" s="5" t="s">
        <v>78</v>
      </c>
      <c r="C2355" s="5" t="n">
        <v>2021</v>
      </c>
      <c r="D2355" s="5" t="s">
        <v>77</v>
      </c>
      <c r="E2355" s="5" t="s">
        <v>55</v>
      </c>
      <c r="F2355" s="5" t="s">
        <v>39</v>
      </c>
      <c r="G2355" s="6" t="n">
        <v>775</v>
      </c>
      <c r="H2355" s="6" t="n">
        <v>172</v>
      </c>
      <c r="I2355" s="7" t="n">
        <f aca="false">(G2355-H2355)/G2355</f>
        <v>0.778064516129032</v>
      </c>
      <c r="J2355" s="15" t="n">
        <v>0.6373</v>
      </c>
      <c r="K2355" s="11" t="str">
        <f aca="false">IF(I2355&lt;J2355,"TAK","NIE")</f>
        <v>NIE</v>
      </c>
    </row>
    <row r="2356" customFormat="false" ht="15" hidden="false" customHeight="false" outlineLevel="0" collapsed="false">
      <c r="A2356" s="5" t="s">
        <v>528</v>
      </c>
      <c r="B2356" s="5" t="s">
        <v>78</v>
      </c>
      <c r="C2356" s="5" t="n">
        <v>2021</v>
      </c>
      <c r="D2356" s="5" t="s">
        <v>77</v>
      </c>
      <c r="E2356" s="5" t="s">
        <v>55</v>
      </c>
      <c r="F2356" s="5" t="s">
        <v>39</v>
      </c>
      <c r="G2356" s="6" t="n">
        <v>775</v>
      </c>
      <c r="H2356" s="6" t="n">
        <v>90</v>
      </c>
      <c r="I2356" s="7" t="n">
        <f aca="false">(G2356-H2356)/G2356</f>
        <v>0.883870967741936</v>
      </c>
      <c r="J2356" s="15" t="n">
        <v>0.6373</v>
      </c>
      <c r="K2356" s="11" t="str">
        <f aca="false">IF(I2356&lt;J2356,"TAK","NIE")</f>
        <v>NIE</v>
      </c>
    </row>
    <row r="2357" customFormat="false" ht="15" hidden="false" customHeight="false" outlineLevel="0" collapsed="false">
      <c r="A2357" s="5" t="s">
        <v>529</v>
      </c>
      <c r="B2357" s="5" t="s">
        <v>78</v>
      </c>
      <c r="C2357" s="5" t="n">
        <v>2021</v>
      </c>
      <c r="D2357" s="5" t="s">
        <v>77</v>
      </c>
      <c r="E2357" s="5" t="s">
        <v>55</v>
      </c>
      <c r="F2357" s="5" t="s">
        <v>39</v>
      </c>
      <c r="G2357" s="6" t="n">
        <v>775</v>
      </c>
      <c r="H2357" s="6" t="n">
        <v>139</v>
      </c>
      <c r="I2357" s="7" t="n">
        <f aca="false">(G2357-H2357)/G2357</f>
        <v>0.820645161290323</v>
      </c>
      <c r="J2357" s="15" t="n">
        <v>0.6373</v>
      </c>
      <c r="K2357" s="11" t="str">
        <f aca="false">IF(I2357&lt;J2357,"TAK","NIE")</f>
        <v>NIE</v>
      </c>
    </row>
    <row r="2358" customFormat="false" ht="15" hidden="false" customHeight="false" outlineLevel="0" collapsed="false">
      <c r="A2358" s="5" t="s">
        <v>530</v>
      </c>
      <c r="B2358" s="5" t="s">
        <v>78</v>
      </c>
      <c r="C2358" s="5" t="n">
        <v>2021</v>
      </c>
      <c r="D2358" s="5" t="s">
        <v>77</v>
      </c>
      <c r="E2358" s="5" t="s">
        <v>55</v>
      </c>
      <c r="F2358" s="5" t="s">
        <v>39</v>
      </c>
      <c r="G2358" s="6" t="n">
        <v>617</v>
      </c>
      <c r="H2358" s="6" t="n">
        <v>96</v>
      </c>
      <c r="I2358" s="7" t="n">
        <f aca="false">(G2358-H2358)/G2358</f>
        <v>0.844408427876823</v>
      </c>
      <c r="J2358" s="15" t="n">
        <v>0.6373</v>
      </c>
      <c r="K2358" s="11" t="str">
        <f aca="false">IF(I2358&lt;J2358,"TAK","NIE")</f>
        <v>NIE</v>
      </c>
    </row>
    <row r="2359" customFormat="false" ht="15" hidden="false" customHeight="false" outlineLevel="0" collapsed="false">
      <c r="A2359" s="5" t="s">
        <v>531</v>
      </c>
      <c r="B2359" s="5" t="s">
        <v>78</v>
      </c>
      <c r="C2359" s="5" t="n">
        <v>2021</v>
      </c>
      <c r="D2359" s="5" t="s">
        <v>77</v>
      </c>
      <c r="E2359" s="5" t="s">
        <v>55</v>
      </c>
      <c r="F2359" s="5" t="s">
        <v>39</v>
      </c>
      <c r="G2359" s="6" t="n">
        <v>735</v>
      </c>
      <c r="H2359" s="6" t="n">
        <v>28</v>
      </c>
      <c r="I2359" s="7" t="n">
        <f aca="false">(G2359-H2359)/G2359</f>
        <v>0.961904761904762</v>
      </c>
      <c r="J2359" s="15" t="n">
        <v>0.6373</v>
      </c>
      <c r="K2359" s="11" t="str">
        <f aca="false">IF(I2359&lt;J2359,"TAK","NIE")</f>
        <v>NIE</v>
      </c>
    </row>
    <row r="2360" customFormat="false" ht="15" hidden="false" customHeight="false" outlineLevel="0" collapsed="false">
      <c r="A2360" s="5" t="s">
        <v>532</v>
      </c>
      <c r="B2360" s="5" t="s">
        <v>78</v>
      </c>
      <c r="C2360" s="5" t="n">
        <v>2021</v>
      </c>
      <c r="D2360" s="5" t="s">
        <v>77</v>
      </c>
      <c r="E2360" s="5" t="s">
        <v>55</v>
      </c>
      <c r="F2360" s="5" t="s">
        <v>39</v>
      </c>
      <c r="G2360" s="6" t="n">
        <v>740</v>
      </c>
      <c r="H2360" s="6" t="n">
        <v>139</v>
      </c>
      <c r="I2360" s="7" t="n">
        <f aca="false">(G2360-H2360)/G2360</f>
        <v>0.812162162162162</v>
      </c>
      <c r="J2360" s="15" t="n">
        <v>0.6373</v>
      </c>
      <c r="K2360" s="11" t="str">
        <f aca="false">IF(I2360&lt;J2360,"TAK","NIE")</f>
        <v>NIE</v>
      </c>
    </row>
    <row r="2361" customFormat="false" ht="15" hidden="false" customHeight="false" outlineLevel="0" collapsed="false">
      <c r="A2361" s="5" t="s">
        <v>533</v>
      </c>
      <c r="B2361" s="5" t="s">
        <v>78</v>
      </c>
      <c r="C2361" s="5" t="n">
        <v>2021</v>
      </c>
      <c r="D2361" s="5" t="s">
        <v>77</v>
      </c>
      <c r="E2361" s="5" t="s">
        <v>55</v>
      </c>
      <c r="F2361" s="5" t="s">
        <v>39</v>
      </c>
      <c r="G2361" s="6" t="n">
        <v>776</v>
      </c>
      <c r="H2361" s="6" t="n">
        <v>126</v>
      </c>
      <c r="I2361" s="7" t="n">
        <f aca="false">(G2361-H2361)/G2361</f>
        <v>0.837628865979382</v>
      </c>
      <c r="J2361" s="15" t="n">
        <v>0.6373</v>
      </c>
      <c r="K2361" s="11" t="str">
        <f aca="false">IF(I2361&lt;J2361,"TAK","NIE")</f>
        <v>NIE</v>
      </c>
    </row>
    <row r="2362" customFormat="false" ht="15" hidden="false" customHeight="false" outlineLevel="0" collapsed="false">
      <c r="A2362" s="5" t="s">
        <v>534</v>
      </c>
      <c r="B2362" s="5" t="s">
        <v>78</v>
      </c>
      <c r="C2362" s="5" t="n">
        <v>2021</v>
      </c>
      <c r="D2362" s="5" t="s">
        <v>77</v>
      </c>
      <c r="E2362" s="5" t="s">
        <v>55</v>
      </c>
      <c r="F2362" s="5" t="s">
        <v>39</v>
      </c>
      <c r="G2362" s="6" t="n">
        <v>775</v>
      </c>
      <c r="H2362" s="6" t="n">
        <v>61</v>
      </c>
      <c r="I2362" s="7" t="n">
        <f aca="false">(G2362-H2362)/G2362</f>
        <v>0.921290322580645</v>
      </c>
      <c r="J2362" s="15" t="n">
        <v>0.6373</v>
      </c>
      <c r="K2362" s="11" t="str">
        <f aca="false">IF(I2362&lt;J2362,"TAK","NIE")</f>
        <v>NIE</v>
      </c>
    </row>
    <row r="2363" customFormat="false" ht="15" hidden="false" customHeight="false" outlineLevel="0" collapsed="false">
      <c r="A2363" s="5" t="s">
        <v>511</v>
      </c>
      <c r="B2363" s="5" t="s">
        <v>78</v>
      </c>
      <c r="C2363" s="5" t="n">
        <v>2021</v>
      </c>
      <c r="D2363" s="5" t="s">
        <v>77</v>
      </c>
      <c r="E2363" s="5" t="s">
        <v>55</v>
      </c>
      <c r="F2363" s="5" t="s">
        <v>40</v>
      </c>
      <c r="G2363" s="6" t="n">
        <v>385</v>
      </c>
      <c r="H2363" s="6" t="n">
        <v>70</v>
      </c>
      <c r="I2363" s="7" t="n">
        <f aca="false">(G2363-H2363)/G2363</f>
        <v>0.818181818181818</v>
      </c>
      <c r="J2363" s="15" t="n">
        <v>0.477</v>
      </c>
      <c r="K2363" s="11" t="str">
        <f aca="false">IF(I2363&lt;J2363,"TAK","NIE")</f>
        <v>NIE</v>
      </c>
    </row>
    <row r="2364" customFormat="false" ht="15" hidden="false" customHeight="false" outlineLevel="0" collapsed="false">
      <c r="A2364" s="5" t="s">
        <v>512</v>
      </c>
      <c r="B2364" s="5" t="s">
        <v>78</v>
      </c>
      <c r="C2364" s="5" t="n">
        <v>2021</v>
      </c>
      <c r="D2364" s="5" t="s">
        <v>77</v>
      </c>
      <c r="E2364" s="5" t="s">
        <v>55</v>
      </c>
      <c r="F2364" s="5" t="s">
        <v>40</v>
      </c>
      <c r="G2364" s="6" t="n">
        <v>404</v>
      </c>
      <c r="H2364" s="6" t="n">
        <v>156</v>
      </c>
      <c r="I2364" s="7" t="n">
        <f aca="false">(G2364-H2364)/G2364</f>
        <v>0.613861386138614</v>
      </c>
      <c r="J2364" s="15" t="n">
        <v>0.477</v>
      </c>
      <c r="K2364" s="11" t="str">
        <f aca="false">IF(I2364&lt;J2364,"TAK","NIE")</f>
        <v>NIE</v>
      </c>
    </row>
    <row r="2365" customFormat="false" ht="15" hidden="false" customHeight="false" outlineLevel="0" collapsed="false">
      <c r="A2365" s="5" t="s">
        <v>513</v>
      </c>
      <c r="B2365" s="5" t="s">
        <v>78</v>
      </c>
      <c r="C2365" s="5" t="n">
        <v>2021</v>
      </c>
      <c r="D2365" s="5" t="s">
        <v>77</v>
      </c>
      <c r="E2365" s="5" t="s">
        <v>55</v>
      </c>
      <c r="F2365" s="5" t="s">
        <v>40</v>
      </c>
      <c r="G2365" s="6" t="n">
        <v>404</v>
      </c>
      <c r="H2365" s="6" t="n">
        <v>135</v>
      </c>
      <c r="I2365" s="7" t="n">
        <f aca="false">(G2365-H2365)/G2365</f>
        <v>0.665841584158416</v>
      </c>
      <c r="J2365" s="15" t="n">
        <v>0.477</v>
      </c>
      <c r="K2365" s="11" t="str">
        <f aca="false">IF(I2365&lt;J2365,"TAK","NIE")</f>
        <v>NIE</v>
      </c>
    </row>
    <row r="2366" customFormat="false" ht="15" hidden="false" customHeight="false" outlineLevel="0" collapsed="false">
      <c r="A2366" s="5" t="s">
        <v>514</v>
      </c>
      <c r="B2366" s="5" t="s">
        <v>78</v>
      </c>
      <c r="C2366" s="5" t="n">
        <v>2021</v>
      </c>
      <c r="D2366" s="5" t="s">
        <v>77</v>
      </c>
      <c r="E2366" s="5" t="s">
        <v>55</v>
      </c>
      <c r="F2366" s="5" t="s">
        <v>40</v>
      </c>
      <c r="G2366" s="6" t="n">
        <v>404</v>
      </c>
      <c r="H2366" s="6" t="n">
        <v>86</v>
      </c>
      <c r="I2366" s="7" t="n">
        <f aca="false">(G2366-H2366)/G2366</f>
        <v>0.787128712871287</v>
      </c>
      <c r="J2366" s="15" t="n">
        <v>0.477</v>
      </c>
      <c r="K2366" s="11" t="str">
        <f aca="false">IF(I2366&lt;J2366,"TAK","NIE")</f>
        <v>NIE</v>
      </c>
    </row>
    <row r="2367" customFormat="false" ht="15" hidden="false" customHeight="false" outlineLevel="0" collapsed="false">
      <c r="A2367" s="5" t="s">
        <v>515</v>
      </c>
      <c r="B2367" s="5" t="s">
        <v>78</v>
      </c>
      <c r="C2367" s="5" t="n">
        <v>2021</v>
      </c>
      <c r="D2367" s="5" t="s">
        <v>77</v>
      </c>
      <c r="E2367" s="5" t="s">
        <v>55</v>
      </c>
      <c r="F2367" s="5" t="s">
        <v>40</v>
      </c>
      <c r="G2367" s="6" t="n">
        <v>404</v>
      </c>
      <c r="H2367" s="6" t="n">
        <v>64</v>
      </c>
      <c r="I2367" s="7" t="n">
        <f aca="false">(G2367-H2367)/G2367</f>
        <v>0.841584158415842</v>
      </c>
      <c r="J2367" s="15" t="n">
        <v>0.477</v>
      </c>
      <c r="K2367" s="11" t="str">
        <f aca="false">IF(I2367&lt;J2367,"TAK","NIE")</f>
        <v>NIE</v>
      </c>
    </row>
    <row r="2368" customFormat="false" ht="15" hidden="false" customHeight="false" outlineLevel="0" collapsed="false">
      <c r="A2368" s="5" t="s">
        <v>516</v>
      </c>
      <c r="B2368" s="5" t="s">
        <v>78</v>
      </c>
      <c r="C2368" s="5" t="n">
        <v>2021</v>
      </c>
      <c r="D2368" s="5" t="s">
        <v>77</v>
      </c>
      <c r="E2368" s="5" t="s">
        <v>55</v>
      </c>
      <c r="F2368" s="5" t="s">
        <v>40</v>
      </c>
      <c r="G2368" s="6" t="n">
        <v>404</v>
      </c>
      <c r="H2368" s="6" t="n">
        <v>74</v>
      </c>
      <c r="I2368" s="7" t="n">
        <f aca="false">(G2368-H2368)/G2368</f>
        <v>0.816831683168317</v>
      </c>
      <c r="J2368" s="15" t="n">
        <v>0.477</v>
      </c>
      <c r="K2368" s="11" t="str">
        <f aca="false">IF(I2368&lt;J2368,"TAK","NIE")</f>
        <v>NIE</v>
      </c>
    </row>
    <row r="2369" customFormat="false" ht="15" hidden="false" customHeight="false" outlineLevel="0" collapsed="false">
      <c r="A2369" s="5" t="s">
        <v>517</v>
      </c>
      <c r="B2369" s="5" t="s">
        <v>78</v>
      </c>
      <c r="C2369" s="5" t="n">
        <v>2021</v>
      </c>
      <c r="D2369" s="5" t="s">
        <v>77</v>
      </c>
      <c r="E2369" s="5" t="s">
        <v>55</v>
      </c>
      <c r="F2369" s="5" t="s">
        <v>40</v>
      </c>
      <c r="G2369" s="6" t="n">
        <v>404</v>
      </c>
      <c r="H2369" s="6" t="n">
        <v>105</v>
      </c>
      <c r="I2369" s="7" t="n">
        <f aca="false">(G2369-H2369)/G2369</f>
        <v>0.74009900990099</v>
      </c>
      <c r="J2369" s="15" t="n">
        <v>0.477</v>
      </c>
      <c r="K2369" s="11" t="str">
        <f aca="false">IF(I2369&lt;J2369,"TAK","NIE")</f>
        <v>NIE</v>
      </c>
    </row>
    <row r="2370" customFormat="false" ht="15" hidden="false" customHeight="false" outlineLevel="0" collapsed="false">
      <c r="A2370" s="5" t="s">
        <v>518</v>
      </c>
      <c r="B2370" s="5" t="s">
        <v>78</v>
      </c>
      <c r="C2370" s="5" t="n">
        <v>2021</v>
      </c>
      <c r="D2370" s="5" t="s">
        <v>77</v>
      </c>
      <c r="E2370" s="5" t="s">
        <v>55</v>
      </c>
      <c r="F2370" s="5" t="s">
        <v>40</v>
      </c>
      <c r="G2370" s="6" t="n">
        <v>365</v>
      </c>
      <c r="H2370" s="6" t="n">
        <v>103</v>
      </c>
      <c r="I2370" s="7" t="n">
        <f aca="false">(G2370-H2370)/G2370</f>
        <v>0.717808219178082</v>
      </c>
      <c r="J2370" s="15" t="n">
        <v>0.477</v>
      </c>
      <c r="K2370" s="11" t="str">
        <f aca="false">IF(I2370&lt;J2370,"TAK","NIE")</f>
        <v>NIE</v>
      </c>
    </row>
    <row r="2371" customFormat="false" ht="15" hidden="false" customHeight="false" outlineLevel="0" collapsed="false">
      <c r="A2371" s="5" t="s">
        <v>519</v>
      </c>
      <c r="B2371" s="5" t="s">
        <v>78</v>
      </c>
      <c r="C2371" s="5" t="n">
        <v>2021</v>
      </c>
      <c r="D2371" s="5" t="s">
        <v>77</v>
      </c>
      <c r="E2371" s="5" t="s">
        <v>55</v>
      </c>
      <c r="F2371" s="5" t="s">
        <v>40</v>
      </c>
      <c r="G2371" s="6" t="n">
        <v>404</v>
      </c>
      <c r="H2371" s="6" t="n">
        <v>166</v>
      </c>
      <c r="I2371" s="7" t="n">
        <f aca="false">(G2371-H2371)/G2371</f>
        <v>0.589108910891089</v>
      </c>
      <c r="J2371" s="15" t="n">
        <v>0.477</v>
      </c>
      <c r="K2371" s="11" t="str">
        <f aca="false">IF(I2371&lt;J2371,"TAK","NIE")</f>
        <v>NIE</v>
      </c>
    </row>
    <row r="2372" customFormat="false" ht="15" hidden="false" customHeight="false" outlineLevel="0" collapsed="false">
      <c r="A2372" s="5" t="s">
        <v>520</v>
      </c>
      <c r="B2372" s="5" t="s">
        <v>78</v>
      </c>
      <c r="C2372" s="5" t="n">
        <v>2021</v>
      </c>
      <c r="D2372" s="5" t="s">
        <v>77</v>
      </c>
      <c r="E2372" s="5" t="s">
        <v>55</v>
      </c>
      <c r="F2372" s="5" t="s">
        <v>40</v>
      </c>
      <c r="G2372" s="6" t="n">
        <v>384</v>
      </c>
      <c r="H2372" s="6" t="n">
        <v>166</v>
      </c>
      <c r="I2372" s="7" t="n">
        <f aca="false">(G2372-H2372)/G2372</f>
        <v>0.567708333333333</v>
      </c>
      <c r="J2372" s="15" t="n">
        <v>0.477</v>
      </c>
      <c r="K2372" s="11" t="str">
        <f aca="false">IF(I2372&lt;J2372,"TAK","NIE")</f>
        <v>NIE</v>
      </c>
    </row>
    <row r="2373" customFormat="false" ht="15" hidden="false" customHeight="false" outlineLevel="0" collapsed="false">
      <c r="A2373" s="5" t="s">
        <v>522</v>
      </c>
      <c r="B2373" s="5" t="s">
        <v>78</v>
      </c>
      <c r="C2373" s="5" t="n">
        <v>2021</v>
      </c>
      <c r="D2373" s="5" t="s">
        <v>77</v>
      </c>
      <c r="E2373" s="5" t="s">
        <v>55</v>
      </c>
      <c r="F2373" s="5" t="s">
        <v>40</v>
      </c>
      <c r="G2373" s="6" t="n">
        <v>404</v>
      </c>
      <c r="H2373" s="6" t="n">
        <v>91</v>
      </c>
      <c r="I2373" s="7" t="n">
        <f aca="false">(G2373-H2373)/G2373</f>
        <v>0.774752475247525</v>
      </c>
      <c r="J2373" s="15" t="n">
        <v>0.477</v>
      </c>
      <c r="K2373" s="11" t="str">
        <f aca="false">IF(I2373&lt;J2373,"TAK","NIE")</f>
        <v>NIE</v>
      </c>
    </row>
    <row r="2374" customFormat="false" ht="15" hidden="false" customHeight="false" outlineLevel="0" collapsed="false">
      <c r="A2374" s="5" t="s">
        <v>523</v>
      </c>
      <c r="B2374" s="5" t="s">
        <v>78</v>
      </c>
      <c r="C2374" s="5" t="n">
        <v>2021</v>
      </c>
      <c r="D2374" s="5" t="s">
        <v>77</v>
      </c>
      <c r="E2374" s="5" t="s">
        <v>55</v>
      </c>
      <c r="F2374" s="5" t="s">
        <v>40</v>
      </c>
      <c r="G2374" s="6" t="n">
        <v>404</v>
      </c>
      <c r="H2374" s="6" t="n">
        <v>99</v>
      </c>
      <c r="I2374" s="7" t="n">
        <f aca="false">(G2374-H2374)/G2374</f>
        <v>0.754950495049505</v>
      </c>
      <c r="J2374" s="15" t="n">
        <v>0.477</v>
      </c>
      <c r="K2374" s="11" t="str">
        <f aca="false">IF(I2374&lt;J2374,"TAK","NIE")</f>
        <v>NIE</v>
      </c>
    </row>
    <row r="2375" customFormat="false" ht="15" hidden="false" customHeight="false" outlineLevel="0" collapsed="false">
      <c r="A2375" s="5" t="s">
        <v>524</v>
      </c>
      <c r="B2375" s="5" t="s">
        <v>78</v>
      </c>
      <c r="C2375" s="5" t="n">
        <v>2021</v>
      </c>
      <c r="D2375" s="5" t="s">
        <v>77</v>
      </c>
      <c r="E2375" s="5" t="s">
        <v>55</v>
      </c>
      <c r="F2375" s="5" t="s">
        <v>40</v>
      </c>
      <c r="G2375" s="6" t="n">
        <v>404</v>
      </c>
      <c r="H2375" s="6" t="n">
        <v>157</v>
      </c>
      <c r="I2375" s="7" t="n">
        <f aca="false">(G2375-H2375)/G2375</f>
        <v>0.611386138613861</v>
      </c>
      <c r="J2375" s="15" t="n">
        <v>0.477</v>
      </c>
      <c r="K2375" s="11" t="str">
        <f aca="false">IF(I2375&lt;J2375,"TAK","NIE")</f>
        <v>NIE</v>
      </c>
    </row>
    <row r="2376" customFormat="false" ht="15" hidden="false" customHeight="false" outlineLevel="0" collapsed="false">
      <c r="A2376" s="5" t="s">
        <v>525</v>
      </c>
      <c r="B2376" s="5" t="s">
        <v>78</v>
      </c>
      <c r="C2376" s="5" t="n">
        <v>2021</v>
      </c>
      <c r="D2376" s="5" t="s">
        <v>77</v>
      </c>
      <c r="E2376" s="5" t="s">
        <v>55</v>
      </c>
      <c r="F2376" s="5" t="s">
        <v>40</v>
      </c>
      <c r="G2376" s="6" t="n">
        <v>404</v>
      </c>
      <c r="H2376" s="6" t="n">
        <v>134</v>
      </c>
      <c r="I2376" s="7" t="n">
        <f aca="false">(G2376-H2376)/G2376</f>
        <v>0.668316831683168</v>
      </c>
      <c r="J2376" s="15" t="n">
        <v>0.477</v>
      </c>
      <c r="K2376" s="11" t="str">
        <f aca="false">IF(I2376&lt;J2376,"TAK","NIE")</f>
        <v>NIE</v>
      </c>
    </row>
    <row r="2377" customFormat="false" ht="15" hidden="false" customHeight="false" outlineLevel="0" collapsed="false">
      <c r="A2377" s="5" t="s">
        <v>526</v>
      </c>
      <c r="B2377" s="5" t="s">
        <v>78</v>
      </c>
      <c r="C2377" s="5" t="n">
        <v>2021</v>
      </c>
      <c r="D2377" s="5" t="s">
        <v>77</v>
      </c>
      <c r="E2377" s="5" t="s">
        <v>55</v>
      </c>
      <c r="F2377" s="5" t="s">
        <v>40</v>
      </c>
      <c r="G2377" s="6" t="n">
        <v>404</v>
      </c>
      <c r="H2377" s="6" t="n">
        <v>65</v>
      </c>
      <c r="I2377" s="7" t="n">
        <f aca="false">(G2377-H2377)/G2377</f>
        <v>0.839108910891089</v>
      </c>
      <c r="J2377" s="15" t="n">
        <v>0.477</v>
      </c>
      <c r="K2377" s="11" t="str">
        <f aca="false">IF(I2377&lt;J2377,"TAK","NIE")</f>
        <v>NIE</v>
      </c>
    </row>
    <row r="2378" customFormat="false" ht="15" hidden="false" customHeight="false" outlineLevel="0" collapsed="false">
      <c r="A2378" s="5" t="s">
        <v>527</v>
      </c>
      <c r="B2378" s="5" t="s">
        <v>78</v>
      </c>
      <c r="C2378" s="5" t="n">
        <v>2021</v>
      </c>
      <c r="D2378" s="5" t="s">
        <v>77</v>
      </c>
      <c r="E2378" s="5" t="s">
        <v>55</v>
      </c>
      <c r="F2378" s="5" t="s">
        <v>40</v>
      </c>
      <c r="G2378" s="6" t="n">
        <v>404</v>
      </c>
      <c r="H2378" s="6" t="n">
        <v>75</v>
      </c>
      <c r="I2378" s="7" t="n">
        <f aca="false">(G2378-H2378)/G2378</f>
        <v>0.814356435643564</v>
      </c>
      <c r="J2378" s="15" t="n">
        <v>0.477</v>
      </c>
      <c r="K2378" s="11" t="str">
        <f aca="false">IF(I2378&lt;J2378,"TAK","NIE")</f>
        <v>NIE</v>
      </c>
    </row>
    <row r="2379" customFormat="false" ht="15" hidden="false" customHeight="false" outlineLevel="0" collapsed="false">
      <c r="A2379" s="5" t="s">
        <v>528</v>
      </c>
      <c r="B2379" s="5" t="s">
        <v>78</v>
      </c>
      <c r="C2379" s="5" t="n">
        <v>2021</v>
      </c>
      <c r="D2379" s="5" t="s">
        <v>77</v>
      </c>
      <c r="E2379" s="5" t="s">
        <v>55</v>
      </c>
      <c r="F2379" s="5" t="s">
        <v>40</v>
      </c>
      <c r="G2379" s="6" t="n">
        <v>404</v>
      </c>
      <c r="H2379" s="6" t="n">
        <v>99</v>
      </c>
      <c r="I2379" s="7" t="n">
        <f aca="false">(G2379-H2379)/G2379</f>
        <v>0.754950495049505</v>
      </c>
      <c r="J2379" s="15" t="n">
        <v>0.477</v>
      </c>
      <c r="K2379" s="11" t="str">
        <f aca="false">IF(I2379&lt;J2379,"TAK","NIE")</f>
        <v>NIE</v>
      </c>
    </row>
    <row r="2380" customFormat="false" ht="15" hidden="false" customHeight="false" outlineLevel="0" collapsed="false">
      <c r="A2380" s="5" t="s">
        <v>529</v>
      </c>
      <c r="B2380" s="5" t="s">
        <v>78</v>
      </c>
      <c r="C2380" s="5" t="n">
        <v>2021</v>
      </c>
      <c r="D2380" s="5" t="s">
        <v>77</v>
      </c>
      <c r="E2380" s="5" t="s">
        <v>55</v>
      </c>
      <c r="F2380" s="5" t="s">
        <v>40</v>
      </c>
      <c r="G2380" s="6" t="n">
        <v>404</v>
      </c>
      <c r="H2380" s="6" t="n">
        <v>132</v>
      </c>
      <c r="I2380" s="7" t="n">
        <f aca="false">(G2380-H2380)/G2380</f>
        <v>0.673267326732673</v>
      </c>
      <c r="J2380" s="15" t="n">
        <v>0.477</v>
      </c>
      <c r="K2380" s="11" t="str">
        <f aca="false">IF(I2380&lt;J2380,"TAK","NIE")</f>
        <v>NIE</v>
      </c>
    </row>
    <row r="2381" customFormat="false" ht="15" hidden="false" customHeight="false" outlineLevel="0" collapsed="false">
      <c r="A2381" s="5" t="s">
        <v>530</v>
      </c>
      <c r="B2381" s="5" t="s">
        <v>78</v>
      </c>
      <c r="C2381" s="5" t="n">
        <v>2021</v>
      </c>
      <c r="D2381" s="5" t="s">
        <v>77</v>
      </c>
      <c r="E2381" s="5" t="s">
        <v>55</v>
      </c>
      <c r="F2381" s="5" t="s">
        <v>40</v>
      </c>
      <c r="G2381" s="6" t="n">
        <v>301</v>
      </c>
      <c r="H2381" s="6" t="n">
        <v>85</v>
      </c>
      <c r="I2381" s="7" t="n">
        <f aca="false">(G2381-H2381)/G2381</f>
        <v>0.717607973421927</v>
      </c>
      <c r="J2381" s="15" t="n">
        <v>0.477</v>
      </c>
      <c r="K2381" s="11" t="str">
        <f aca="false">IF(I2381&lt;J2381,"TAK","NIE")</f>
        <v>NIE</v>
      </c>
    </row>
    <row r="2382" customFormat="false" ht="15" hidden="false" customHeight="false" outlineLevel="0" collapsed="false">
      <c r="A2382" s="5" t="s">
        <v>531</v>
      </c>
      <c r="B2382" s="5" t="s">
        <v>78</v>
      </c>
      <c r="C2382" s="5" t="n">
        <v>2021</v>
      </c>
      <c r="D2382" s="5" t="s">
        <v>77</v>
      </c>
      <c r="E2382" s="5" t="s">
        <v>55</v>
      </c>
      <c r="F2382" s="5" t="s">
        <v>40</v>
      </c>
      <c r="G2382" s="6" t="n">
        <v>384</v>
      </c>
      <c r="H2382" s="6" t="n">
        <v>72</v>
      </c>
      <c r="I2382" s="7" t="n">
        <f aca="false">(G2382-H2382)/G2382</f>
        <v>0.8125</v>
      </c>
      <c r="J2382" s="15" t="n">
        <v>0.477</v>
      </c>
      <c r="K2382" s="11" t="str">
        <f aca="false">IF(I2382&lt;J2382,"TAK","NIE")</f>
        <v>NIE</v>
      </c>
    </row>
    <row r="2383" customFormat="false" ht="15" hidden="false" customHeight="false" outlineLevel="0" collapsed="false">
      <c r="A2383" s="5" t="s">
        <v>532</v>
      </c>
      <c r="B2383" s="5" t="s">
        <v>78</v>
      </c>
      <c r="C2383" s="5" t="n">
        <v>2021</v>
      </c>
      <c r="D2383" s="5" t="s">
        <v>77</v>
      </c>
      <c r="E2383" s="5" t="s">
        <v>55</v>
      </c>
      <c r="F2383" s="5" t="s">
        <v>40</v>
      </c>
      <c r="G2383" s="6" t="n">
        <v>385</v>
      </c>
      <c r="H2383" s="6" t="n">
        <v>94</v>
      </c>
      <c r="I2383" s="7" t="n">
        <f aca="false">(G2383-H2383)/G2383</f>
        <v>0.755844155844156</v>
      </c>
      <c r="J2383" s="15" t="n">
        <v>0.477</v>
      </c>
      <c r="K2383" s="11" t="str">
        <f aca="false">IF(I2383&lt;J2383,"TAK","NIE")</f>
        <v>NIE</v>
      </c>
    </row>
    <row r="2384" customFormat="false" ht="15" hidden="false" customHeight="false" outlineLevel="0" collapsed="false">
      <c r="A2384" s="5" t="s">
        <v>533</v>
      </c>
      <c r="B2384" s="5" t="s">
        <v>78</v>
      </c>
      <c r="C2384" s="5" t="n">
        <v>2021</v>
      </c>
      <c r="D2384" s="5" t="s">
        <v>77</v>
      </c>
      <c r="E2384" s="5" t="s">
        <v>55</v>
      </c>
      <c r="F2384" s="5" t="s">
        <v>40</v>
      </c>
      <c r="G2384" s="6" t="n">
        <v>404</v>
      </c>
      <c r="H2384" s="6" t="n">
        <v>90</v>
      </c>
      <c r="I2384" s="7" t="n">
        <f aca="false">(G2384-H2384)/G2384</f>
        <v>0.777227722772277</v>
      </c>
      <c r="J2384" s="15" t="n">
        <v>0.477</v>
      </c>
      <c r="K2384" s="11" t="str">
        <f aca="false">IF(I2384&lt;J2384,"TAK","NIE")</f>
        <v>NIE</v>
      </c>
    </row>
    <row r="2385" customFormat="false" ht="15" hidden="false" customHeight="false" outlineLevel="0" collapsed="false">
      <c r="A2385" s="5" t="s">
        <v>534</v>
      </c>
      <c r="B2385" s="5" t="s">
        <v>78</v>
      </c>
      <c r="C2385" s="5" t="n">
        <v>2021</v>
      </c>
      <c r="D2385" s="5" t="s">
        <v>77</v>
      </c>
      <c r="E2385" s="5" t="s">
        <v>55</v>
      </c>
      <c r="F2385" s="5" t="s">
        <v>40</v>
      </c>
      <c r="G2385" s="6" t="n">
        <v>404</v>
      </c>
      <c r="H2385" s="6" t="n">
        <v>129</v>
      </c>
      <c r="I2385" s="7" t="n">
        <f aca="false">(G2385-H2385)/G2385</f>
        <v>0.680693069306931</v>
      </c>
      <c r="J2385" s="15" t="n">
        <v>0.477</v>
      </c>
      <c r="K2385" s="11" t="str">
        <f aca="false">IF(I2385&lt;J2385,"TAK","NIE")</f>
        <v>NIE</v>
      </c>
    </row>
    <row r="2386" customFormat="false" ht="15" hidden="false" customHeight="false" outlineLevel="0" collapsed="false">
      <c r="A2386" s="5" t="s">
        <v>511</v>
      </c>
      <c r="B2386" s="5" t="s">
        <v>79</v>
      </c>
      <c r="C2386" s="5" t="n">
        <v>2021</v>
      </c>
      <c r="D2386" s="5" t="s">
        <v>77</v>
      </c>
      <c r="E2386" s="5" t="s">
        <v>57</v>
      </c>
      <c r="F2386" s="5" t="s">
        <v>39</v>
      </c>
      <c r="G2386" s="6" t="n">
        <v>630</v>
      </c>
      <c r="H2386" s="6" t="n">
        <v>85</v>
      </c>
      <c r="I2386" s="7" t="n">
        <f aca="false">(G2386-H2386)/G2386</f>
        <v>0.865079365079365</v>
      </c>
      <c r="J2386" s="15" t="n">
        <v>0.5598</v>
      </c>
      <c r="K2386" s="11" t="str">
        <f aca="false">IF(I2386&lt;J2386,"TAK","NIE")</f>
        <v>NIE</v>
      </c>
    </row>
    <row r="2387" customFormat="false" ht="15" hidden="false" customHeight="false" outlineLevel="0" collapsed="false">
      <c r="A2387" s="5" t="s">
        <v>512</v>
      </c>
      <c r="B2387" s="5" t="s">
        <v>79</v>
      </c>
      <c r="C2387" s="5" t="n">
        <v>2021</v>
      </c>
      <c r="D2387" s="5" t="s">
        <v>77</v>
      </c>
      <c r="E2387" s="5" t="s">
        <v>57</v>
      </c>
      <c r="F2387" s="5" t="s">
        <v>39</v>
      </c>
      <c r="G2387" s="6" t="n">
        <v>647</v>
      </c>
      <c r="H2387" s="6" t="n">
        <v>94</v>
      </c>
      <c r="I2387" s="7" t="n">
        <f aca="false">(G2387-H2387)/G2387</f>
        <v>0.854714064914992</v>
      </c>
      <c r="J2387" s="15" t="n">
        <v>0.5598</v>
      </c>
      <c r="K2387" s="11" t="str">
        <f aca="false">IF(I2387&lt;J2387,"TAK","NIE")</f>
        <v>NIE</v>
      </c>
    </row>
    <row r="2388" customFormat="false" ht="15" hidden="false" customHeight="false" outlineLevel="0" collapsed="false">
      <c r="A2388" s="5" t="s">
        <v>513</v>
      </c>
      <c r="B2388" s="5" t="s">
        <v>79</v>
      </c>
      <c r="C2388" s="5" t="n">
        <v>2021</v>
      </c>
      <c r="D2388" s="5" t="s">
        <v>77</v>
      </c>
      <c r="E2388" s="5" t="s">
        <v>57</v>
      </c>
      <c r="F2388" s="5" t="s">
        <v>39</v>
      </c>
      <c r="G2388" s="6" t="n">
        <v>647</v>
      </c>
      <c r="H2388" s="6" t="n">
        <v>206</v>
      </c>
      <c r="I2388" s="7" t="n">
        <f aca="false">(G2388-H2388)/G2388</f>
        <v>0.68160741885626</v>
      </c>
      <c r="J2388" s="15" t="n">
        <v>0.5598</v>
      </c>
      <c r="K2388" s="11" t="str">
        <f aca="false">IF(I2388&lt;J2388,"TAK","NIE")</f>
        <v>NIE</v>
      </c>
    </row>
    <row r="2389" customFormat="false" ht="15" hidden="false" customHeight="false" outlineLevel="0" collapsed="false">
      <c r="A2389" s="5" t="s">
        <v>515</v>
      </c>
      <c r="B2389" s="5" t="s">
        <v>79</v>
      </c>
      <c r="C2389" s="5" t="n">
        <v>2021</v>
      </c>
      <c r="D2389" s="5" t="s">
        <v>77</v>
      </c>
      <c r="E2389" s="5" t="s">
        <v>57</v>
      </c>
      <c r="F2389" s="5" t="s">
        <v>39</v>
      </c>
      <c r="G2389" s="6" t="n">
        <v>650</v>
      </c>
      <c r="H2389" s="6" t="n">
        <v>77</v>
      </c>
      <c r="I2389" s="7" t="n">
        <f aca="false">(G2389-H2389)/G2389</f>
        <v>0.881538461538462</v>
      </c>
      <c r="J2389" s="15" t="n">
        <v>0.5598</v>
      </c>
      <c r="K2389" s="11" t="str">
        <f aca="false">IF(I2389&lt;J2389,"TAK","NIE")</f>
        <v>NIE</v>
      </c>
    </row>
    <row r="2390" customFormat="false" ht="15" hidden="false" customHeight="false" outlineLevel="0" collapsed="false">
      <c r="A2390" s="5" t="s">
        <v>516</v>
      </c>
      <c r="B2390" s="5" t="s">
        <v>79</v>
      </c>
      <c r="C2390" s="5" t="n">
        <v>2021</v>
      </c>
      <c r="D2390" s="5" t="s">
        <v>77</v>
      </c>
      <c r="E2390" s="5" t="s">
        <v>57</v>
      </c>
      <c r="F2390" s="5" t="s">
        <v>39</v>
      </c>
      <c r="G2390" s="6" t="n">
        <v>650</v>
      </c>
      <c r="H2390" s="6" t="n">
        <v>64</v>
      </c>
      <c r="I2390" s="7" t="n">
        <f aca="false">(G2390-H2390)/G2390</f>
        <v>0.901538461538462</v>
      </c>
      <c r="J2390" s="15" t="n">
        <v>0.5598</v>
      </c>
      <c r="K2390" s="11" t="str">
        <f aca="false">IF(I2390&lt;J2390,"TAK","NIE")</f>
        <v>NIE</v>
      </c>
    </row>
    <row r="2391" customFormat="false" ht="15" hidden="false" customHeight="false" outlineLevel="0" collapsed="false">
      <c r="A2391" s="5" t="s">
        <v>517</v>
      </c>
      <c r="B2391" s="5" t="s">
        <v>79</v>
      </c>
      <c r="C2391" s="5" t="n">
        <v>2021</v>
      </c>
      <c r="D2391" s="5" t="s">
        <v>77</v>
      </c>
      <c r="E2391" s="5" t="s">
        <v>57</v>
      </c>
      <c r="F2391" s="5" t="s">
        <v>39</v>
      </c>
      <c r="G2391" s="6" t="n">
        <v>647</v>
      </c>
      <c r="H2391" s="6" t="n">
        <v>94</v>
      </c>
      <c r="I2391" s="7" t="n">
        <f aca="false">(G2391-H2391)/G2391</f>
        <v>0.854714064914992</v>
      </c>
      <c r="J2391" s="15" t="n">
        <v>0.5598</v>
      </c>
      <c r="K2391" s="11" t="str">
        <f aca="false">IF(I2391&lt;J2391,"TAK","NIE")</f>
        <v>NIE</v>
      </c>
    </row>
    <row r="2392" customFormat="false" ht="15" hidden="false" customHeight="false" outlineLevel="0" collapsed="false">
      <c r="A2392" s="5" t="s">
        <v>518</v>
      </c>
      <c r="B2392" s="5" t="s">
        <v>79</v>
      </c>
      <c r="C2392" s="5" t="n">
        <v>2021</v>
      </c>
      <c r="D2392" s="5" t="s">
        <v>77</v>
      </c>
      <c r="E2392" s="5" t="s">
        <v>57</v>
      </c>
      <c r="F2392" s="5" t="s">
        <v>39</v>
      </c>
      <c r="G2392" s="6" t="n">
        <v>608</v>
      </c>
      <c r="H2392" s="6" t="n">
        <v>80</v>
      </c>
      <c r="I2392" s="7" t="n">
        <f aca="false">(G2392-H2392)/G2392</f>
        <v>0.868421052631579</v>
      </c>
      <c r="J2392" s="15" t="n">
        <v>0.5598</v>
      </c>
      <c r="K2392" s="11" t="str">
        <f aca="false">IF(I2392&lt;J2392,"TAK","NIE")</f>
        <v>NIE</v>
      </c>
    </row>
    <row r="2393" customFormat="false" ht="15" hidden="false" customHeight="false" outlineLevel="0" collapsed="false">
      <c r="A2393" s="5" t="s">
        <v>519</v>
      </c>
      <c r="B2393" s="5" t="s">
        <v>79</v>
      </c>
      <c r="C2393" s="5" t="n">
        <v>2021</v>
      </c>
      <c r="D2393" s="5" t="s">
        <v>77</v>
      </c>
      <c r="E2393" s="5" t="s">
        <v>57</v>
      </c>
      <c r="F2393" s="5" t="s">
        <v>39</v>
      </c>
      <c r="G2393" s="6" t="n">
        <v>647</v>
      </c>
      <c r="H2393" s="6" t="n">
        <v>186</v>
      </c>
      <c r="I2393" s="7" t="n">
        <f aca="false">(G2393-H2393)/G2393</f>
        <v>0.712519319938176</v>
      </c>
      <c r="J2393" s="15" t="n">
        <v>0.5598</v>
      </c>
      <c r="K2393" s="11" t="str">
        <f aca="false">IF(I2393&lt;J2393,"TAK","NIE")</f>
        <v>NIE</v>
      </c>
    </row>
    <row r="2394" customFormat="false" ht="15" hidden="false" customHeight="false" outlineLevel="0" collapsed="false">
      <c r="A2394" s="5" t="s">
        <v>520</v>
      </c>
      <c r="B2394" s="5" t="s">
        <v>79</v>
      </c>
      <c r="C2394" s="5" t="n">
        <v>2021</v>
      </c>
      <c r="D2394" s="5" t="s">
        <v>77</v>
      </c>
      <c r="E2394" s="5" t="s">
        <v>57</v>
      </c>
      <c r="F2394" s="5" t="s">
        <v>39</v>
      </c>
      <c r="G2394" s="6" t="n">
        <v>630</v>
      </c>
      <c r="H2394" s="6" t="n">
        <v>239</v>
      </c>
      <c r="I2394" s="7" t="n">
        <f aca="false">(G2394-H2394)/G2394</f>
        <v>0.620634920634921</v>
      </c>
      <c r="J2394" s="15" t="n">
        <v>0.5598</v>
      </c>
      <c r="K2394" s="11" t="str">
        <f aca="false">IF(I2394&lt;J2394,"TAK","NIE")</f>
        <v>NIE</v>
      </c>
    </row>
    <row r="2395" customFormat="false" ht="15" hidden="false" customHeight="false" outlineLevel="0" collapsed="false">
      <c r="A2395" s="5" t="s">
        <v>522</v>
      </c>
      <c r="B2395" s="5" t="s">
        <v>79</v>
      </c>
      <c r="C2395" s="5" t="n">
        <v>2021</v>
      </c>
      <c r="D2395" s="5" t="s">
        <v>77</v>
      </c>
      <c r="E2395" s="5" t="s">
        <v>57</v>
      </c>
      <c r="F2395" s="5" t="s">
        <v>39</v>
      </c>
      <c r="G2395" s="6" t="n">
        <v>650</v>
      </c>
      <c r="H2395" s="6" t="n">
        <v>88</v>
      </c>
      <c r="I2395" s="7" t="n">
        <f aca="false">(G2395-H2395)/G2395</f>
        <v>0.864615384615385</v>
      </c>
      <c r="J2395" s="15" t="n">
        <v>0.5598</v>
      </c>
      <c r="K2395" s="11" t="str">
        <f aca="false">IF(I2395&lt;J2395,"TAK","NIE")</f>
        <v>NIE</v>
      </c>
    </row>
    <row r="2396" customFormat="false" ht="15" hidden="false" customHeight="false" outlineLevel="0" collapsed="false">
      <c r="A2396" s="5" t="s">
        <v>523</v>
      </c>
      <c r="B2396" s="5" t="s">
        <v>79</v>
      </c>
      <c r="C2396" s="5" t="n">
        <v>2021</v>
      </c>
      <c r="D2396" s="5" t="s">
        <v>77</v>
      </c>
      <c r="E2396" s="5" t="s">
        <v>57</v>
      </c>
      <c r="F2396" s="5" t="s">
        <v>39</v>
      </c>
      <c r="G2396" s="6" t="n">
        <v>647</v>
      </c>
      <c r="H2396" s="6" t="n">
        <v>80</v>
      </c>
      <c r="I2396" s="7" t="n">
        <f aca="false">(G2396-H2396)/G2396</f>
        <v>0.876352395672334</v>
      </c>
      <c r="J2396" s="15" t="n">
        <v>0.5598</v>
      </c>
      <c r="K2396" s="11" t="str">
        <f aca="false">IF(I2396&lt;J2396,"TAK","NIE")</f>
        <v>NIE</v>
      </c>
    </row>
    <row r="2397" customFormat="false" ht="15" hidden="false" customHeight="false" outlineLevel="0" collapsed="false">
      <c r="A2397" s="5" t="s">
        <v>524</v>
      </c>
      <c r="B2397" s="5" t="s">
        <v>79</v>
      </c>
      <c r="C2397" s="5" t="n">
        <v>2021</v>
      </c>
      <c r="D2397" s="5" t="s">
        <v>77</v>
      </c>
      <c r="E2397" s="5" t="s">
        <v>57</v>
      </c>
      <c r="F2397" s="5" t="s">
        <v>39</v>
      </c>
      <c r="G2397" s="6" t="n">
        <v>650</v>
      </c>
      <c r="H2397" s="6" t="n">
        <v>176</v>
      </c>
      <c r="I2397" s="7" t="n">
        <f aca="false">(G2397-H2397)/G2397</f>
        <v>0.729230769230769</v>
      </c>
      <c r="J2397" s="15" t="n">
        <v>0.5598</v>
      </c>
      <c r="K2397" s="11" t="str">
        <f aca="false">IF(I2397&lt;J2397,"TAK","NIE")</f>
        <v>NIE</v>
      </c>
    </row>
    <row r="2398" customFormat="false" ht="15" hidden="false" customHeight="false" outlineLevel="0" collapsed="false">
      <c r="A2398" s="5" t="s">
        <v>525</v>
      </c>
      <c r="B2398" s="5" t="s">
        <v>79</v>
      </c>
      <c r="C2398" s="5" t="n">
        <v>2021</v>
      </c>
      <c r="D2398" s="5" t="s">
        <v>77</v>
      </c>
      <c r="E2398" s="5" t="s">
        <v>57</v>
      </c>
      <c r="F2398" s="5" t="s">
        <v>39</v>
      </c>
      <c r="G2398" s="6" t="n">
        <v>647</v>
      </c>
      <c r="H2398" s="6" t="n">
        <v>166</v>
      </c>
      <c r="I2398" s="7" t="n">
        <f aca="false">(G2398-H2398)/G2398</f>
        <v>0.743431221020093</v>
      </c>
      <c r="J2398" s="15" t="n">
        <v>0.5598</v>
      </c>
      <c r="K2398" s="11" t="str">
        <f aca="false">IF(I2398&lt;J2398,"TAK","NIE")</f>
        <v>NIE</v>
      </c>
    </row>
    <row r="2399" customFormat="false" ht="15" hidden="false" customHeight="false" outlineLevel="0" collapsed="false">
      <c r="A2399" s="5" t="s">
        <v>526</v>
      </c>
      <c r="B2399" s="5" t="s">
        <v>79</v>
      </c>
      <c r="C2399" s="5" t="n">
        <v>2021</v>
      </c>
      <c r="D2399" s="5" t="s">
        <v>77</v>
      </c>
      <c r="E2399" s="5" t="s">
        <v>57</v>
      </c>
      <c r="F2399" s="5" t="s">
        <v>39</v>
      </c>
      <c r="G2399" s="6" t="n">
        <v>650</v>
      </c>
      <c r="H2399" s="6" t="n">
        <v>84</v>
      </c>
      <c r="I2399" s="7" t="n">
        <f aca="false">(G2399-H2399)/G2399</f>
        <v>0.870769230769231</v>
      </c>
      <c r="J2399" s="15" t="n">
        <v>0.5598</v>
      </c>
      <c r="K2399" s="11" t="str">
        <f aca="false">IF(I2399&lt;J2399,"TAK","NIE")</f>
        <v>NIE</v>
      </c>
    </row>
    <row r="2400" customFormat="false" ht="15" hidden="false" customHeight="false" outlineLevel="0" collapsed="false">
      <c r="A2400" s="5" t="s">
        <v>527</v>
      </c>
      <c r="B2400" s="5" t="s">
        <v>79</v>
      </c>
      <c r="C2400" s="5" t="n">
        <v>2021</v>
      </c>
      <c r="D2400" s="5" t="s">
        <v>77</v>
      </c>
      <c r="E2400" s="5" t="s">
        <v>57</v>
      </c>
      <c r="F2400" s="5" t="s">
        <v>39</v>
      </c>
      <c r="G2400" s="6" t="n">
        <v>647</v>
      </c>
      <c r="H2400" s="6" t="n">
        <v>199</v>
      </c>
      <c r="I2400" s="7" t="n">
        <f aca="false">(G2400-H2400)/G2400</f>
        <v>0.69242658423493</v>
      </c>
      <c r="J2400" s="15" t="n">
        <v>0.5598</v>
      </c>
      <c r="K2400" s="11" t="str">
        <f aca="false">IF(I2400&lt;J2400,"TAK","NIE")</f>
        <v>NIE</v>
      </c>
    </row>
    <row r="2401" customFormat="false" ht="15" hidden="false" customHeight="false" outlineLevel="0" collapsed="false">
      <c r="A2401" s="5" t="s">
        <v>528</v>
      </c>
      <c r="B2401" s="5" t="s">
        <v>79</v>
      </c>
      <c r="C2401" s="5" t="n">
        <v>2021</v>
      </c>
      <c r="D2401" s="5" t="s">
        <v>77</v>
      </c>
      <c r="E2401" s="5" t="s">
        <v>57</v>
      </c>
      <c r="F2401" s="5" t="s">
        <v>39</v>
      </c>
      <c r="G2401" s="6" t="n">
        <v>647</v>
      </c>
      <c r="H2401" s="6" t="n">
        <v>163</v>
      </c>
      <c r="I2401" s="7" t="n">
        <f aca="false">(G2401-H2401)/G2401</f>
        <v>0.74806800618238</v>
      </c>
      <c r="J2401" s="15" t="n">
        <v>0.5598</v>
      </c>
      <c r="K2401" s="11" t="str">
        <f aca="false">IF(I2401&lt;J2401,"TAK","NIE")</f>
        <v>NIE</v>
      </c>
    </row>
    <row r="2402" customFormat="false" ht="15" hidden="false" customHeight="false" outlineLevel="0" collapsed="false">
      <c r="A2402" s="5" t="s">
        <v>529</v>
      </c>
      <c r="B2402" s="5" t="s">
        <v>79</v>
      </c>
      <c r="C2402" s="5" t="n">
        <v>2021</v>
      </c>
      <c r="D2402" s="5" t="s">
        <v>77</v>
      </c>
      <c r="E2402" s="5" t="s">
        <v>57</v>
      </c>
      <c r="F2402" s="5" t="s">
        <v>39</v>
      </c>
      <c r="G2402" s="6" t="n">
        <v>647</v>
      </c>
      <c r="H2402" s="6" t="n">
        <v>125</v>
      </c>
      <c r="I2402" s="7" t="n">
        <f aca="false">(G2402-H2402)/G2402</f>
        <v>0.806800618238022</v>
      </c>
      <c r="J2402" s="15" t="n">
        <v>0.5598</v>
      </c>
      <c r="K2402" s="11" t="str">
        <f aca="false">IF(I2402&lt;J2402,"TAK","NIE")</f>
        <v>NIE</v>
      </c>
    </row>
    <row r="2403" customFormat="false" ht="15" hidden="false" customHeight="false" outlineLevel="0" collapsed="false">
      <c r="A2403" s="5" t="s">
        <v>530</v>
      </c>
      <c r="B2403" s="5" t="s">
        <v>79</v>
      </c>
      <c r="C2403" s="5" t="n">
        <v>2021</v>
      </c>
      <c r="D2403" s="5" t="s">
        <v>77</v>
      </c>
      <c r="E2403" s="5" t="s">
        <v>57</v>
      </c>
      <c r="F2403" s="5" t="s">
        <v>39</v>
      </c>
      <c r="G2403" s="6" t="n">
        <v>627</v>
      </c>
      <c r="H2403" s="6" t="n">
        <v>137</v>
      </c>
      <c r="I2403" s="7" t="n">
        <f aca="false">(G2403-H2403)/G2403</f>
        <v>0.781499202551834</v>
      </c>
      <c r="J2403" s="15" t="n">
        <v>0.5598</v>
      </c>
      <c r="K2403" s="11" t="str">
        <f aca="false">IF(I2403&lt;J2403,"TAK","NIE")</f>
        <v>NIE</v>
      </c>
    </row>
    <row r="2404" customFormat="false" ht="15" hidden="false" customHeight="false" outlineLevel="0" collapsed="false">
      <c r="A2404" s="5" t="s">
        <v>531</v>
      </c>
      <c r="B2404" s="5" t="s">
        <v>79</v>
      </c>
      <c r="C2404" s="5" t="n">
        <v>2021</v>
      </c>
      <c r="D2404" s="5" t="s">
        <v>77</v>
      </c>
      <c r="E2404" s="5" t="s">
        <v>57</v>
      </c>
      <c r="F2404" s="5" t="s">
        <v>39</v>
      </c>
      <c r="G2404" s="6" t="n">
        <v>627</v>
      </c>
      <c r="H2404" s="6" t="n">
        <v>112</v>
      </c>
      <c r="I2404" s="7" t="n">
        <f aca="false">(G2404-H2404)/G2404</f>
        <v>0.821371610845295</v>
      </c>
      <c r="J2404" s="15" t="n">
        <v>0.5598</v>
      </c>
      <c r="K2404" s="11" t="str">
        <f aca="false">IF(I2404&lt;J2404,"TAK","NIE")</f>
        <v>NIE</v>
      </c>
    </row>
    <row r="2405" customFormat="false" ht="15" hidden="false" customHeight="false" outlineLevel="0" collapsed="false">
      <c r="A2405" s="5" t="s">
        <v>532</v>
      </c>
      <c r="B2405" s="5" t="s">
        <v>79</v>
      </c>
      <c r="C2405" s="5" t="n">
        <v>2021</v>
      </c>
      <c r="D2405" s="5" t="s">
        <v>77</v>
      </c>
      <c r="E2405" s="5" t="s">
        <v>57</v>
      </c>
      <c r="F2405" s="5" t="s">
        <v>39</v>
      </c>
      <c r="G2405" s="6" t="n">
        <v>630</v>
      </c>
      <c r="H2405" s="6" t="n">
        <v>151</v>
      </c>
      <c r="I2405" s="7" t="n">
        <f aca="false">(G2405-H2405)/G2405</f>
        <v>0.76031746031746</v>
      </c>
      <c r="J2405" s="15" t="n">
        <v>0.5598</v>
      </c>
      <c r="K2405" s="11" t="str">
        <f aca="false">IF(I2405&lt;J2405,"TAK","NIE")</f>
        <v>NIE</v>
      </c>
    </row>
    <row r="2406" customFormat="false" ht="15" hidden="false" customHeight="false" outlineLevel="0" collapsed="false">
      <c r="A2406" s="5" t="s">
        <v>533</v>
      </c>
      <c r="B2406" s="5" t="s">
        <v>79</v>
      </c>
      <c r="C2406" s="5" t="n">
        <v>2021</v>
      </c>
      <c r="D2406" s="5" t="s">
        <v>77</v>
      </c>
      <c r="E2406" s="5" t="s">
        <v>57</v>
      </c>
      <c r="F2406" s="5" t="s">
        <v>39</v>
      </c>
      <c r="G2406" s="6" t="n">
        <v>650</v>
      </c>
      <c r="H2406" s="6" t="n">
        <v>74</v>
      </c>
      <c r="I2406" s="7" t="n">
        <f aca="false">(G2406-H2406)/G2406</f>
        <v>0.886153846153846</v>
      </c>
      <c r="J2406" s="15" t="n">
        <v>0.5598</v>
      </c>
      <c r="K2406" s="11" t="str">
        <f aca="false">IF(I2406&lt;J2406,"TAK","NIE")</f>
        <v>NIE</v>
      </c>
    </row>
    <row r="2407" customFormat="false" ht="15" hidden="false" customHeight="false" outlineLevel="0" collapsed="false">
      <c r="A2407" s="5" t="s">
        <v>534</v>
      </c>
      <c r="B2407" s="5" t="s">
        <v>79</v>
      </c>
      <c r="C2407" s="5" t="n">
        <v>2021</v>
      </c>
      <c r="D2407" s="5" t="s">
        <v>77</v>
      </c>
      <c r="E2407" s="5" t="s">
        <v>57</v>
      </c>
      <c r="F2407" s="5" t="s">
        <v>39</v>
      </c>
      <c r="G2407" s="6" t="n">
        <v>647</v>
      </c>
      <c r="H2407" s="6" t="n">
        <v>126</v>
      </c>
      <c r="I2407" s="7" t="n">
        <f aca="false">(G2407-H2407)/G2407</f>
        <v>0.805255023183926</v>
      </c>
      <c r="J2407" s="15" t="n">
        <v>0.5598</v>
      </c>
      <c r="K2407" s="11" t="str">
        <f aca="false">IF(I2407&lt;J2407,"TAK","NIE")</f>
        <v>NIE</v>
      </c>
    </row>
    <row r="2408" customFormat="false" ht="15" hidden="false" customHeight="false" outlineLevel="0" collapsed="false">
      <c r="A2408" s="5" t="s">
        <v>511</v>
      </c>
      <c r="B2408" s="5" t="s">
        <v>79</v>
      </c>
      <c r="C2408" s="5" t="n">
        <v>2021</v>
      </c>
      <c r="D2408" s="5" t="s">
        <v>77</v>
      </c>
      <c r="E2408" s="5" t="s">
        <v>57</v>
      </c>
      <c r="F2408" s="5" t="s">
        <v>40</v>
      </c>
      <c r="G2408" s="6" t="n">
        <v>671</v>
      </c>
      <c r="H2408" s="6" t="n">
        <v>133</v>
      </c>
      <c r="I2408" s="7" t="n">
        <f aca="false">(G2408-H2408)/G2408</f>
        <v>0.801788375558867</v>
      </c>
      <c r="J2408" s="15" t="n">
        <v>0.5102</v>
      </c>
      <c r="K2408" s="11" t="str">
        <f aca="false">IF(I2408&lt;J2408,"TAK","NIE")</f>
        <v>NIE</v>
      </c>
    </row>
    <row r="2409" customFormat="false" ht="15" hidden="false" customHeight="false" outlineLevel="0" collapsed="false">
      <c r="A2409" s="5" t="s">
        <v>512</v>
      </c>
      <c r="B2409" s="5" t="s">
        <v>79</v>
      </c>
      <c r="C2409" s="5" t="n">
        <v>2021</v>
      </c>
      <c r="D2409" s="5" t="s">
        <v>77</v>
      </c>
      <c r="E2409" s="5" t="s">
        <v>57</v>
      </c>
      <c r="F2409" s="5" t="s">
        <v>40</v>
      </c>
      <c r="G2409" s="6" t="n">
        <v>694</v>
      </c>
      <c r="H2409" s="6" t="n">
        <v>174</v>
      </c>
      <c r="I2409" s="7" t="n">
        <f aca="false">(G2409-H2409)/G2409</f>
        <v>0.749279538904899</v>
      </c>
      <c r="J2409" s="15" t="n">
        <v>0.5102</v>
      </c>
      <c r="K2409" s="11" t="str">
        <f aca="false">IF(I2409&lt;J2409,"TAK","NIE")</f>
        <v>NIE</v>
      </c>
    </row>
    <row r="2410" customFormat="false" ht="15" hidden="false" customHeight="false" outlineLevel="0" collapsed="false">
      <c r="A2410" s="5" t="s">
        <v>513</v>
      </c>
      <c r="B2410" s="5" t="s">
        <v>79</v>
      </c>
      <c r="C2410" s="5" t="n">
        <v>2021</v>
      </c>
      <c r="D2410" s="5" t="s">
        <v>77</v>
      </c>
      <c r="E2410" s="5" t="s">
        <v>57</v>
      </c>
      <c r="F2410" s="5" t="s">
        <v>40</v>
      </c>
      <c r="G2410" s="6" t="n">
        <v>707</v>
      </c>
      <c r="H2410" s="6" t="n">
        <v>313</v>
      </c>
      <c r="I2410" s="7" t="n">
        <f aca="false">(G2410-H2410)/G2410</f>
        <v>0.557284299858557</v>
      </c>
      <c r="J2410" s="15" t="n">
        <v>0.5102</v>
      </c>
      <c r="K2410" s="11" t="str">
        <f aca="false">IF(I2410&lt;J2410,"TAK","NIE")</f>
        <v>NIE</v>
      </c>
    </row>
    <row r="2411" customFormat="false" ht="15" hidden="false" customHeight="false" outlineLevel="0" collapsed="false">
      <c r="A2411" s="5" t="s">
        <v>515</v>
      </c>
      <c r="B2411" s="5" t="s">
        <v>79</v>
      </c>
      <c r="C2411" s="5" t="n">
        <v>2021</v>
      </c>
      <c r="D2411" s="5" t="s">
        <v>77</v>
      </c>
      <c r="E2411" s="5" t="s">
        <v>57</v>
      </c>
      <c r="F2411" s="5" t="s">
        <v>40</v>
      </c>
      <c r="G2411" s="6" t="n">
        <v>695</v>
      </c>
      <c r="H2411" s="6" t="n">
        <v>196</v>
      </c>
      <c r="I2411" s="7" t="n">
        <f aca="false">(G2411-H2411)/G2411</f>
        <v>0.717985611510791</v>
      </c>
      <c r="J2411" s="15" t="n">
        <v>0.5102</v>
      </c>
      <c r="K2411" s="11" t="str">
        <f aca="false">IF(I2411&lt;J2411,"TAK","NIE")</f>
        <v>NIE</v>
      </c>
    </row>
    <row r="2412" customFormat="false" ht="15" hidden="false" customHeight="false" outlineLevel="0" collapsed="false">
      <c r="A2412" s="5" t="s">
        <v>516</v>
      </c>
      <c r="B2412" s="5" t="s">
        <v>79</v>
      </c>
      <c r="C2412" s="5" t="n">
        <v>2021</v>
      </c>
      <c r="D2412" s="5" t="s">
        <v>77</v>
      </c>
      <c r="E2412" s="5" t="s">
        <v>57</v>
      </c>
      <c r="F2412" s="5" t="s">
        <v>40</v>
      </c>
      <c r="G2412" s="6" t="n">
        <v>695</v>
      </c>
      <c r="H2412" s="6" t="n">
        <v>118</v>
      </c>
      <c r="I2412" s="7" t="n">
        <f aca="false">(G2412-H2412)/G2412</f>
        <v>0.83021582733813</v>
      </c>
      <c r="J2412" s="15" t="n">
        <v>0.5102</v>
      </c>
      <c r="K2412" s="11" t="str">
        <f aca="false">IF(I2412&lt;J2412,"TAK","NIE")</f>
        <v>NIE</v>
      </c>
    </row>
    <row r="2413" customFormat="false" ht="15" hidden="false" customHeight="false" outlineLevel="0" collapsed="false">
      <c r="A2413" s="5" t="s">
        <v>517</v>
      </c>
      <c r="B2413" s="5" t="s">
        <v>79</v>
      </c>
      <c r="C2413" s="5" t="n">
        <v>2021</v>
      </c>
      <c r="D2413" s="5" t="s">
        <v>77</v>
      </c>
      <c r="E2413" s="5" t="s">
        <v>57</v>
      </c>
      <c r="F2413" s="5" t="s">
        <v>40</v>
      </c>
      <c r="G2413" s="6" t="n">
        <v>694</v>
      </c>
      <c r="H2413" s="6" t="n">
        <v>233</v>
      </c>
      <c r="I2413" s="7" t="n">
        <f aca="false">(G2413-H2413)/G2413</f>
        <v>0.664265129682997</v>
      </c>
      <c r="J2413" s="15" t="n">
        <v>0.5102</v>
      </c>
      <c r="K2413" s="11" t="str">
        <f aca="false">IF(I2413&lt;J2413,"TAK","NIE")</f>
        <v>NIE</v>
      </c>
    </row>
    <row r="2414" customFormat="false" ht="15" hidden="false" customHeight="false" outlineLevel="0" collapsed="false">
      <c r="A2414" s="5" t="s">
        <v>518</v>
      </c>
      <c r="B2414" s="5" t="s">
        <v>79</v>
      </c>
      <c r="C2414" s="5" t="n">
        <v>2021</v>
      </c>
      <c r="D2414" s="5" t="s">
        <v>77</v>
      </c>
      <c r="E2414" s="5" t="s">
        <v>57</v>
      </c>
      <c r="F2414" s="5" t="s">
        <v>40</v>
      </c>
      <c r="G2414" s="6" t="n">
        <v>656</v>
      </c>
      <c r="H2414" s="6" t="n">
        <v>156</v>
      </c>
      <c r="I2414" s="7" t="n">
        <f aca="false">(G2414-H2414)/G2414</f>
        <v>0.76219512195122</v>
      </c>
      <c r="J2414" s="15" t="n">
        <v>0.5102</v>
      </c>
      <c r="K2414" s="11" t="str">
        <f aca="false">IF(I2414&lt;J2414,"TAK","NIE")</f>
        <v>NIE</v>
      </c>
    </row>
    <row r="2415" customFormat="false" ht="15" hidden="false" customHeight="false" outlineLevel="0" collapsed="false">
      <c r="A2415" s="5" t="s">
        <v>519</v>
      </c>
      <c r="B2415" s="5" t="s">
        <v>79</v>
      </c>
      <c r="C2415" s="5" t="n">
        <v>2021</v>
      </c>
      <c r="D2415" s="5" t="s">
        <v>77</v>
      </c>
      <c r="E2415" s="5" t="s">
        <v>57</v>
      </c>
      <c r="F2415" s="5" t="s">
        <v>40</v>
      </c>
      <c r="G2415" s="6" t="n">
        <v>694</v>
      </c>
      <c r="H2415" s="6" t="n">
        <v>195</v>
      </c>
      <c r="I2415" s="7" t="n">
        <f aca="false">(G2415-H2415)/G2415</f>
        <v>0.719020172910663</v>
      </c>
      <c r="J2415" s="15" t="n">
        <v>0.5102</v>
      </c>
      <c r="K2415" s="11" t="str">
        <f aca="false">IF(I2415&lt;J2415,"TAK","NIE")</f>
        <v>NIE</v>
      </c>
    </row>
    <row r="2416" customFormat="false" ht="15" hidden="false" customHeight="false" outlineLevel="0" collapsed="false">
      <c r="A2416" s="5" t="s">
        <v>520</v>
      </c>
      <c r="B2416" s="5" t="s">
        <v>79</v>
      </c>
      <c r="C2416" s="5" t="n">
        <v>2021</v>
      </c>
      <c r="D2416" s="5" t="s">
        <v>77</v>
      </c>
      <c r="E2416" s="5" t="s">
        <v>57</v>
      </c>
      <c r="F2416" s="5" t="s">
        <v>40</v>
      </c>
      <c r="G2416" s="6" t="n">
        <v>684</v>
      </c>
      <c r="H2416" s="6" t="n">
        <v>448</v>
      </c>
      <c r="I2416" s="7" t="n">
        <f aca="false">(G2416-H2416)/G2416</f>
        <v>0.345029239766082</v>
      </c>
      <c r="J2416" s="15" t="n">
        <v>0.5102</v>
      </c>
      <c r="K2416" s="11" t="str">
        <f aca="false">IF(I2416&lt;J2416,"TAK","NIE")</f>
        <v>TAK</v>
      </c>
    </row>
    <row r="2417" customFormat="false" ht="15" hidden="false" customHeight="false" outlineLevel="0" collapsed="false">
      <c r="A2417" s="5" t="s">
        <v>522</v>
      </c>
      <c r="B2417" s="5" t="s">
        <v>79</v>
      </c>
      <c r="C2417" s="5" t="n">
        <v>2021</v>
      </c>
      <c r="D2417" s="5" t="s">
        <v>77</v>
      </c>
      <c r="E2417" s="5" t="s">
        <v>57</v>
      </c>
      <c r="F2417" s="5" t="s">
        <v>40</v>
      </c>
      <c r="G2417" s="6" t="n">
        <v>695</v>
      </c>
      <c r="H2417" s="6" t="n">
        <v>174</v>
      </c>
      <c r="I2417" s="7" t="n">
        <f aca="false">(G2417-H2417)/G2417</f>
        <v>0.749640287769784</v>
      </c>
      <c r="J2417" s="15" t="n">
        <v>0.5102</v>
      </c>
      <c r="K2417" s="11" t="str">
        <f aca="false">IF(I2417&lt;J2417,"TAK","NIE")</f>
        <v>NIE</v>
      </c>
    </row>
    <row r="2418" customFormat="false" ht="15" hidden="false" customHeight="false" outlineLevel="0" collapsed="false">
      <c r="A2418" s="5" t="s">
        <v>523</v>
      </c>
      <c r="B2418" s="5" t="s">
        <v>79</v>
      </c>
      <c r="C2418" s="5" t="n">
        <v>2021</v>
      </c>
      <c r="D2418" s="5" t="s">
        <v>77</v>
      </c>
      <c r="E2418" s="5" t="s">
        <v>57</v>
      </c>
      <c r="F2418" s="5" t="s">
        <v>40</v>
      </c>
      <c r="G2418" s="6" t="n">
        <v>694</v>
      </c>
      <c r="H2418" s="6" t="n">
        <v>199</v>
      </c>
      <c r="I2418" s="7" t="n">
        <f aca="false">(G2418-H2418)/G2418</f>
        <v>0.713256484149856</v>
      </c>
      <c r="J2418" s="15" t="n">
        <v>0.5102</v>
      </c>
      <c r="K2418" s="11" t="str">
        <f aca="false">IF(I2418&lt;J2418,"TAK","NIE")</f>
        <v>NIE</v>
      </c>
    </row>
    <row r="2419" customFormat="false" ht="15" hidden="false" customHeight="false" outlineLevel="0" collapsed="false">
      <c r="A2419" s="5" t="s">
        <v>524</v>
      </c>
      <c r="B2419" s="5" t="s">
        <v>79</v>
      </c>
      <c r="C2419" s="5" t="n">
        <v>2021</v>
      </c>
      <c r="D2419" s="5" t="s">
        <v>77</v>
      </c>
      <c r="E2419" s="5" t="s">
        <v>57</v>
      </c>
      <c r="F2419" s="5" t="s">
        <v>40</v>
      </c>
      <c r="G2419" s="6" t="n">
        <v>695</v>
      </c>
      <c r="H2419" s="6" t="n">
        <v>238</v>
      </c>
      <c r="I2419" s="7" t="n">
        <f aca="false">(G2419-H2419)/G2419</f>
        <v>0.657553956834532</v>
      </c>
      <c r="J2419" s="15" t="n">
        <v>0.5102</v>
      </c>
      <c r="K2419" s="11" t="str">
        <f aca="false">IF(I2419&lt;J2419,"TAK","NIE")</f>
        <v>NIE</v>
      </c>
    </row>
    <row r="2420" customFormat="false" ht="15" hidden="false" customHeight="false" outlineLevel="0" collapsed="false">
      <c r="A2420" s="5" t="s">
        <v>525</v>
      </c>
      <c r="B2420" s="5" t="s">
        <v>79</v>
      </c>
      <c r="C2420" s="5" t="n">
        <v>2021</v>
      </c>
      <c r="D2420" s="5" t="s">
        <v>77</v>
      </c>
      <c r="E2420" s="5" t="s">
        <v>57</v>
      </c>
      <c r="F2420" s="5" t="s">
        <v>40</v>
      </c>
      <c r="G2420" s="6" t="n">
        <v>694</v>
      </c>
      <c r="H2420" s="6" t="n">
        <v>278</v>
      </c>
      <c r="I2420" s="7" t="n">
        <f aca="false">(G2420-H2420)/G2420</f>
        <v>0.599423631123919</v>
      </c>
      <c r="J2420" s="15" t="n">
        <v>0.5102</v>
      </c>
      <c r="K2420" s="11" t="str">
        <f aca="false">IF(I2420&lt;J2420,"TAK","NIE")</f>
        <v>NIE</v>
      </c>
    </row>
    <row r="2421" customFormat="false" ht="15" hidden="false" customHeight="false" outlineLevel="0" collapsed="false">
      <c r="A2421" s="5" t="s">
        <v>526</v>
      </c>
      <c r="B2421" s="5" t="s">
        <v>79</v>
      </c>
      <c r="C2421" s="5" t="n">
        <v>2021</v>
      </c>
      <c r="D2421" s="5" t="s">
        <v>77</v>
      </c>
      <c r="E2421" s="5" t="s">
        <v>57</v>
      </c>
      <c r="F2421" s="5" t="s">
        <v>40</v>
      </c>
      <c r="G2421" s="6" t="n">
        <v>631</v>
      </c>
      <c r="H2421" s="6" t="n">
        <v>94</v>
      </c>
      <c r="I2421" s="7" t="n">
        <f aca="false">(G2421-H2421)/G2421</f>
        <v>0.851030110935024</v>
      </c>
      <c r="J2421" s="15" t="n">
        <v>0.5102</v>
      </c>
      <c r="K2421" s="11" t="str">
        <f aca="false">IF(I2421&lt;J2421,"TAK","NIE")</f>
        <v>NIE</v>
      </c>
    </row>
    <row r="2422" customFormat="false" ht="15" hidden="false" customHeight="false" outlineLevel="0" collapsed="false">
      <c r="A2422" s="5" t="s">
        <v>527</v>
      </c>
      <c r="B2422" s="5" t="s">
        <v>79</v>
      </c>
      <c r="C2422" s="5" t="n">
        <v>2021</v>
      </c>
      <c r="D2422" s="5" t="s">
        <v>77</v>
      </c>
      <c r="E2422" s="5" t="s">
        <v>57</v>
      </c>
      <c r="F2422" s="5" t="s">
        <v>40</v>
      </c>
      <c r="G2422" s="6" t="n">
        <v>694</v>
      </c>
      <c r="H2422" s="6" t="n">
        <v>151</v>
      </c>
      <c r="I2422" s="7" t="n">
        <f aca="false">(G2422-H2422)/G2422</f>
        <v>0.782420749279539</v>
      </c>
      <c r="J2422" s="15" t="n">
        <v>0.5102</v>
      </c>
      <c r="K2422" s="11" t="str">
        <f aca="false">IF(I2422&lt;J2422,"TAK","NIE")</f>
        <v>NIE</v>
      </c>
    </row>
    <row r="2423" customFormat="false" ht="15" hidden="false" customHeight="false" outlineLevel="0" collapsed="false">
      <c r="A2423" s="5" t="s">
        <v>528</v>
      </c>
      <c r="B2423" s="5" t="s">
        <v>79</v>
      </c>
      <c r="C2423" s="5" t="n">
        <v>2021</v>
      </c>
      <c r="D2423" s="5" t="s">
        <v>77</v>
      </c>
      <c r="E2423" s="5" t="s">
        <v>57</v>
      </c>
      <c r="F2423" s="5" t="s">
        <v>40</v>
      </c>
      <c r="G2423" s="6" t="n">
        <v>694</v>
      </c>
      <c r="H2423" s="6" t="n">
        <v>215</v>
      </c>
      <c r="I2423" s="7" t="n">
        <f aca="false">(G2423-H2423)/G2423</f>
        <v>0.690201729106628</v>
      </c>
      <c r="J2423" s="15" t="n">
        <v>0.5102</v>
      </c>
      <c r="K2423" s="11" t="str">
        <f aca="false">IF(I2423&lt;J2423,"TAK","NIE")</f>
        <v>NIE</v>
      </c>
    </row>
    <row r="2424" customFormat="false" ht="15" hidden="false" customHeight="false" outlineLevel="0" collapsed="false">
      <c r="A2424" s="5" t="s">
        <v>529</v>
      </c>
      <c r="B2424" s="5" t="s">
        <v>79</v>
      </c>
      <c r="C2424" s="5" t="n">
        <v>2021</v>
      </c>
      <c r="D2424" s="5" t="s">
        <v>77</v>
      </c>
      <c r="E2424" s="5" t="s">
        <v>57</v>
      </c>
      <c r="F2424" s="5" t="s">
        <v>40</v>
      </c>
      <c r="G2424" s="6" t="n">
        <v>705</v>
      </c>
      <c r="H2424" s="6" t="n">
        <v>258</v>
      </c>
      <c r="I2424" s="7" t="n">
        <f aca="false">(G2424-H2424)/G2424</f>
        <v>0.634042553191489</v>
      </c>
      <c r="J2424" s="15" t="n">
        <v>0.5102</v>
      </c>
      <c r="K2424" s="11" t="str">
        <f aca="false">IF(I2424&lt;J2424,"TAK","NIE")</f>
        <v>NIE</v>
      </c>
    </row>
    <row r="2425" customFormat="false" ht="15" hidden="false" customHeight="false" outlineLevel="0" collapsed="false">
      <c r="A2425" s="5" t="s">
        <v>530</v>
      </c>
      <c r="B2425" s="5" t="s">
        <v>79</v>
      </c>
      <c r="C2425" s="5" t="n">
        <v>2021</v>
      </c>
      <c r="D2425" s="5" t="s">
        <v>77</v>
      </c>
      <c r="E2425" s="5" t="s">
        <v>57</v>
      </c>
      <c r="F2425" s="5" t="s">
        <v>40</v>
      </c>
      <c r="G2425" s="6" t="n">
        <v>683</v>
      </c>
      <c r="H2425" s="6" t="n">
        <v>236</v>
      </c>
      <c r="I2425" s="7" t="n">
        <f aca="false">(G2425-H2425)/G2425</f>
        <v>0.654465592972182</v>
      </c>
      <c r="J2425" s="15" t="n">
        <v>0.5102</v>
      </c>
      <c r="K2425" s="11" t="str">
        <f aca="false">IF(I2425&lt;J2425,"TAK","NIE")</f>
        <v>NIE</v>
      </c>
    </row>
    <row r="2426" customFormat="false" ht="15" hidden="false" customHeight="false" outlineLevel="0" collapsed="false">
      <c r="A2426" s="5" t="s">
        <v>531</v>
      </c>
      <c r="B2426" s="5" t="s">
        <v>79</v>
      </c>
      <c r="C2426" s="5" t="n">
        <v>2021</v>
      </c>
      <c r="D2426" s="5" t="s">
        <v>77</v>
      </c>
      <c r="E2426" s="5" t="s">
        <v>57</v>
      </c>
      <c r="F2426" s="5" t="s">
        <v>40</v>
      </c>
      <c r="G2426" s="6" t="n">
        <v>670</v>
      </c>
      <c r="H2426" s="6" t="n">
        <v>171</v>
      </c>
      <c r="I2426" s="7" t="n">
        <f aca="false">(G2426-H2426)/G2426</f>
        <v>0.744776119402985</v>
      </c>
      <c r="J2426" s="15" t="n">
        <v>0.5102</v>
      </c>
      <c r="K2426" s="11" t="str">
        <f aca="false">IF(I2426&lt;J2426,"TAK","NIE")</f>
        <v>NIE</v>
      </c>
    </row>
    <row r="2427" customFormat="false" ht="15" hidden="false" customHeight="false" outlineLevel="0" collapsed="false">
      <c r="A2427" s="5" t="s">
        <v>532</v>
      </c>
      <c r="B2427" s="5" t="s">
        <v>79</v>
      </c>
      <c r="C2427" s="5" t="n">
        <v>2021</v>
      </c>
      <c r="D2427" s="5" t="s">
        <v>77</v>
      </c>
      <c r="E2427" s="5" t="s">
        <v>57</v>
      </c>
      <c r="F2427" s="5" t="s">
        <v>40</v>
      </c>
      <c r="G2427" s="6" t="n">
        <v>671</v>
      </c>
      <c r="H2427" s="6" t="n">
        <v>168</v>
      </c>
      <c r="I2427" s="7" t="n">
        <f aca="false">(G2427-H2427)/G2427</f>
        <v>0.749627421758569</v>
      </c>
      <c r="J2427" s="15" t="n">
        <v>0.5102</v>
      </c>
      <c r="K2427" s="11" t="str">
        <f aca="false">IF(I2427&lt;J2427,"TAK","NIE")</f>
        <v>NIE</v>
      </c>
    </row>
    <row r="2428" customFormat="false" ht="15" hidden="false" customHeight="false" outlineLevel="0" collapsed="false">
      <c r="A2428" s="5" t="s">
        <v>533</v>
      </c>
      <c r="B2428" s="5" t="s">
        <v>79</v>
      </c>
      <c r="C2428" s="5" t="n">
        <v>2021</v>
      </c>
      <c r="D2428" s="5" t="s">
        <v>77</v>
      </c>
      <c r="E2428" s="5" t="s">
        <v>57</v>
      </c>
      <c r="F2428" s="5" t="s">
        <v>40</v>
      </c>
      <c r="G2428" s="6" t="n">
        <v>708</v>
      </c>
      <c r="H2428" s="6" t="n">
        <v>188</v>
      </c>
      <c r="I2428" s="7" t="n">
        <f aca="false">(G2428-H2428)/G2428</f>
        <v>0.734463276836158</v>
      </c>
      <c r="J2428" s="15" t="n">
        <v>0.5102</v>
      </c>
      <c r="K2428" s="11" t="str">
        <f aca="false">IF(I2428&lt;J2428,"TAK","NIE")</f>
        <v>NIE</v>
      </c>
    </row>
    <row r="2429" customFormat="false" ht="15" hidden="false" customHeight="false" outlineLevel="0" collapsed="false">
      <c r="A2429" s="5" t="s">
        <v>534</v>
      </c>
      <c r="B2429" s="5" t="s">
        <v>79</v>
      </c>
      <c r="C2429" s="5" t="n">
        <v>2021</v>
      </c>
      <c r="D2429" s="5" t="s">
        <v>77</v>
      </c>
      <c r="E2429" s="5" t="s">
        <v>57</v>
      </c>
      <c r="F2429" s="5" t="s">
        <v>40</v>
      </c>
      <c r="G2429" s="6" t="n">
        <v>694</v>
      </c>
      <c r="H2429" s="6" t="n">
        <v>148</v>
      </c>
      <c r="I2429" s="7" t="n">
        <f aca="false">(G2429-H2429)/G2429</f>
        <v>0.786743515850144</v>
      </c>
      <c r="J2429" s="15" t="n">
        <v>0.5102</v>
      </c>
      <c r="K2429" s="11" t="str">
        <f aca="false">IF(I2429&lt;J2429,"TAK","NIE")</f>
        <v>NIE</v>
      </c>
    </row>
    <row r="2430" customFormat="false" ht="15" hidden="false" customHeight="false" outlineLevel="0" collapsed="false">
      <c r="A2430" s="5" t="s">
        <v>511</v>
      </c>
      <c r="B2430" s="5" t="s">
        <v>80</v>
      </c>
      <c r="C2430" s="5" t="n">
        <v>2021</v>
      </c>
      <c r="D2430" s="5" t="s">
        <v>77</v>
      </c>
      <c r="E2430" s="5" t="s">
        <v>75</v>
      </c>
      <c r="F2430" s="5" t="s">
        <v>39</v>
      </c>
      <c r="G2430" s="6" t="n">
        <v>396</v>
      </c>
      <c r="H2430" s="6" t="n">
        <v>78</v>
      </c>
      <c r="I2430" s="7" t="n">
        <f aca="false">(G2430-H2430)/G2430</f>
        <v>0.803030303030303</v>
      </c>
      <c r="J2430" s="15" t="n">
        <v>0.6695</v>
      </c>
      <c r="K2430" s="11" t="str">
        <f aca="false">IF(I2430&lt;J2430,"TAK","NIE")</f>
        <v>NIE</v>
      </c>
    </row>
    <row r="2431" customFormat="false" ht="15" hidden="false" customHeight="false" outlineLevel="0" collapsed="false">
      <c r="A2431" s="5" t="s">
        <v>512</v>
      </c>
      <c r="B2431" s="5" t="s">
        <v>80</v>
      </c>
      <c r="C2431" s="5" t="n">
        <v>2021</v>
      </c>
      <c r="D2431" s="5" t="s">
        <v>77</v>
      </c>
      <c r="E2431" s="5" t="s">
        <v>75</v>
      </c>
      <c r="F2431" s="5" t="s">
        <v>39</v>
      </c>
      <c r="G2431" s="6" t="n">
        <v>416</v>
      </c>
      <c r="H2431" s="6" t="n">
        <v>82</v>
      </c>
      <c r="I2431" s="7" t="n">
        <f aca="false">(G2431-H2431)/G2431</f>
        <v>0.802884615384615</v>
      </c>
      <c r="J2431" s="15" t="n">
        <v>0.6695</v>
      </c>
      <c r="K2431" s="11" t="str">
        <f aca="false">IF(I2431&lt;J2431,"TAK","NIE")</f>
        <v>NIE</v>
      </c>
    </row>
    <row r="2432" customFormat="false" ht="15" hidden="false" customHeight="false" outlineLevel="0" collapsed="false">
      <c r="A2432" s="5" t="s">
        <v>513</v>
      </c>
      <c r="B2432" s="5" t="s">
        <v>80</v>
      </c>
      <c r="C2432" s="5" t="n">
        <v>2021</v>
      </c>
      <c r="D2432" s="5" t="s">
        <v>77</v>
      </c>
      <c r="E2432" s="5" t="s">
        <v>75</v>
      </c>
      <c r="F2432" s="5" t="s">
        <v>39</v>
      </c>
      <c r="G2432" s="6" t="n">
        <v>416</v>
      </c>
      <c r="H2432" s="6" t="n">
        <v>208</v>
      </c>
      <c r="I2432" s="7" t="n">
        <f aca="false">(G2432-H2432)/G2432</f>
        <v>0.5</v>
      </c>
      <c r="J2432" s="15" t="n">
        <v>0.6695</v>
      </c>
      <c r="K2432" s="11" t="str">
        <f aca="false">IF(I2432&lt;J2432,"TAK","NIE")</f>
        <v>TAK</v>
      </c>
    </row>
    <row r="2433" customFormat="false" ht="15" hidden="false" customHeight="false" outlineLevel="0" collapsed="false">
      <c r="A2433" s="5" t="s">
        <v>515</v>
      </c>
      <c r="B2433" s="5" t="s">
        <v>80</v>
      </c>
      <c r="C2433" s="5" t="n">
        <v>2021</v>
      </c>
      <c r="D2433" s="5" t="s">
        <v>77</v>
      </c>
      <c r="E2433" s="5" t="s">
        <v>75</v>
      </c>
      <c r="F2433" s="5" t="s">
        <v>39</v>
      </c>
      <c r="G2433" s="6" t="n">
        <v>417</v>
      </c>
      <c r="H2433" s="6" t="n">
        <v>19</v>
      </c>
      <c r="I2433" s="7" t="n">
        <f aca="false">(G2433-H2433)/G2433</f>
        <v>0.954436450839329</v>
      </c>
      <c r="J2433" s="15" t="n">
        <v>0.6695</v>
      </c>
      <c r="K2433" s="11" t="str">
        <f aca="false">IF(I2433&lt;J2433,"TAK","NIE")</f>
        <v>NIE</v>
      </c>
    </row>
    <row r="2434" customFormat="false" ht="15" hidden="false" customHeight="false" outlineLevel="0" collapsed="false">
      <c r="A2434" s="5" t="s">
        <v>516</v>
      </c>
      <c r="B2434" s="5" t="s">
        <v>80</v>
      </c>
      <c r="C2434" s="5" t="n">
        <v>2021</v>
      </c>
      <c r="D2434" s="5" t="s">
        <v>77</v>
      </c>
      <c r="E2434" s="5" t="s">
        <v>75</v>
      </c>
      <c r="F2434" s="5" t="s">
        <v>39</v>
      </c>
      <c r="G2434" s="6" t="n">
        <v>417</v>
      </c>
      <c r="H2434" s="6" t="n">
        <v>34</v>
      </c>
      <c r="I2434" s="7" t="n">
        <f aca="false">(G2434-H2434)/G2434</f>
        <v>0.918465227817746</v>
      </c>
      <c r="J2434" s="15" t="n">
        <v>0.6695</v>
      </c>
      <c r="K2434" s="11" t="str">
        <f aca="false">IF(I2434&lt;J2434,"TAK","NIE")</f>
        <v>NIE</v>
      </c>
    </row>
    <row r="2435" customFormat="false" ht="15" hidden="false" customHeight="false" outlineLevel="0" collapsed="false">
      <c r="A2435" s="5" t="s">
        <v>517</v>
      </c>
      <c r="B2435" s="5" t="s">
        <v>80</v>
      </c>
      <c r="C2435" s="5" t="n">
        <v>2021</v>
      </c>
      <c r="D2435" s="5" t="s">
        <v>77</v>
      </c>
      <c r="E2435" s="5" t="s">
        <v>75</v>
      </c>
      <c r="F2435" s="5" t="s">
        <v>39</v>
      </c>
      <c r="G2435" s="6" t="n">
        <v>416</v>
      </c>
      <c r="H2435" s="6" t="n">
        <v>81</v>
      </c>
      <c r="I2435" s="7" t="n">
        <f aca="false">(G2435-H2435)/G2435</f>
        <v>0.805288461538462</v>
      </c>
      <c r="J2435" s="15" t="n">
        <v>0.6695</v>
      </c>
      <c r="K2435" s="11" t="str">
        <f aca="false">IF(I2435&lt;J2435,"TAK","NIE")</f>
        <v>NIE</v>
      </c>
    </row>
    <row r="2436" customFormat="false" ht="15" hidden="false" customHeight="false" outlineLevel="0" collapsed="false">
      <c r="A2436" s="5" t="s">
        <v>518</v>
      </c>
      <c r="B2436" s="5" t="s">
        <v>80</v>
      </c>
      <c r="C2436" s="5" t="n">
        <v>2021</v>
      </c>
      <c r="D2436" s="5" t="s">
        <v>77</v>
      </c>
      <c r="E2436" s="5" t="s">
        <v>75</v>
      </c>
      <c r="F2436" s="5" t="s">
        <v>39</v>
      </c>
      <c r="G2436" s="6" t="n">
        <v>387</v>
      </c>
      <c r="H2436" s="6" t="n">
        <v>56</v>
      </c>
      <c r="I2436" s="7" t="n">
        <f aca="false">(G2436-H2436)/G2436</f>
        <v>0.855297157622739</v>
      </c>
      <c r="J2436" s="15" t="n">
        <v>0.6695</v>
      </c>
      <c r="K2436" s="11" t="str">
        <f aca="false">IF(I2436&lt;J2436,"TAK","NIE")</f>
        <v>NIE</v>
      </c>
    </row>
    <row r="2437" customFormat="false" ht="15" hidden="false" customHeight="false" outlineLevel="0" collapsed="false">
      <c r="A2437" s="5" t="s">
        <v>519</v>
      </c>
      <c r="B2437" s="5" t="s">
        <v>80</v>
      </c>
      <c r="C2437" s="5" t="n">
        <v>2021</v>
      </c>
      <c r="D2437" s="5" t="s">
        <v>77</v>
      </c>
      <c r="E2437" s="5" t="s">
        <v>75</v>
      </c>
      <c r="F2437" s="5" t="s">
        <v>39</v>
      </c>
      <c r="G2437" s="6" t="n">
        <v>416</v>
      </c>
      <c r="H2437" s="6" t="n">
        <v>50</v>
      </c>
      <c r="I2437" s="7" t="n">
        <f aca="false">(G2437-H2437)/G2437</f>
        <v>0.879807692307692</v>
      </c>
      <c r="J2437" s="15" t="n">
        <v>0.6695</v>
      </c>
      <c r="K2437" s="11" t="str">
        <f aca="false">IF(I2437&lt;J2437,"TAK","NIE")</f>
        <v>NIE</v>
      </c>
    </row>
    <row r="2438" customFormat="false" ht="15" hidden="false" customHeight="false" outlineLevel="0" collapsed="false">
      <c r="A2438" s="5" t="s">
        <v>520</v>
      </c>
      <c r="B2438" s="5" t="s">
        <v>80</v>
      </c>
      <c r="C2438" s="5" t="n">
        <v>2021</v>
      </c>
      <c r="D2438" s="5" t="s">
        <v>77</v>
      </c>
      <c r="E2438" s="5" t="s">
        <v>75</v>
      </c>
      <c r="F2438" s="5" t="s">
        <v>39</v>
      </c>
      <c r="G2438" s="6" t="n">
        <v>315</v>
      </c>
      <c r="H2438" s="6" t="n">
        <v>125</v>
      </c>
      <c r="I2438" s="7" t="n">
        <f aca="false">(G2438-H2438)/G2438</f>
        <v>0.603174603174603</v>
      </c>
      <c r="J2438" s="15" t="n">
        <v>0.6695</v>
      </c>
      <c r="K2438" s="11" t="str">
        <f aca="false">IF(I2438&lt;J2438,"TAK","NIE")</f>
        <v>TAK</v>
      </c>
    </row>
    <row r="2439" customFormat="false" ht="15" hidden="false" customHeight="false" outlineLevel="0" collapsed="false">
      <c r="A2439" s="5" t="s">
        <v>522</v>
      </c>
      <c r="B2439" s="5" t="s">
        <v>80</v>
      </c>
      <c r="C2439" s="5" t="n">
        <v>2021</v>
      </c>
      <c r="D2439" s="5" t="s">
        <v>77</v>
      </c>
      <c r="E2439" s="5" t="s">
        <v>75</v>
      </c>
      <c r="F2439" s="5" t="s">
        <v>39</v>
      </c>
      <c r="G2439" s="6" t="n">
        <v>417</v>
      </c>
      <c r="H2439" s="6" t="n">
        <v>56</v>
      </c>
      <c r="I2439" s="7" t="n">
        <f aca="false">(G2439-H2439)/G2439</f>
        <v>0.865707434052758</v>
      </c>
      <c r="J2439" s="15" t="n">
        <v>0.6695</v>
      </c>
      <c r="K2439" s="11" t="str">
        <f aca="false">IF(I2439&lt;J2439,"TAK","NIE")</f>
        <v>NIE</v>
      </c>
    </row>
    <row r="2440" customFormat="false" ht="15" hidden="false" customHeight="false" outlineLevel="0" collapsed="false">
      <c r="A2440" s="5" t="s">
        <v>523</v>
      </c>
      <c r="B2440" s="5" t="s">
        <v>80</v>
      </c>
      <c r="C2440" s="5" t="n">
        <v>2021</v>
      </c>
      <c r="D2440" s="5" t="s">
        <v>77</v>
      </c>
      <c r="E2440" s="5" t="s">
        <v>75</v>
      </c>
      <c r="F2440" s="5" t="s">
        <v>39</v>
      </c>
      <c r="G2440" s="6" t="n">
        <v>416</v>
      </c>
      <c r="H2440" s="6" t="n">
        <v>11</v>
      </c>
      <c r="I2440" s="7" t="n">
        <f aca="false">(G2440-H2440)/G2440</f>
        <v>0.973557692307692</v>
      </c>
      <c r="J2440" s="15" t="n">
        <v>0.6695</v>
      </c>
      <c r="K2440" s="11" t="str">
        <f aca="false">IF(I2440&lt;J2440,"TAK","NIE")</f>
        <v>NIE</v>
      </c>
    </row>
    <row r="2441" customFormat="false" ht="15" hidden="false" customHeight="false" outlineLevel="0" collapsed="false">
      <c r="A2441" s="5" t="s">
        <v>524</v>
      </c>
      <c r="B2441" s="5" t="s">
        <v>80</v>
      </c>
      <c r="C2441" s="5" t="n">
        <v>2021</v>
      </c>
      <c r="D2441" s="5" t="s">
        <v>77</v>
      </c>
      <c r="E2441" s="5" t="s">
        <v>75</v>
      </c>
      <c r="F2441" s="5" t="s">
        <v>39</v>
      </c>
      <c r="G2441" s="6" t="n">
        <v>417</v>
      </c>
      <c r="H2441" s="6" t="n">
        <v>155</v>
      </c>
      <c r="I2441" s="7" t="n">
        <f aca="false">(G2441-H2441)/G2441</f>
        <v>0.628297362110312</v>
      </c>
      <c r="J2441" s="15" t="n">
        <v>0.6695</v>
      </c>
      <c r="K2441" s="11" t="str">
        <f aca="false">IF(I2441&lt;J2441,"TAK","NIE")</f>
        <v>TAK</v>
      </c>
    </row>
    <row r="2442" customFormat="false" ht="15" hidden="false" customHeight="false" outlineLevel="0" collapsed="false">
      <c r="A2442" s="5" t="s">
        <v>525</v>
      </c>
      <c r="B2442" s="5" t="s">
        <v>80</v>
      </c>
      <c r="C2442" s="5" t="n">
        <v>2021</v>
      </c>
      <c r="D2442" s="5" t="s">
        <v>77</v>
      </c>
      <c r="E2442" s="5" t="s">
        <v>75</v>
      </c>
      <c r="F2442" s="5" t="s">
        <v>39</v>
      </c>
      <c r="G2442" s="6" t="n">
        <v>416</v>
      </c>
      <c r="H2442" s="6" t="n">
        <v>109</v>
      </c>
      <c r="I2442" s="7" t="n">
        <f aca="false">(G2442-H2442)/G2442</f>
        <v>0.737980769230769</v>
      </c>
      <c r="J2442" s="15" t="n">
        <v>0.6695</v>
      </c>
      <c r="K2442" s="11" t="str">
        <f aca="false">IF(I2442&lt;J2442,"TAK","NIE")</f>
        <v>NIE</v>
      </c>
    </row>
    <row r="2443" customFormat="false" ht="15" hidden="false" customHeight="false" outlineLevel="0" collapsed="false">
      <c r="A2443" s="5" t="s">
        <v>526</v>
      </c>
      <c r="B2443" s="5" t="s">
        <v>80</v>
      </c>
      <c r="C2443" s="5" t="n">
        <v>2021</v>
      </c>
      <c r="D2443" s="5" t="s">
        <v>77</v>
      </c>
      <c r="E2443" s="5" t="s">
        <v>75</v>
      </c>
      <c r="F2443" s="5" t="s">
        <v>39</v>
      </c>
      <c r="G2443" s="6" t="n">
        <v>417</v>
      </c>
      <c r="H2443" s="6" t="n">
        <v>27</v>
      </c>
      <c r="I2443" s="7" t="n">
        <f aca="false">(G2443-H2443)/G2443</f>
        <v>0.935251798561151</v>
      </c>
      <c r="J2443" s="15" t="n">
        <v>0.6695</v>
      </c>
      <c r="K2443" s="11" t="str">
        <f aca="false">IF(I2443&lt;J2443,"TAK","NIE")</f>
        <v>NIE</v>
      </c>
    </row>
    <row r="2444" customFormat="false" ht="15" hidden="false" customHeight="false" outlineLevel="0" collapsed="false">
      <c r="A2444" s="5" t="s">
        <v>527</v>
      </c>
      <c r="B2444" s="5" t="s">
        <v>80</v>
      </c>
      <c r="C2444" s="5" t="n">
        <v>2021</v>
      </c>
      <c r="D2444" s="5" t="s">
        <v>77</v>
      </c>
      <c r="E2444" s="5" t="s">
        <v>75</v>
      </c>
      <c r="F2444" s="5" t="s">
        <v>39</v>
      </c>
      <c r="G2444" s="6" t="n">
        <v>416</v>
      </c>
      <c r="H2444" s="6" t="n">
        <v>65</v>
      </c>
      <c r="I2444" s="7" t="n">
        <f aca="false">(G2444-H2444)/G2444</f>
        <v>0.84375</v>
      </c>
      <c r="J2444" s="15" t="n">
        <v>0.6695</v>
      </c>
      <c r="K2444" s="11" t="str">
        <f aca="false">IF(I2444&lt;J2444,"TAK","NIE")</f>
        <v>NIE</v>
      </c>
    </row>
    <row r="2445" customFormat="false" ht="15" hidden="false" customHeight="false" outlineLevel="0" collapsed="false">
      <c r="A2445" s="5" t="s">
        <v>528</v>
      </c>
      <c r="B2445" s="5" t="s">
        <v>80</v>
      </c>
      <c r="C2445" s="5" t="n">
        <v>2021</v>
      </c>
      <c r="D2445" s="5" t="s">
        <v>77</v>
      </c>
      <c r="E2445" s="5" t="s">
        <v>75</v>
      </c>
      <c r="F2445" s="5" t="s">
        <v>39</v>
      </c>
      <c r="G2445" s="6" t="n">
        <v>416</v>
      </c>
      <c r="H2445" s="6" t="n">
        <v>65</v>
      </c>
      <c r="I2445" s="7" t="n">
        <f aca="false">(G2445-H2445)/G2445</f>
        <v>0.84375</v>
      </c>
      <c r="J2445" s="15" t="n">
        <v>0.6695</v>
      </c>
      <c r="K2445" s="11" t="str">
        <f aca="false">IF(I2445&lt;J2445,"TAK","NIE")</f>
        <v>NIE</v>
      </c>
    </row>
    <row r="2446" customFormat="false" ht="15" hidden="false" customHeight="false" outlineLevel="0" collapsed="false">
      <c r="A2446" s="5" t="s">
        <v>529</v>
      </c>
      <c r="B2446" s="5" t="s">
        <v>80</v>
      </c>
      <c r="C2446" s="5" t="n">
        <v>2021</v>
      </c>
      <c r="D2446" s="5" t="s">
        <v>77</v>
      </c>
      <c r="E2446" s="5" t="s">
        <v>75</v>
      </c>
      <c r="F2446" s="5" t="s">
        <v>39</v>
      </c>
      <c r="G2446" s="6" t="n">
        <v>416</v>
      </c>
      <c r="H2446" s="6" t="n">
        <v>66</v>
      </c>
      <c r="I2446" s="7" t="n">
        <f aca="false">(G2446-H2446)/G2446</f>
        <v>0.841346153846154</v>
      </c>
      <c r="J2446" s="15" t="n">
        <v>0.6695</v>
      </c>
      <c r="K2446" s="11" t="str">
        <f aca="false">IF(I2446&lt;J2446,"TAK","NIE")</f>
        <v>NIE</v>
      </c>
    </row>
    <row r="2447" customFormat="false" ht="15" hidden="false" customHeight="false" outlineLevel="0" collapsed="false">
      <c r="A2447" s="5" t="s">
        <v>530</v>
      </c>
      <c r="B2447" s="5" t="s">
        <v>80</v>
      </c>
      <c r="C2447" s="5" t="n">
        <v>2021</v>
      </c>
      <c r="D2447" s="5" t="s">
        <v>77</v>
      </c>
      <c r="E2447" s="5" t="s">
        <v>75</v>
      </c>
      <c r="F2447" s="5" t="s">
        <v>39</v>
      </c>
      <c r="G2447" s="6" t="n">
        <v>395</v>
      </c>
      <c r="H2447" s="6" t="n">
        <v>131</v>
      </c>
      <c r="I2447" s="7" t="n">
        <f aca="false">(G2447-H2447)/G2447</f>
        <v>0.668354430379747</v>
      </c>
      <c r="J2447" s="15" t="n">
        <v>0.6695</v>
      </c>
      <c r="K2447" s="11" t="str">
        <f aca="false">IF(I2447&lt;J2447,"TAK","NIE")</f>
        <v>TAK</v>
      </c>
    </row>
    <row r="2448" customFormat="false" ht="15" hidden="false" customHeight="false" outlineLevel="0" collapsed="false">
      <c r="A2448" s="5" t="s">
        <v>531</v>
      </c>
      <c r="B2448" s="5" t="s">
        <v>80</v>
      </c>
      <c r="C2448" s="5" t="n">
        <v>2021</v>
      </c>
      <c r="D2448" s="5" t="s">
        <v>77</v>
      </c>
      <c r="E2448" s="5" t="s">
        <v>75</v>
      </c>
      <c r="F2448" s="5" t="s">
        <v>39</v>
      </c>
      <c r="G2448" s="6" t="n">
        <v>395</v>
      </c>
      <c r="H2448" s="6" t="n">
        <v>41</v>
      </c>
      <c r="I2448" s="7" t="n">
        <f aca="false">(G2448-H2448)/G2448</f>
        <v>0.89620253164557</v>
      </c>
      <c r="J2448" s="15" t="n">
        <v>0.6695</v>
      </c>
      <c r="K2448" s="11" t="str">
        <f aca="false">IF(I2448&lt;J2448,"TAK","NIE")</f>
        <v>NIE</v>
      </c>
    </row>
    <row r="2449" customFormat="false" ht="15" hidden="false" customHeight="false" outlineLevel="0" collapsed="false">
      <c r="A2449" s="5" t="s">
        <v>532</v>
      </c>
      <c r="B2449" s="5" t="s">
        <v>80</v>
      </c>
      <c r="C2449" s="5" t="n">
        <v>2021</v>
      </c>
      <c r="D2449" s="5" t="s">
        <v>77</v>
      </c>
      <c r="E2449" s="5" t="s">
        <v>75</v>
      </c>
      <c r="F2449" s="5" t="s">
        <v>39</v>
      </c>
      <c r="G2449" s="6" t="n">
        <v>396</v>
      </c>
      <c r="H2449" s="6" t="n">
        <v>78</v>
      </c>
      <c r="I2449" s="7" t="n">
        <f aca="false">(G2449-H2449)/G2449</f>
        <v>0.803030303030303</v>
      </c>
      <c r="J2449" s="15" t="n">
        <v>0.6695</v>
      </c>
      <c r="K2449" s="11" t="str">
        <f aca="false">IF(I2449&lt;J2449,"TAK","NIE")</f>
        <v>NIE</v>
      </c>
    </row>
    <row r="2450" customFormat="false" ht="15" hidden="false" customHeight="false" outlineLevel="0" collapsed="false">
      <c r="A2450" s="5" t="s">
        <v>533</v>
      </c>
      <c r="B2450" s="5" t="s">
        <v>80</v>
      </c>
      <c r="C2450" s="5" t="n">
        <v>2021</v>
      </c>
      <c r="D2450" s="5" t="s">
        <v>77</v>
      </c>
      <c r="E2450" s="5" t="s">
        <v>75</v>
      </c>
      <c r="F2450" s="5" t="s">
        <v>39</v>
      </c>
      <c r="G2450" s="6" t="n">
        <v>417</v>
      </c>
      <c r="H2450" s="6" t="n">
        <v>16</v>
      </c>
      <c r="I2450" s="7" t="n">
        <f aca="false">(G2450-H2450)/G2450</f>
        <v>0.961630695443645</v>
      </c>
      <c r="J2450" s="15" t="n">
        <v>0.6695</v>
      </c>
      <c r="K2450" s="11" t="str">
        <f aca="false">IF(I2450&lt;J2450,"TAK","NIE")</f>
        <v>NIE</v>
      </c>
    </row>
    <row r="2451" customFormat="false" ht="15" hidden="false" customHeight="false" outlineLevel="0" collapsed="false">
      <c r="A2451" s="5" t="s">
        <v>534</v>
      </c>
      <c r="B2451" s="5" t="s">
        <v>80</v>
      </c>
      <c r="C2451" s="5" t="n">
        <v>2021</v>
      </c>
      <c r="D2451" s="5" t="s">
        <v>77</v>
      </c>
      <c r="E2451" s="5" t="s">
        <v>75</v>
      </c>
      <c r="F2451" s="5" t="s">
        <v>39</v>
      </c>
      <c r="G2451" s="6" t="n">
        <v>416</v>
      </c>
      <c r="H2451" s="6" t="n">
        <v>56</v>
      </c>
      <c r="I2451" s="7" t="n">
        <f aca="false">(G2451-H2451)/G2451</f>
        <v>0.865384615384615</v>
      </c>
      <c r="J2451" s="15" t="n">
        <v>0.6695</v>
      </c>
      <c r="K2451" s="11" t="str">
        <f aca="false">IF(I2451&lt;J2451,"TAK","NIE")</f>
        <v>NIE</v>
      </c>
    </row>
    <row r="2452" customFormat="false" ht="15" hidden="false" customHeight="false" outlineLevel="0" collapsed="false">
      <c r="A2452" s="5" t="s">
        <v>511</v>
      </c>
      <c r="B2452" s="5" t="s">
        <v>80</v>
      </c>
      <c r="C2452" s="5" t="n">
        <v>2021</v>
      </c>
      <c r="D2452" s="5" t="s">
        <v>77</v>
      </c>
      <c r="E2452" s="5" t="s">
        <v>75</v>
      </c>
      <c r="F2452" s="5" t="s">
        <v>40</v>
      </c>
      <c r="G2452" s="6" t="n">
        <v>725</v>
      </c>
      <c r="H2452" s="6" t="n">
        <v>240</v>
      </c>
      <c r="I2452" s="7" t="n">
        <f aca="false">(G2452-H2452)/G2452</f>
        <v>0.668965517241379</v>
      </c>
      <c r="J2452" s="15" t="n">
        <v>0.5789</v>
      </c>
      <c r="K2452" s="11" t="str">
        <f aca="false">IF(I2452&lt;J2452,"TAK","NIE")</f>
        <v>NIE</v>
      </c>
    </row>
    <row r="2453" customFormat="false" ht="15" hidden="false" customHeight="false" outlineLevel="0" collapsed="false">
      <c r="A2453" s="5" t="s">
        <v>512</v>
      </c>
      <c r="B2453" s="5" t="s">
        <v>80</v>
      </c>
      <c r="C2453" s="5" t="n">
        <v>2021</v>
      </c>
      <c r="D2453" s="5" t="s">
        <v>77</v>
      </c>
      <c r="E2453" s="5" t="s">
        <v>75</v>
      </c>
      <c r="F2453" s="5" t="s">
        <v>40</v>
      </c>
      <c r="G2453" s="6" t="n">
        <v>753</v>
      </c>
      <c r="H2453" s="6" t="n">
        <v>217</v>
      </c>
      <c r="I2453" s="7" t="n">
        <f aca="false">(G2453-H2453)/G2453</f>
        <v>0.711819389110226</v>
      </c>
      <c r="J2453" s="15" t="n">
        <v>0.5789</v>
      </c>
      <c r="K2453" s="11" t="str">
        <f aca="false">IF(I2453&lt;J2453,"TAK","NIE")</f>
        <v>NIE</v>
      </c>
    </row>
    <row r="2454" customFormat="false" ht="15" hidden="false" customHeight="false" outlineLevel="0" collapsed="false">
      <c r="A2454" s="5" t="s">
        <v>513</v>
      </c>
      <c r="B2454" s="5" t="s">
        <v>80</v>
      </c>
      <c r="C2454" s="5" t="n">
        <v>2021</v>
      </c>
      <c r="D2454" s="5" t="s">
        <v>77</v>
      </c>
      <c r="E2454" s="5" t="s">
        <v>75</v>
      </c>
      <c r="F2454" s="5" t="s">
        <v>40</v>
      </c>
      <c r="G2454" s="6" t="n">
        <v>753</v>
      </c>
      <c r="H2454" s="6" t="n">
        <v>402</v>
      </c>
      <c r="I2454" s="7" t="n">
        <f aca="false">(G2454-H2454)/G2454</f>
        <v>0.466135458167331</v>
      </c>
      <c r="J2454" s="15" t="n">
        <v>0.5789</v>
      </c>
      <c r="K2454" s="11" t="str">
        <f aca="false">IF(I2454&lt;J2454,"TAK","NIE")</f>
        <v>TAK</v>
      </c>
    </row>
    <row r="2455" customFormat="false" ht="15" hidden="false" customHeight="false" outlineLevel="0" collapsed="false">
      <c r="A2455" s="5" t="s">
        <v>515</v>
      </c>
      <c r="B2455" s="5" t="s">
        <v>80</v>
      </c>
      <c r="C2455" s="5" t="n">
        <v>2021</v>
      </c>
      <c r="D2455" s="5" t="s">
        <v>77</v>
      </c>
      <c r="E2455" s="5" t="s">
        <v>75</v>
      </c>
      <c r="F2455" s="5" t="s">
        <v>40</v>
      </c>
      <c r="G2455" s="6" t="n">
        <v>753</v>
      </c>
      <c r="H2455" s="6" t="n">
        <v>143</v>
      </c>
      <c r="I2455" s="7" t="n">
        <f aca="false">(G2455-H2455)/G2455</f>
        <v>0.810092961487384</v>
      </c>
      <c r="J2455" s="15" t="n">
        <v>0.5789</v>
      </c>
      <c r="K2455" s="11" t="str">
        <f aca="false">IF(I2455&lt;J2455,"TAK","NIE")</f>
        <v>NIE</v>
      </c>
    </row>
    <row r="2456" customFormat="false" ht="15" hidden="false" customHeight="false" outlineLevel="0" collapsed="false">
      <c r="A2456" s="5" t="s">
        <v>516</v>
      </c>
      <c r="B2456" s="5" t="s">
        <v>80</v>
      </c>
      <c r="C2456" s="5" t="n">
        <v>2021</v>
      </c>
      <c r="D2456" s="5" t="s">
        <v>77</v>
      </c>
      <c r="E2456" s="5" t="s">
        <v>75</v>
      </c>
      <c r="F2456" s="5" t="s">
        <v>40</v>
      </c>
      <c r="G2456" s="6" t="n">
        <v>753</v>
      </c>
      <c r="H2456" s="6" t="n">
        <v>152</v>
      </c>
      <c r="I2456" s="7" t="n">
        <f aca="false">(G2456-H2456)/G2456</f>
        <v>0.798140770252324</v>
      </c>
      <c r="J2456" s="15" t="n">
        <v>0.5789</v>
      </c>
      <c r="K2456" s="11" t="str">
        <f aca="false">IF(I2456&lt;J2456,"TAK","NIE")</f>
        <v>NIE</v>
      </c>
    </row>
    <row r="2457" customFormat="false" ht="15" hidden="false" customHeight="false" outlineLevel="0" collapsed="false">
      <c r="A2457" s="5" t="s">
        <v>517</v>
      </c>
      <c r="B2457" s="5" t="s">
        <v>80</v>
      </c>
      <c r="C2457" s="5" t="n">
        <v>2021</v>
      </c>
      <c r="D2457" s="5" t="s">
        <v>77</v>
      </c>
      <c r="E2457" s="5" t="s">
        <v>75</v>
      </c>
      <c r="F2457" s="5" t="s">
        <v>40</v>
      </c>
      <c r="G2457" s="6" t="n">
        <v>753</v>
      </c>
      <c r="H2457" s="6" t="n">
        <v>195</v>
      </c>
      <c r="I2457" s="7" t="n">
        <f aca="false">(G2457-H2457)/G2457</f>
        <v>0.741035856573705</v>
      </c>
      <c r="J2457" s="15" t="n">
        <v>0.5789</v>
      </c>
      <c r="K2457" s="11" t="str">
        <f aca="false">IF(I2457&lt;J2457,"TAK","NIE")</f>
        <v>NIE</v>
      </c>
    </row>
    <row r="2458" customFormat="false" ht="15" hidden="false" customHeight="false" outlineLevel="0" collapsed="false">
      <c r="A2458" s="5" t="s">
        <v>518</v>
      </c>
      <c r="B2458" s="5" t="s">
        <v>80</v>
      </c>
      <c r="C2458" s="5" t="n">
        <v>2021</v>
      </c>
      <c r="D2458" s="5" t="s">
        <v>77</v>
      </c>
      <c r="E2458" s="5" t="s">
        <v>75</v>
      </c>
      <c r="F2458" s="5" t="s">
        <v>40</v>
      </c>
      <c r="G2458" s="6" t="n">
        <v>711</v>
      </c>
      <c r="H2458" s="6" t="n">
        <v>170</v>
      </c>
      <c r="I2458" s="7" t="n">
        <f aca="false">(G2458-H2458)/G2458</f>
        <v>0.760900140646976</v>
      </c>
      <c r="J2458" s="15" t="n">
        <v>0.5789</v>
      </c>
      <c r="K2458" s="11" t="str">
        <f aca="false">IF(I2458&lt;J2458,"TAK","NIE")</f>
        <v>NIE</v>
      </c>
    </row>
    <row r="2459" customFormat="false" ht="15" hidden="false" customHeight="false" outlineLevel="0" collapsed="false">
      <c r="A2459" s="5" t="s">
        <v>519</v>
      </c>
      <c r="B2459" s="5" t="s">
        <v>80</v>
      </c>
      <c r="C2459" s="5" t="n">
        <v>2021</v>
      </c>
      <c r="D2459" s="5" t="s">
        <v>77</v>
      </c>
      <c r="E2459" s="5" t="s">
        <v>75</v>
      </c>
      <c r="F2459" s="5" t="s">
        <v>40</v>
      </c>
      <c r="G2459" s="6" t="n">
        <v>753</v>
      </c>
      <c r="H2459" s="6" t="n">
        <v>216</v>
      </c>
      <c r="I2459" s="7" t="n">
        <f aca="false">(G2459-H2459)/G2459</f>
        <v>0.713147410358566</v>
      </c>
      <c r="J2459" s="15" t="n">
        <v>0.5789</v>
      </c>
      <c r="K2459" s="11" t="str">
        <f aca="false">IF(I2459&lt;J2459,"TAK","NIE")</f>
        <v>NIE</v>
      </c>
    </row>
    <row r="2460" customFormat="false" ht="15" hidden="false" customHeight="false" outlineLevel="0" collapsed="false">
      <c r="A2460" s="5" t="s">
        <v>520</v>
      </c>
      <c r="B2460" s="5" t="s">
        <v>80</v>
      </c>
      <c r="C2460" s="5" t="n">
        <v>2021</v>
      </c>
      <c r="D2460" s="5" t="s">
        <v>77</v>
      </c>
      <c r="E2460" s="5" t="s">
        <v>75</v>
      </c>
      <c r="F2460" s="5" t="s">
        <v>40</v>
      </c>
      <c r="G2460" s="6" t="n">
        <v>409</v>
      </c>
      <c r="H2460" s="6" t="n">
        <v>93</v>
      </c>
      <c r="I2460" s="7" t="n">
        <f aca="false">(G2460-H2460)/G2460</f>
        <v>0.772616136919315</v>
      </c>
      <c r="J2460" s="15" t="n">
        <v>0.5789</v>
      </c>
      <c r="K2460" s="11" t="str">
        <f aca="false">IF(I2460&lt;J2460,"TAK","NIE")</f>
        <v>NIE</v>
      </c>
    </row>
    <row r="2461" customFormat="false" ht="15" hidden="false" customHeight="false" outlineLevel="0" collapsed="false">
      <c r="A2461" s="5" t="s">
        <v>522</v>
      </c>
      <c r="B2461" s="5" t="s">
        <v>80</v>
      </c>
      <c r="C2461" s="5" t="n">
        <v>2021</v>
      </c>
      <c r="D2461" s="5" t="s">
        <v>77</v>
      </c>
      <c r="E2461" s="5" t="s">
        <v>75</v>
      </c>
      <c r="F2461" s="5" t="s">
        <v>40</v>
      </c>
      <c r="G2461" s="6" t="n">
        <v>753</v>
      </c>
      <c r="H2461" s="6" t="n">
        <v>211</v>
      </c>
      <c r="I2461" s="7" t="n">
        <f aca="false">(G2461-H2461)/G2461</f>
        <v>0.719787516600266</v>
      </c>
      <c r="J2461" s="15" t="n">
        <v>0.5789</v>
      </c>
      <c r="K2461" s="11" t="str">
        <f aca="false">IF(I2461&lt;J2461,"TAK","NIE")</f>
        <v>NIE</v>
      </c>
    </row>
    <row r="2462" customFormat="false" ht="15" hidden="false" customHeight="false" outlineLevel="0" collapsed="false">
      <c r="A2462" s="5" t="s">
        <v>523</v>
      </c>
      <c r="B2462" s="5" t="s">
        <v>80</v>
      </c>
      <c r="C2462" s="5" t="n">
        <v>2021</v>
      </c>
      <c r="D2462" s="5" t="s">
        <v>77</v>
      </c>
      <c r="E2462" s="5" t="s">
        <v>75</v>
      </c>
      <c r="F2462" s="5" t="s">
        <v>40</v>
      </c>
      <c r="G2462" s="6" t="n">
        <v>753</v>
      </c>
      <c r="H2462" s="6" t="n">
        <v>158</v>
      </c>
      <c r="I2462" s="7" t="n">
        <f aca="false">(G2462-H2462)/G2462</f>
        <v>0.790172642762284</v>
      </c>
      <c r="J2462" s="15" t="n">
        <v>0.5789</v>
      </c>
      <c r="K2462" s="11" t="str">
        <f aca="false">IF(I2462&lt;J2462,"TAK","NIE")</f>
        <v>NIE</v>
      </c>
    </row>
    <row r="2463" customFormat="false" ht="15" hidden="false" customHeight="false" outlineLevel="0" collapsed="false">
      <c r="A2463" s="5" t="s">
        <v>524</v>
      </c>
      <c r="B2463" s="5" t="s">
        <v>80</v>
      </c>
      <c r="C2463" s="5" t="n">
        <v>2021</v>
      </c>
      <c r="D2463" s="5" t="s">
        <v>77</v>
      </c>
      <c r="E2463" s="5" t="s">
        <v>75</v>
      </c>
      <c r="F2463" s="5" t="s">
        <v>40</v>
      </c>
      <c r="G2463" s="6" t="n">
        <v>753</v>
      </c>
      <c r="H2463" s="6" t="n">
        <v>282</v>
      </c>
      <c r="I2463" s="7" t="n">
        <f aca="false">(G2463-H2463)/G2463</f>
        <v>0.625498007968128</v>
      </c>
      <c r="J2463" s="15" t="n">
        <v>0.5789</v>
      </c>
      <c r="K2463" s="11" t="str">
        <f aca="false">IF(I2463&lt;J2463,"TAK","NIE")</f>
        <v>NIE</v>
      </c>
    </row>
    <row r="2464" customFormat="false" ht="15" hidden="false" customHeight="false" outlineLevel="0" collapsed="false">
      <c r="A2464" s="5" t="s">
        <v>525</v>
      </c>
      <c r="B2464" s="5" t="s">
        <v>80</v>
      </c>
      <c r="C2464" s="5" t="n">
        <v>2021</v>
      </c>
      <c r="D2464" s="5" t="s">
        <v>77</v>
      </c>
      <c r="E2464" s="5" t="s">
        <v>75</v>
      </c>
      <c r="F2464" s="5" t="s">
        <v>40</v>
      </c>
      <c r="G2464" s="6" t="n">
        <v>753</v>
      </c>
      <c r="H2464" s="6" t="n">
        <v>257</v>
      </c>
      <c r="I2464" s="7" t="n">
        <f aca="false">(G2464-H2464)/G2464</f>
        <v>0.658698539176627</v>
      </c>
      <c r="J2464" s="15" t="n">
        <v>0.5789</v>
      </c>
      <c r="K2464" s="11" t="str">
        <f aca="false">IF(I2464&lt;J2464,"TAK","NIE")</f>
        <v>NIE</v>
      </c>
    </row>
    <row r="2465" customFormat="false" ht="15" hidden="false" customHeight="false" outlineLevel="0" collapsed="false">
      <c r="A2465" s="5" t="s">
        <v>526</v>
      </c>
      <c r="B2465" s="5" t="s">
        <v>80</v>
      </c>
      <c r="C2465" s="5" t="n">
        <v>2021</v>
      </c>
      <c r="D2465" s="5" t="s">
        <v>77</v>
      </c>
      <c r="E2465" s="5" t="s">
        <v>75</v>
      </c>
      <c r="F2465" s="5" t="s">
        <v>40</v>
      </c>
      <c r="G2465" s="6" t="n">
        <v>753</v>
      </c>
      <c r="H2465" s="6" t="n">
        <v>106</v>
      </c>
      <c r="I2465" s="7" t="n">
        <f aca="false">(G2465-H2465)/G2465</f>
        <v>0.859229747675963</v>
      </c>
      <c r="J2465" s="15" t="n">
        <v>0.5789</v>
      </c>
      <c r="K2465" s="11" t="str">
        <f aca="false">IF(I2465&lt;J2465,"TAK","NIE")</f>
        <v>NIE</v>
      </c>
    </row>
    <row r="2466" customFormat="false" ht="15" hidden="false" customHeight="false" outlineLevel="0" collapsed="false">
      <c r="A2466" s="5" t="s">
        <v>527</v>
      </c>
      <c r="B2466" s="5" t="s">
        <v>80</v>
      </c>
      <c r="C2466" s="5" t="n">
        <v>2021</v>
      </c>
      <c r="D2466" s="5" t="s">
        <v>77</v>
      </c>
      <c r="E2466" s="5" t="s">
        <v>75</v>
      </c>
      <c r="F2466" s="5" t="s">
        <v>40</v>
      </c>
      <c r="G2466" s="6" t="n">
        <v>753</v>
      </c>
      <c r="H2466" s="6" t="n">
        <v>326</v>
      </c>
      <c r="I2466" s="7" t="n">
        <f aca="false">(G2466-H2466)/G2466</f>
        <v>0.567065073041169</v>
      </c>
      <c r="J2466" s="15" t="n">
        <v>0.5789</v>
      </c>
      <c r="K2466" s="11" t="str">
        <f aca="false">IF(I2466&lt;J2466,"TAK","NIE")</f>
        <v>TAK</v>
      </c>
    </row>
    <row r="2467" customFormat="false" ht="15" hidden="false" customHeight="false" outlineLevel="0" collapsed="false">
      <c r="A2467" s="5" t="s">
        <v>528</v>
      </c>
      <c r="B2467" s="5" t="s">
        <v>80</v>
      </c>
      <c r="C2467" s="5" t="n">
        <v>2021</v>
      </c>
      <c r="D2467" s="5" t="s">
        <v>77</v>
      </c>
      <c r="E2467" s="5" t="s">
        <v>75</v>
      </c>
      <c r="F2467" s="5" t="s">
        <v>40</v>
      </c>
      <c r="G2467" s="6" t="n">
        <v>753</v>
      </c>
      <c r="H2467" s="6" t="n">
        <v>199</v>
      </c>
      <c r="I2467" s="7" t="n">
        <f aca="false">(G2467-H2467)/G2467</f>
        <v>0.735723771580345</v>
      </c>
      <c r="J2467" s="15" t="n">
        <v>0.5789</v>
      </c>
      <c r="K2467" s="11" t="str">
        <f aca="false">IF(I2467&lt;J2467,"TAK","NIE")</f>
        <v>NIE</v>
      </c>
    </row>
    <row r="2468" customFormat="false" ht="15" hidden="false" customHeight="false" outlineLevel="0" collapsed="false">
      <c r="A2468" s="5" t="s">
        <v>529</v>
      </c>
      <c r="B2468" s="5" t="s">
        <v>80</v>
      </c>
      <c r="C2468" s="5" t="n">
        <v>2021</v>
      </c>
      <c r="D2468" s="5" t="s">
        <v>77</v>
      </c>
      <c r="E2468" s="5" t="s">
        <v>75</v>
      </c>
      <c r="F2468" s="5" t="s">
        <v>40</v>
      </c>
      <c r="G2468" s="6" t="n">
        <v>753</v>
      </c>
      <c r="H2468" s="6" t="n">
        <v>224</v>
      </c>
      <c r="I2468" s="7" t="n">
        <f aca="false">(G2468-H2468)/G2468</f>
        <v>0.702523240371846</v>
      </c>
      <c r="J2468" s="15" t="n">
        <v>0.5789</v>
      </c>
      <c r="K2468" s="11" t="str">
        <f aca="false">IF(I2468&lt;J2468,"TAK","NIE")</f>
        <v>NIE</v>
      </c>
    </row>
    <row r="2469" customFormat="false" ht="15" hidden="false" customHeight="false" outlineLevel="0" collapsed="false">
      <c r="A2469" s="5" t="s">
        <v>530</v>
      </c>
      <c r="B2469" s="5" t="s">
        <v>80</v>
      </c>
      <c r="C2469" s="5" t="n">
        <v>2021</v>
      </c>
      <c r="D2469" s="5" t="s">
        <v>77</v>
      </c>
      <c r="E2469" s="5" t="s">
        <v>75</v>
      </c>
      <c r="F2469" s="5" t="s">
        <v>40</v>
      </c>
      <c r="G2469" s="6" t="n">
        <v>725</v>
      </c>
      <c r="H2469" s="6" t="n">
        <v>188</v>
      </c>
      <c r="I2469" s="7" t="n">
        <f aca="false">(G2469-H2469)/G2469</f>
        <v>0.740689655172414</v>
      </c>
      <c r="J2469" s="15" t="n">
        <v>0.5789</v>
      </c>
      <c r="K2469" s="11" t="str">
        <f aca="false">IF(I2469&lt;J2469,"TAK","NIE")</f>
        <v>NIE</v>
      </c>
    </row>
    <row r="2470" customFormat="false" ht="15" hidden="false" customHeight="false" outlineLevel="0" collapsed="false">
      <c r="A2470" s="5" t="s">
        <v>531</v>
      </c>
      <c r="B2470" s="5" t="s">
        <v>80</v>
      </c>
      <c r="C2470" s="5" t="n">
        <v>2021</v>
      </c>
      <c r="D2470" s="5" t="s">
        <v>77</v>
      </c>
      <c r="E2470" s="5" t="s">
        <v>75</v>
      </c>
      <c r="F2470" s="5" t="s">
        <v>40</v>
      </c>
      <c r="G2470" s="6" t="n">
        <v>725</v>
      </c>
      <c r="H2470" s="6" t="n">
        <v>154</v>
      </c>
      <c r="I2470" s="7" t="n">
        <f aca="false">(G2470-H2470)/G2470</f>
        <v>0.787586206896552</v>
      </c>
      <c r="J2470" s="15" t="n">
        <v>0.5789</v>
      </c>
      <c r="K2470" s="11" t="str">
        <f aca="false">IF(I2470&lt;J2470,"TAK","NIE")</f>
        <v>NIE</v>
      </c>
    </row>
    <row r="2471" customFormat="false" ht="15" hidden="false" customHeight="false" outlineLevel="0" collapsed="false">
      <c r="A2471" s="5" t="s">
        <v>532</v>
      </c>
      <c r="B2471" s="5" t="s">
        <v>80</v>
      </c>
      <c r="C2471" s="5" t="n">
        <v>2021</v>
      </c>
      <c r="D2471" s="5" t="s">
        <v>77</v>
      </c>
      <c r="E2471" s="5" t="s">
        <v>75</v>
      </c>
      <c r="F2471" s="5" t="s">
        <v>40</v>
      </c>
      <c r="G2471" s="6" t="n">
        <v>725</v>
      </c>
      <c r="H2471" s="6" t="n">
        <v>207</v>
      </c>
      <c r="I2471" s="7" t="n">
        <f aca="false">(G2471-H2471)/G2471</f>
        <v>0.71448275862069</v>
      </c>
      <c r="J2471" s="15" t="n">
        <v>0.5789</v>
      </c>
      <c r="K2471" s="11" t="str">
        <f aca="false">IF(I2471&lt;J2471,"TAK","NIE")</f>
        <v>NIE</v>
      </c>
    </row>
    <row r="2472" customFormat="false" ht="15" hidden="false" customHeight="false" outlineLevel="0" collapsed="false">
      <c r="A2472" s="5" t="s">
        <v>533</v>
      </c>
      <c r="B2472" s="5" t="s">
        <v>80</v>
      </c>
      <c r="C2472" s="5" t="n">
        <v>2021</v>
      </c>
      <c r="D2472" s="5" t="s">
        <v>77</v>
      </c>
      <c r="E2472" s="5" t="s">
        <v>75</v>
      </c>
      <c r="F2472" s="5" t="s">
        <v>40</v>
      </c>
      <c r="G2472" s="6" t="n">
        <v>753</v>
      </c>
      <c r="H2472" s="6" t="n">
        <v>130</v>
      </c>
      <c r="I2472" s="7" t="n">
        <f aca="false">(G2472-H2472)/G2472</f>
        <v>0.827357237715804</v>
      </c>
      <c r="J2472" s="15" t="n">
        <v>0.5789</v>
      </c>
      <c r="K2472" s="11" t="str">
        <f aca="false">IF(I2472&lt;J2472,"TAK","NIE")</f>
        <v>NIE</v>
      </c>
    </row>
    <row r="2473" customFormat="false" ht="15" hidden="false" customHeight="false" outlineLevel="0" collapsed="false">
      <c r="A2473" s="5" t="s">
        <v>534</v>
      </c>
      <c r="B2473" s="5" t="s">
        <v>80</v>
      </c>
      <c r="C2473" s="5" t="n">
        <v>2021</v>
      </c>
      <c r="D2473" s="5" t="s">
        <v>77</v>
      </c>
      <c r="E2473" s="5" t="s">
        <v>75</v>
      </c>
      <c r="F2473" s="5" t="s">
        <v>40</v>
      </c>
      <c r="G2473" s="6" t="n">
        <v>753</v>
      </c>
      <c r="H2473" s="6" t="n">
        <v>114</v>
      </c>
      <c r="I2473" s="7" t="n">
        <f aca="false">(G2473-H2473)/G2473</f>
        <v>0.848605577689243</v>
      </c>
      <c r="J2473" s="15" t="n">
        <v>0.5789</v>
      </c>
      <c r="K2473" s="11" t="str">
        <f aca="false">IF(I2473&lt;J2473,"TAK","NIE")</f>
        <v>NIE</v>
      </c>
    </row>
    <row r="2474" customFormat="false" ht="15" hidden="false" customHeight="false" outlineLevel="0" collapsed="false">
      <c r="A2474" s="5" t="s">
        <v>511</v>
      </c>
      <c r="B2474" s="5" t="s">
        <v>81</v>
      </c>
      <c r="C2474" s="5" t="n">
        <v>2021</v>
      </c>
      <c r="D2474" s="5" t="s">
        <v>77</v>
      </c>
      <c r="E2474" s="5" t="s">
        <v>89</v>
      </c>
      <c r="F2474" s="5" t="s">
        <v>39</v>
      </c>
      <c r="G2474" s="6" t="n">
        <v>442</v>
      </c>
      <c r="H2474" s="6" t="n">
        <v>152</v>
      </c>
      <c r="I2474" s="7" t="n">
        <f aca="false">(G2474-H2474)/G2474</f>
        <v>0.656108597285068</v>
      </c>
      <c r="J2474" s="15" t="n">
        <v>0.4417</v>
      </c>
      <c r="K2474" s="11" t="str">
        <f aca="false">IF(I2474&lt;J2474,"TAK","NIE")</f>
        <v>NIE</v>
      </c>
    </row>
    <row r="2475" customFormat="false" ht="15" hidden="false" customHeight="false" outlineLevel="0" collapsed="false">
      <c r="A2475" s="5" t="s">
        <v>512</v>
      </c>
      <c r="B2475" s="5" t="s">
        <v>81</v>
      </c>
      <c r="C2475" s="5" t="n">
        <v>2021</v>
      </c>
      <c r="D2475" s="5" t="s">
        <v>77</v>
      </c>
      <c r="E2475" s="5" t="s">
        <v>89</v>
      </c>
      <c r="F2475" s="5" t="s">
        <v>39</v>
      </c>
      <c r="G2475" s="6" t="n">
        <v>455</v>
      </c>
      <c r="H2475" s="6" t="n">
        <v>108</v>
      </c>
      <c r="I2475" s="7" t="n">
        <f aca="false">(G2475-H2475)/G2475</f>
        <v>0.762637362637363</v>
      </c>
      <c r="J2475" s="15" t="n">
        <v>0.4417</v>
      </c>
      <c r="K2475" s="11" t="str">
        <f aca="false">IF(I2475&lt;J2475,"TAK","NIE")</f>
        <v>NIE</v>
      </c>
    </row>
    <row r="2476" customFormat="false" ht="15" hidden="false" customHeight="false" outlineLevel="0" collapsed="false">
      <c r="A2476" s="5" t="s">
        <v>513</v>
      </c>
      <c r="B2476" s="5" t="s">
        <v>81</v>
      </c>
      <c r="C2476" s="5" t="n">
        <v>2021</v>
      </c>
      <c r="D2476" s="5" t="s">
        <v>77</v>
      </c>
      <c r="E2476" s="5" t="s">
        <v>89</v>
      </c>
      <c r="F2476" s="5" t="s">
        <v>39</v>
      </c>
      <c r="G2476" s="6" t="n">
        <v>455</v>
      </c>
      <c r="H2476" s="6" t="n">
        <v>233</v>
      </c>
      <c r="I2476" s="7" t="n">
        <f aca="false">(G2476-H2476)/G2476</f>
        <v>0.487912087912088</v>
      </c>
      <c r="J2476" s="15" t="n">
        <v>0.4417</v>
      </c>
      <c r="K2476" s="11" t="str">
        <f aca="false">IF(I2476&lt;J2476,"TAK","NIE")</f>
        <v>NIE</v>
      </c>
    </row>
    <row r="2477" customFormat="false" ht="15" hidden="false" customHeight="false" outlineLevel="0" collapsed="false">
      <c r="A2477" s="5" t="s">
        <v>515</v>
      </c>
      <c r="B2477" s="5" t="s">
        <v>81</v>
      </c>
      <c r="C2477" s="5" t="n">
        <v>2021</v>
      </c>
      <c r="D2477" s="5" t="s">
        <v>77</v>
      </c>
      <c r="E2477" s="5" t="s">
        <v>89</v>
      </c>
      <c r="F2477" s="5" t="s">
        <v>39</v>
      </c>
      <c r="G2477" s="6" t="n">
        <v>455</v>
      </c>
      <c r="H2477" s="6" t="n">
        <v>93</v>
      </c>
      <c r="I2477" s="7" t="n">
        <f aca="false">(G2477-H2477)/G2477</f>
        <v>0.795604395604396</v>
      </c>
      <c r="J2477" s="15" t="n">
        <v>0.4417</v>
      </c>
      <c r="K2477" s="11" t="str">
        <f aca="false">IF(I2477&lt;J2477,"TAK","NIE")</f>
        <v>NIE</v>
      </c>
    </row>
    <row r="2478" customFormat="false" ht="15" hidden="false" customHeight="false" outlineLevel="0" collapsed="false">
      <c r="A2478" s="5" t="s">
        <v>516</v>
      </c>
      <c r="B2478" s="5" t="s">
        <v>81</v>
      </c>
      <c r="C2478" s="5" t="n">
        <v>2021</v>
      </c>
      <c r="D2478" s="5" t="s">
        <v>77</v>
      </c>
      <c r="E2478" s="5" t="s">
        <v>89</v>
      </c>
      <c r="F2478" s="5" t="s">
        <v>39</v>
      </c>
      <c r="G2478" s="6" t="n">
        <v>455</v>
      </c>
      <c r="H2478" s="6" t="n">
        <v>177</v>
      </c>
      <c r="I2478" s="7" t="n">
        <f aca="false">(G2478-H2478)/G2478</f>
        <v>0.610989010989011</v>
      </c>
      <c r="J2478" s="15" t="n">
        <v>0.4417</v>
      </c>
      <c r="K2478" s="11" t="str">
        <f aca="false">IF(I2478&lt;J2478,"TAK","NIE")</f>
        <v>NIE</v>
      </c>
    </row>
    <row r="2479" customFormat="false" ht="15" hidden="false" customHeight="false" outlineLevel="0" collapsed="false">
      <c r="A2479" s="5" t="s">
        <v>517</v>
      </c>
      <c r="B2479" s="5" t="s">
        <v>81</v>
      </c>
      <c r="C2479" s="5" t="n">
        <v>2021</v>
      </c>
      <c r="D2479" s="5" t="s">
        <v>77</v>
      </c>
      <c r="E2479" s="5" t="s">
        <v>89</v>
      </c>
      <c r="F2479" s="5" t="s">
        <v>39</v>
      </c>
      <c r="G2479" s="6" t="n">
        <v>455</v>
      </c>
      <c r="H2479" s="6" t="n">
        <v>153</v>
      </c>
      <c r="I2479" s="7" t="n">
        <f aca="false">(G2479-H2479)/G2479</f>
        <v>0.663736263736264</v>
      </c>
      <c r="J2479" s="15" t="n">
        <v>0.4417</v>
      </c>
      <c r="K2479" s="11" t="str">
        <f aca="false">IF(I2479&lt;J2479,"TAK","NIE")</f>
        <v>NIE</v>
      </c>
    </row>
    <row r="2480" customFormat="false" ht="15" hidden="false" customHeight="false" outlineLevel="0" collapsed="false">
      <c r="A2480" s="5" t="s">
        <v>518</v>
      </c>
      <c r="B2480" s="5" t="s">
        <v>81</v>
      </c>
      <c r="C2480" s="5" t="n">
        <v>2021</v>
      </c>
      <c r="D2480" s="5" t="s">
        <v>77</v>
      </c>
      <c r="E2480" s="5" t="s">
        <v>89</v>
      </c>
      <c r="F2480" s="5" t="s">
        <v>39</v>
      </c>
      <c r="G2480" s="6" t="n">
        <v>429</v>
      </c>
      <c r="H2480" s="6" t="n">
        <v>83</v>
      </c>
      <c r="I2480" s="7" t="n">
        <f aca="false">(G2480-H2480)/G2480</f>
        <v>0.806526806526807</v>
      </c>
      <c r="J2480" s="15" t="n">
        <v>0.4417</v>
      </c>
      <c r="K2480" s="11" t="str">
        <f aca="false">IF(I2480&lt;J2480,"TAK","NIE")</f>
        <v>NIE</v>
      </c>
    </row>
    <row r="2481" customFormat="false" ht="15" hidden="false" customHeight="false" outlineLevel="0" collapsed="false">
      <c r="A2481" s="5" t="s">
        <v>519</v>
      </c>
      <c r="B2481" s="5" t="s">
        <v>81</v>
      </c>
      <c r="C2481" s="5" t="n">
        <v>2021</v>
      </c>
      <c r="D2481" s="5" t="s">
        <v>77</v>
      </c>
      <c r="E2481" s="5" t="s">
        <v>89</v>
      </c>
      <c r="F2481" s="5" t="s">
        <v>39</v>
      </c>
      <c r="G2481" s="6" t="n">
        <v>455</v>
      </c>
      <c r="H2481" s="6" t="n">
        <v>98</v>
      </c>
      <c r="I2481" s="7" t="n">
        <f aca="false">(G2481-H2481)/G2481</f>
        <v>0.784615384615385</v>
      </c>
      <c r="J2481" s="15" t="n">
        <v>0.4417</v>
      </c>
      <c r="K2481" s="11" t="str">
        <f aca="false">IF(I2481&lt;J2481,"TAK","NIE")</f>
        <v>NIE</v>
      </c>
    </row>
    <row r="2482" customFormat="false" ht="15" hidden="false" customHeight="false" outlineLevel="0" collapsed="false">
      <c r="A2482" s="5" t="s">
        <v>520</v>
      </c>
      <c r="B2482" s="5" t="s">
        <v>81</v>
      </c>
      <c r="C2482" s="5" t="n">
        <v>2021</v>
      </c>
      <c r="D2482" s="5" t="s">
        <v>77</v>
      </c>
      <c r="E2482" s="5" t="s">
        <v>89</v>
      </c>
      <c r="F2482" s="5" t="s">
        <v>39</v>
      </c>
      <c r="G2482" s="6" t="n">
        <v>441</v>
      </c>
      <c r="H2482" s="6" t="n">
        <v>195</v>
      </c>
      <c r="I2482" s="7" t="n">
        <f aca="false">(G2482-H2482)/G2482</f>
        <v>0.557823129251701</v>
      </c>
      <c r="J2482" s="15" t="n">
        <v>0.4417</v>
      </c>
      <c r="K2482" s="11" t="str">
        <f aca="false">IF(I2482&lt;J2482,"TAK","NIE")</f>
        <v>NIE</v>
      </c>
    </row>
    <row r="2483" customFormat="false" ht="15" hidden="false" customHeight="false" outlineLevel="0" collapsed="false">
      <c r="A2483" s="5" t="s">
        <v>522</v>
      </c>
      <c r="B2483" s="5" t="s">
        <v>81</v>
      </c>
      <c r="C2483" s="5" t="n">
        <v>2021</v>
      </c>
      <c r="D2483" s="5" t="s">
        <v>77</v>
      </c>
      <c r="E2483" s="5" t="s">
        <v>89</v>
      </c>
      <c r="F2483" s="5" t="s">
        <v>39</v>
      </c>
      <c r="G2483" s="6" t="n">
        <v>455</v>
      </c>
      <c r="H2483" s="6" t="n">
        <v>84</v>
      </c>
      <c r="I2483" s="7" t="n">
        <f aca="false">(G2483-H2483)/G2483</f>
        <v>0.815384615384615</v>
      </c>
      <c r="J2483" s="15" t="n">
        <v>0.4417</v>
      </c>
      <c r="K2483" s="11" t="str">
        <f aca="false">IF(I2483&lt;J2483,"TAK","NIE")</f>
        <v>NIE</v>
      </c>
    </row>
    <row r="2484" customFormat="false" ht="15" hidden="false" customHeight="false" outlineLevel="0" collapsed="false">
      <c r="A2484" s="5" t="s">
        <v>523</v>
      </c>
      <c r="B2484" s="5" t="s">
        <v>81</v>
      </c>
      <c r="C2484" s="5" t="n">
        <v>2021</v>
      </c>
      <c r="D2484" s="5" t="s">
        <v>77</v>
      </c>
      <c r="E2484" s="5" t="s">
        <v>89</v>
      </c>
      <c r="F2484" s="5" t="s">
        <v>39</v>
      </c>
      <c r="G2484" s="6" t="n">
        <v>455</v>
      </c>
      <c r="H2484" s="6" t="n">
        <v>73</v>
      </c>
      <c r="I2484" s="7" t="n">
        <f aca="false">(G2484-H2484)/G2484</f>
        <v>0.83956043956044</v>
      </c>
      <c r="J2484" s="15" t="n">
        <v>0.4417</v>
      </c>
      <c r="K2484" s="11" t="str">
        <f aca="false">IF(I2484&lt;J2484,"TAK","NIE")</f>
        <v>NIE</v>
      </c>
    </row>
    <row r="2485" customFormat="false" ht="15" hidden="false" customHeight="false" outlineLevel="0" collapsed="false">
      <c r="A2485" s="5" t="s">
        <v>524</v>
      </c>
      <c r="B2485" s="5" t="s">
        <v>81</v>
      </c>
      <c r="C2485" s="5" t="n">
        <v>2021</v>
      </c>
      <c r="D2485" s="5" t="s">
        <v>77</v>
      </c>
      <c r="E2485" s="5" t="s">
        <v>89</v>
      </c>
      <c r="F2485" s="5" t="s">
        <v>39</v>
      </c>
      <c r="G2485" s="6" t="n">
        <v>455</v>
      </c>
      <c r="H2485" s="6" t="n">
        <v>161</v>
      </c>
      <c r="I2485" s="7" t="n">
        <f aca="false">(G2485-H2485)/G2485</f>
        <v>0.646153846153846</v>
      </c>
      <c r="J2485" s="15" t="n">
        <v>0.4417</v>
      </c>
      <c r="K2485" s="11" t="str">
        <f aca="false">IF(I2485&lt;J2485,"TAK","NIE")</f>
        <v>NIE</v>
      </c>
    </row>
    <row r="2486" customFormat="false" ht="15" hidden="false" customHeight="false" outlineLevel="0" collapsed="false">
      <c r="A2486" s="5" t="s">
        <v>525</v>
      </c>
      <c r="B2486" s="5" t="s">
        <v>81</v>
      </c>
      <c r="C2486" s="5" t="n">
        <v>2021</v>
      </c>
      <c r="D2486" s="5" t="s">
        <v>77</v>
      </c>
      <c r="E2486" s="5" t="s">
        <v>89</v>
      </c>
      <c r="F2486" s="5" t="s">
        <v>39</v>
      </c>
      <c r="G2486" s="6" t="n">
        <v>455</v>
      </c>
      <c r="H2486" s="6" t="n">
        <v>126</v>
      </c>
      <c r="I2486" s="7" t="n">
        <f aca="false">(G2486-H2486)/G2486</f>
        <v>0.723076923076923</v>
      </c>
      <c r="J2486" s="15" t="n">
        <v>0.4417</v>
      </c>
      <c r="K2486" s="11" t="str">
        <f aca="false">IF(I2486&lt;J2486,"TAK","NIE")</f>
        <v>NIE</v>
      </c>
    </row>
    <row r="2487" customFormat="false" ht="15" hidden="false" customHeight="false" outlineLevel="0" collapsed="false">
      <c r="A2487" s="5" t="s">
        <v>526</v>
      </c>
      <c r="B2487" s="5" t="s">
        <v>81</v>
      </c>
      <c r="C2487" s="5" t="n">
        <v>2021</v>
      </c>
      <c r="D2487" s="5" t="s">
        <v>77</v>
      </c>
      <c r="E2487" s="5" t="s">
        <v>89</v>
      </c>
      <c r="F2487" s="5" t="s">
        <v>39</v>
      </c>
      <c r="G2487" s="6" t="n">
        <v>455</v>
      </c>
      <c r="H2487" s="6" t="n">
        <v>91</v>
      </c>
      <c r="I2487" s="7" t="n">
        <f aca="false">(G2487-H2487)/G2487</f>
        <v>0.8</v>
      </c>
      <c r="J2487" s="15" t="n">
        <v>0.4417</v>
      </c>
      <c r="K2487" s="11" t="str">
        <f aca="false">IF(I2487&lt;J2487,"TAK","NIE")</f>
        <v>NIE</v>
      </c>
    </row>
    <row r="2488" customFormat="false" ht="15" hidden="false" customHeight="false" outlineLevel="0" collapsed="false">
      <c r="A2488" s="5" t="s">
        <v>527</v>
      </c>
      <c r="B2488" s="5" t="s">
        <v>81</v>
      </c>
      <c r="C2488" s="5" t="n">
        <v>2021</v>
      </c>
      <c r="D2488" s="5" t="s">
        <v>77</v>
      </c>
      <c r="E2488" s="5" t="s">
        <v>89</v>
      </c>
      <c r="F2488" s="5" t="s">
        <v>39</v>
      </c>
      <c r="G2488" s="6" t="n">
        <v>455</v>
      </c>
      <c r="H2488" s="6" t="n">
        <v>138</v>
      </c>
      <c r="I2488" s="7" t="n">
        <f aca="false">(G2488-H2488)/G2488</f>
        <v>0.696703296703297</v>
      </c>
      <c r="J2488" s="15" t="n">
        <v>0.4417</v>
      </c>
      <c r="K2488" s="11" t="str">
        <f aca="false">IF(I2488&lt;J2488,"TAK","NIE")</f>
        <v>NIE</v>
      </c>
    </row>
    <row r="2489" customFormat="false" ht="15" hidden="false" customHeight="false" outlineLevel="0" collapsed="false">
      <c r="A2489" s="5" t="s">
        <v>528</v>
      </c>
      <c r="B2489" s="5" t="s">
        <v>81</v>
      </c>
      <c r="C2489" s="5" t="n">
        <v>2021</v>
      </c>
      <c r="D2489" s="5" t="s">
        <v>77</v>
      </c>
      <c r="E2489" s="5" t="s">
        <v>89</v>
      </c>
      <c r="F2489" s="5" t="s">
        <v>39</v>
      </c>
      <c r="G2489" s="6" t="n">
        <v>455</v>
      </c>
      <c r="H2489" s="6" t="n">
        <v>91</v>
      </c>
      <c r="I2489" s="7" t="n">
        <f aca="false">(G2489-H2489)/G2489</f>
        <v>0.8</v>
      </c>
      <c r="J2489" s="15" t="n">
        <v>0.4417</v>
      </c>
      <c r="K2489" s="11" t="str">
        <f aca="false">IF(I2489&lt;J2489,"TAK","NIE")</f>
        <v>NIE</v>
      </c>
    </row>
    <row r="2490" customFormat="false" ht="15" hidden="false" customHeight="false" outlineLevel="0" collapsed="false">
      <c r="A2490" s="5" t="s">
        <v>529</v>
      </c>
      <c r="B2490" s="5" t="s">
        <v>81</v>
      </c>
      <c r="C2490" s="5" t="n">
        <v>2021</v>
      </c>
      <c r="D2490" s="5" t="s">
        <v>77</v>
      </c>
      <c r="E2490" s="5" t="s">
        <v>89</v>
      </c>
      <c r="F2490" s="5" t="s">
        <v>39</v>
      </c>
      <c r="G2490" s="6" t="n">
        <v>455</v>
      </c>
      <c r="H2490" s="6" t="n">
        <v>93</v>
      </c>
      <c r="I2490" s="7" t="n">
        <f aca="false">(G2490-H2490)/G2490</f>
        <v>0.795604395604396</v>
      </c>
      <c r="J2490" s="15" t="n">
        <v>0.4417</v>
      </c>
      <c r="K2490" s="11" t="str">
        <f aca="false">IF(I2490&lt;J2490,"TAK","NIE")</f>
        <v>NIE</v>
      </c>
    </row>
    <row r="2491" customFormat="false" ht="15" hidden="false" customHeight="false" outlineLevel="0" collapsed="false">
      <c r="A2491" s="5" t="s">
        <v>530</v>
      </c>
      <c r="B2491" s="5" t="s">
        <v>81</v>
      </c>
      <c r="C2491" s="5" t="n">
        <v>2021</v>
      </c>
      <c r="D2491" s="5" t="s">
        <v>77</v>
      </c>
      <c r="E2491" s="5" t="s">
        <v>89</v>
      </c>
      <c r="F2491" s="5" t="s">
        <v>39</v>
      </c>
      <c r="G2491" s="6" t="n">
        <v>442</v>
      </c>
      <c r="H2491" s="6" t="n">
        <v>95</v>
      </c>
      <c r="I2491" s="7" t="n">
        <f aca="false">(G2491-H2491)/G2491</f>
        <v>0.785067873303167</v>
      </c>
      <c r="J2491" s="15" t="n">
        <v>0.4417</v>
      </c>
      <c r="K2491" s="11" t="str">
        <f aca="false">IF(I2491&lt;J2491,"TAK","NIE")</f>
        <v>NIE</v>
      </c>
    </row>
    <row r="2492" customFormat="false" ht="15" hidden="false" customHeight="false" outlineLevel="0" collapsed="false">
      <c r="A2492" s="5" t="s">
        <v>531</v>
      </c>
      <c r="B2492" s="5" t="s">
        <v>81</v>
      </c>
      <c r="C2492" s="5" t="n">
        <v>2021</v>
      </c>
      <c r="D2492" s="5" t="s">
        <v>77</v>
      </c>
      <c r="E2492" s="5" t="s">
        <v>89</v>
      </c>
      <c r="F2492" s="5" t="s">
        <v>39</v>
      </c>
      <c r="G2492" s="6" t="n">
        <v>442</v>
      </c>
      <c r="H2492" s="6" t="n">
        <v>73</v>
      </c>
      <c r="I2492" s="7" t="n">
        <f aca="false">(G2492-H2492)/G2492</f>
        <v>0.834841628959276</v>
      </c>
      <c r="J2492" s="15" t="n">
        <v>0.4417</v>
      </c>
      <c r="K2492" s="11" t="str">
        <f aca="false">IF(I2492&lt;J2492,"TAK","NIE")</f>
        <v>NIE</v>
      </c>
    </row>
    <row r="2493" customFormat="false" ht="15" hidden="false" customHeight="false" outlineLevel="0" collapsed="false">
      <c r="A2493" s="5" t="s">
        <v>532</v>
      </c>
      <c r="B2493" s="5" t="s">
        <v>81</v>
      </c>
      <c r="C2493" s="5" t="n">
        <v>2021</v>
      </c>
      <c r="D2493" s="5" t="s">
        <v>77</v>
      </c>
      <c r="E2493" s="5" t="s">
        <v>89</v>
      </c>
      <c r="F2493" s="5" t="s">
        <v>39</v>
      </c>
      <c r="G2493" s="6" t="n">
        <v>442</v>
      </c>
      <c r="H2493" s="6" t="n">
        <v>82</v>
      </c>
      <c r="I2493" s="7" t="n">
        <f aca="false">(G2493-H2493)/G2493</f>
        <v>0.81447963800905</v>
      </c>
      <c r="J2493" s="15" t="n">
        <v>0.4417</v>
      </c>
      <c r="K2493" s="11" t="str">
        <f aca="false">IF(I2493&lt;J2493,"TAK","NIE")</f>
        <v>NIE</v>
      </c>
    </row>
    <row r="2494" customFormat="false" ht="15" hidden="false" customHeight="false" outlineLevel="0" collapsed="false">
      <c r="A2494" s="5" t="s">
        <v>429</v>
      </c>
      <c r="B2494" s="5" t="s">
        <v>81</v>
      </c>
      <c r="C2494" s="5" t="n">
        <v>2021</v>
      </c>
      <c r="D2494" s="5" t="s">
        <v>77</v>
      </c>
      <c r="E2494" s="5" t="s">
        <v>89</v>
      </c>
      <c r="F2494" s="5" t="s">
        <v>39</v>
      </c>
      <c r="G2494" s="6" t="n">
        <v>18</v>
      </c>
      <c r="H2494" s="6" t="n">
        <v>17</v>
      </c>
      <c r="I2494" s="7" t="n">
        <f aca="false">(G2494-H2494)/G2494</f>
        <v>0.0555555555555556</v>
      </c>
      <c r="J2494" s="15" t="n">
        <v>0.4417</v>
      </c>
      <c r="K2494" s="11" t="str">
        <f aca="false">IF(I2494&lt;J2494,"TAK","NIE")</f>
        <v>TAK</v>
      </c>
    </row>
    <row r="2495" customFormat="false" ht="15" hidden="false" customHeight="false" outlineLevel="0" collapsed="false">
      <c r="A2495" s="5" t="s">
        <v>533</v>
      </c>
      <c r="B2495" s="5" t="s">
        <v>81</v>
      </c>
      <c r="C2495" s="5" t="n">
        <v>2021</v>
      </c>
      <c r="D2495" s="5" t="s">
        <v>77</v>
      </c>
      <c r="E2495" s="5" t="s">
        <v>89</v>
      </c>
      <c r="F2495" s="5" t="s">
        <v>39</v>
      </c>
      <c r="G2495" s="6" t="n">
        <v>455</v>
      </c>
      <c r="H2495" s="6" t="n">
        <v>89</v>
      </c>
      <c r="I2495" s="7" t="n">
        <f aca="false">(G2495-H2495)/G2495</f>
        <v>0.804395604395604</v>
      </c>
      <c r="J2495" s="15" t="n">
        <v>0.4417</v>
      </c>
      <c r="K2495" s="11" t="str">
        <f aca="false">IF(I2495&lt;J2495,"TAK","NIE")</f>
        <v>NIE</v>
      </c>
    </row>
    <row r="2496" customFormat="false" ht="15" hidden="false" customHeight="false" outlineLevel="0" collapsed="false">
      <c r="A2496" s="5" t="s">
        <v>534</v>
      </c>
      <c r="B2496" s="5" t="s">
        <v>81</v>
      </c>
      <c r="C2496" s="5" t="n">
        <v>2021</v>
      </c>
      <c r="D2496" s="5" t="s">
        <v>77</v>
      </c>
      <c r="E2496" s="5" t="s">
        <v>89</v>
      </c>
      <c r="F2496" s="5" t="s">
        <v>39</v>
      </c>
      <c r="G2496" s="6" t="n">
        <v>455</v>
      </c>
      <c r="H2496" s="6" t="n">
        <v>84</v>
      </c>
      <c r="I2496" s="7" t="n">
        <f aca="false">(G2496-H2496)/G2496</f>
        <v>0.815384615384615</v>
      </c>
      <c r="J2496" s="15" t="n">
        <v>0.4417</v>
      </c>
      <c r="K2496" s="11" t="str">
        <f aca="false">IF(I2496&lt;J2496,"TAK","NIE")</f>
        <v>NIE</v>
      </c>
    </row>
    <row r="2497" customFormat="false" ht="15" hidden="false" customHeight="false" outlineLevel="0" collapsed="false">
      <c r="A2497" s="5" t="s">
        <v>511</v>
      </c>
      <c r="B2497" s="5" t="s">
        <v>81</v>
      </c>
      <c r="C2497" s="5" t="n">
        <v>2021</v>
      </c>
      <c r="D2497" s="5" t="s">
        <v>77</v>
      </c>
      <c r="E2497" s="5" t="s">
        <v>89</v>
      </c>
      <c r="F2497" s="5" t="s">
        <v>40</v>
      </c>
      <c r="G2497" s="6" t="n">
        <v>328</v>
      </c>
      <c r="H2497" s="6" t="n">
        <v>139</v>
      </c>
      <c r="I2497" s="7" t="n">
        <f aca="false">(G2497-H2497)/G2497</f>
        <v>0.576219512195122</v>
      </c>
      <c r="J2497" s="15" t="n">
        <v>0.4376</v>
      </c>
      <c r="K2497" s="11" t="str">
        <f aca="false">IF(I2497&lt;J2497,"TAK","NIE")</f>
        <v>NIE</v>
      </c>
    </row>
    <row r="2498" customFormat="false" ht="15" hidden="false" customHeight="false" outlineLevel="0" collapsed="false">
      <c r="A2498" s="5" t="s">
        <v>512</v>
      </c>
      <c r="B2498" s="5" t="s">
        <v>81</v>
      </c>
      <c r="C2498" s="5" t="n">
        <v>2021</v>
      </c>
      <c r="D2498" s="5" t="s">
        <v>77</v>
      </c>
      <c r="E2498" s="5" t="s">
        <v>89</v>
      </c>
      <c r="F2498" s="5" t="s">
        <v>40</v>
      </c>
      <c r="G2498" s="6" t="n">
        <v>339</v>
      </c>
      <c r="H2498" s="6" t="n">
        <v>141</v>
      </c>
      <c r="I2498" s="7" t="n">
        <f aca="false">(G2498-H2498)/G2498</f>
        <v>0.584070796460177</v>
      </c>
      <c r="J2498" s="15" t="n">
        <v>0.4376</v>
      </c>
      <c r="K2498" s="11" t="str">
        <f aca="false">IF(I2498&lt;J2498,"TAK","NIE")</f>
        <v>NIE</v>
      </c>
    </row>
    <row r="2499" customFormat="false" ht="15" hidden="false" customHeight="false" outlineLevel="0" collapsed="false">
      <c r="A2499" s="5" t="s">
        <v>513</v>
      </c>
      <c r="B2499" s="5" t="s">
        <v>81</v>
      </c>
      <c r="C2499" s="5" t="n">
        <v>2021</v>
      </c>
      <c r="D2499" s="5" t="s">
        <v>77</v>
      </c>
      <c r="E2499" s="5" t="s">
        <v>89</v>
      </c>
      <c r="F2499" s="5" t="s">
        <v>40</v>
      </c>
      <c r="G2499" s="6" t="n">
        <v>339</v>
      </c>
      <c r="H2499" s="6" t="n">
        <v>171</v>
      </c>
      <c r="I2499" s="7" t="n">
        <f aca="false">(G2499-H2499)/G2499</f>
        <v>0.495575221238938</v>
      </c>
      <c r="J2499" s="15" t="n">
        <v>0.4376</v>
      </c>
      <c r="K2499" s="11" t="str">
        <f aca="false">IF(I2499&lt;J2499,"TAK","NIE")</f>
        <v>NIE</v>
      </c>
    </row>
    <row r="2500" customFormat="false" ht="15" hidden="false" customHeight="false" outlineLevel="0" collapsed="false">
      <c r="A2500" s="5" t="s">
        <v>515</v>
      </c>
      <c r="B2500" s="5" t="s">
        <v>81</v>
      </c>
      <c r="C2500" s="5" t="n">
        <v>2021</v>
      </c>
      <c r="D2500" s="5" t="s">
        <v>77</v>
      </c>
      <c r="E2500" s="5" t="s">
        <v>89</v>
      </c>
      <c r="F2500" s="5" t="s">
        <v>40</v>
      </c>
      <c r="G2500" s="6" t="n">
        <v>339</v>
      </c>
      <c r="H2500" s="6" t="n">
        <v>136</v>
      </c>
      <c r="I2500" s="7" t="n">
        <f aca="false">(G2500-H2500)/G2500</f>
        <v>0.59882005899705</v>
      </c>
      <c r="J2500" s="15" t="n">
        <v>0.4376</v>
      </c>
      <c r="K2500" s="11" t="str">
        <f aca="false">IF(I2500&lt;J2500,"TAK","NIE")</f>
        <v>NIE</v>
      </c>
    </row>
    <row r="2501" customFormat="false" ht="15" hidden="false" customHeight="false" outlineLevel="0" collapsed="false">
      <c r="A2501" s="5" t="s">
        <v>516</v>
      </c>
      <c r="B2501" s="5" t="s">
        <v>81</v>
      </c>
      <c r="C2501" s="5" t="n">
        <v>2021</v>
      </c>
      <c r="D2501" s="5" t="s">
        <v>77</v>
      </c>
      <c r="E2501" s="5" t="s">
        <v>89</v>
      </c>
      <c r="F2501" s="5" t="s">
        <v>40</v>
      </c>
      <c r="G2501" s="6" t="n">
        <v>339</v>
      </c>
      <c r="H2501" s="6" t="n">
        <v>128</v>
      </c>
      <c r="I2501" s="7" t="n">
        <f aca="false">(G2501-H2501)/G2501</f>
        <v>0.622418879056047</v>
      </c>
      <c r="J2501" s="15" t="n">
        <v>0.4376</v>
      </c>
      <c r="K2501" s="11" t="str">
        <f aca="false">IF(I2501&lt;J2501,"TAK","NIE")</f>
        <v>NIE</v>
      </c>
    </row>
    <row r="2502" customFormat="false" ht="15" hidden="false" customHeight="false" outlineLevel="0" collapsed="false">
      <c r="A2502" s="5" t="s">
        <v>517</v>
      </c>
      <c r="B2502" s="5" t="s">
        <v>81</v>
      </c>
      <c r="C2502" s="5" t="n">
        <v>2021</v>
      </c>
      <c r="D2502" s="5" t="s">
        <v>77</v>
      </c>
      <c r="E2502" s="5" t="s">
        <v>89</v>
      </c>
      <c r="F2502" s="5" t="s">
        <v>40</v>
      </c>
      <c r="G2502" s="6" t="n">
        <v>339</v>
      </c>
      <c r="H2502" s="6" t="n">
        <v>171</v>
      </c>
      <c r="I2502" s="7" t="n">
        <f aca="false">(G2502-H2502)/G2502</f>
        <v>0.495575221238938</v>
      </c>
      <c r="J2502" s="15" t="n">
        <v>0.4376</v>
      </c>
      <c r="K2502" s="11" t="str">
        <f aca="false">IF(I2502&lt;J2502,"TAK","NIE")</f>
        <v>NIE</v>
      </c>
    </row>
    <row r="2503" customFormat="false" ht="15" hidden="false" customHeight="false" outlineLevel="0" collapsed="false">
      <c r="A2503" s="5" t="s">
        <v>518</v>
      </c>
      <c r="B2503" s="5" t="s">
        <v>81</v>
      </c>
      <c r="C2503" s="5" t="n">
        <v>2021</v>
      </c>
      <c r="D2503" s="5" t="s">
        <v>77</v>
      </c>
      <c r="E2503" s="5" t="s">
        <v>89</v>
      </c>
      <c r="F2503" s="5" t="s">
        <v>40</v>
      </c>
      <c r="G2503" s="6" t="n">
        <v>315</v>
      </c>
      <c r="H2503" s="6" t="n">
        <v>125</v>
      </c>
      <c r="I2503" s="7" t="n">
        <f aca="false">(G2503-H2503)/G2503</f>
        <v>0.603174603174603</v>
      </c>
      <c r="J2503" s="15" t="n">
        <v>0.4376</v>
      </c>
      <c r="K2503" s="11" t="str">
        <f aca="false">IF(I2503&lt;J2503,"TAK","NIE")</f>
        <v>NIE</v>
      </c>
    </row>
    <row r="2504" customFormat="false" ht="15" hidden="false" customHeight="false" outlineLevel="0" collapsed="false">
      <c r="A2504" s="5" t="s">
        <v>519</v>
      </c>
      <c r="B2504" s="5" t="s">
        <v>81</v>
      </c>
      <c r="C2504" s="5" t="n">
        <v>2021</v>
      </c>
      <c r="D2504" s="5" t="s">
        <v>77</v>
      </c>
      <c r="E2504" s="5" t="s">
        <v>89</v>
      </c>
      <c r="F2504" s="5" t="s">
        <v>40</v>
      </c>
      <c r="G2504" s="6" t="n">
        <v>339</v>
      </c>
      <c r="H2504" s="6" t="n">
        <v>160</v>
      </c>
      <c r="I2504" s="7" t="n">
        <f aca="false">(G2504-H2504)/G2504</f>
        <v>0.528023598820059</v>
      </c>
      <c r="J2504" s="15" t="n">
        <v>0.4376</v>
      </c>
      <c r="K2504" s="11" t="str">
        <f aca="false">IF(I2504&lt;J2504,"TAK","NIE")</f>
        <v>NIE</v>
      </c>
    </row>
    <row r="2505" customFormat="false" ht="15" hidden="false" customHeight="false" outlineLevel="0" collapsed="false">
      <c r="A2505" s="5" t="s">
        <v>520</v>
      </c>
      <c r="B2505" s="5" t="s">
        <v>81</v>
      </c>
      <c r="C2505" s="5" t="n">
        <v>2021</v>
      </c>
      <c r="D2505" s="5" t="s">
        <v>77</v>
      </c>
      <c r="E2505" s="5" t="s">
        <v>89</v>
      </c>
      <c r="F2505" s="5" t="s">
        <v>40</v>
      </c>
      <c r="G2505" s="6" t="n">
        <v>328</v>
      </c>
      <c r="H2505" s="6" t="n">
        <v>194</v>
      </c>
      <c r="I2505" s="7" t="n">
        <f aca="false">(G2505-H2505)/G2505</f>
        <v>0.408536585365854</v>
      </c>
      <c r="J2505" s="15" t="n">
        <v>0.4376</v>
      </c>
      <c r="K2505" s="11" t="str">
        <f aca="false">IF(I2505&lt;J2505,"TAK","NIE")</f>
        <v>TAK</v>
      </c>
    </row>
    <row r="2506" customFormat="false" ht="15" hidden="false" customHeight="false" outlineLevel="0" collapsed="false">
      <c r="A2506" s="5" t="s">
        <v>522</v>
      </c>
      <c r="B2506" s="5" t="s">
        <v>81</v>
      </c>
      <c r="C2506" s="5" t="n">
        <v>2021</v>
      </c>
      <c r="D2506" s="5" t="s">
        <v>77</v>
      </c>
      <c r="E2506" s="5" t="s">
        <v>89</v>
      </c>
      <c r="F2506" s="5" t="s">
        <v>40</v>
      </c>
      <c r="G2506" s="6" t="n">
        <v>339</v>
      </c>
      <c r="H2506" s="6" t="n">
        <v>120</v>
      </c>
      <c r="I2506" s="7" t="n">
        <f aca="false">(G2506-H2506)/G2506</f>
        <v>0.646017699115044</v>
      </c>
      <c r="J2506" s="15" t="n">
        <v>0.4376</v>
      </c>
      <c r="K2506" s="11" t="str">
        <f aca="false">IF(I2506&lt;J2506,"TAK","NIE")</f>
        <v>NIE</v>
      </c>
    </row>
    <row r="2507" customFormat="false" ht="15" hidden="false" customHeight="false" outlineLevel="0" collapsed="false">
      <c r="A2507" s="5" t="s">
        <v>523</v>
      </c>
      <c r="B2507" s="5" t="s">
        <v>81</v>
      </c>
      <c r="C2507" s="5" t="n">
        <v>2021</v>
      </c>
      <c r="D2507" s="5" t="s">
        <v>77</v>
      </c>
      <c r="E2507" s="5" t="s">
        <v>89</v>
      </c>
      <c r="F2507" s="5" t="s">
        <v>40</v>
      </c>
      <c r="G2507" s="6" t="n">
        <v>339</v>
      </c>
      <c r="H2507" s="6" t="n">
        <v>103</v>
      </c>
      <c r="I2507" s="7" t="n">
        <f aca="false">(G2507-H2507)/G2507</f>
        <v>0.696165191740413</v>
      </c>
      <c r="J2507" s="15" t="n">
        <v>0.4376</v>
      </c>
      <c r="K2507" s="11" t="str">
        <f aca="false">IF(I2507&lt;J2507,"TAK","NIE")</f>
        <v>NIE</v>
      </c>
    </row>
    <row r="2508" customFormat="false" ht="15" hidden="false" customHeight="false" outlineLevel="0" collapsed="false">
      <c r="A2508" s="5" t="s">
        <v>524</v>
      </c>
      <c r="B2508" s="5" t="s">
        <v>81</v>
      </c>
      <c r="C2508" s="5" t="n">
        <v>2021</v>
      </c>
      <c r="D2508" s="5" t="s">
        <v>77</v>
      </c>
      <c r="E2508" s="5" t="s">
        <v>89</v>
      </c>
      <c r="F2508" s="5" t="s">
        <v>40</v>
      </c>
      <c r="G2508" s="6" t="n">
        <v>339</v>
      </c>
      <c r="H2508" s="6" t="n">
        <v>148</v>
      </c>
      <c r="I2508" s="7" t="n">
        <f aca="false">(G2508-H2508)/G2508</f>
        <v>0.563421828908555</v>
      </c>
      <c r="J2508" s="15" t="n">
        <v>0.4376</v>
      </c>
      <c r="K2508" s="11" t="str">
        <f aca="false">IF(I2508&lt;J2508,"TAK","NIE")</f>
        <v>NIE</v>
      </c>
    </row>
    <row r="2509" customFormat="false" ht="15" hidden="false" customHeight="false" outlineLevel="0" collapsed="false">
      <c r="A2509" s="5" t="s">
        <v>525</v>
      </c>
      <c r="B2509" s="5" t="s">
        <v>81</v>
      </c>
      <c r="C2509" s="5" t="n">
        <v>2021</v>
      </c>
      <c r="D2509" s="5" t="s">
        <v>77</v>
      </c>
      <c r="E2509" s="5" t="s">
        <v>89</v>
      </c>
      <c r="F2509" s="5" t="s">
        <v>40</v>
      </c>
      <c r="G2509" s="6" t="n">
        <v>339</v>
      </c>
      <c r="H2509" s="6" t="n">
        <v>154</v>
      </c>
      <c r="I2509" s="7" t="n">
        <f aca="false">(G2509-H2509)/G2509</f>
        <v>0.545722713864307</v>
      </c>
      <c r="J2509" s="15" t="n">
        <v>0.4376</v>
      </c>
      <c r="K2509" s="11" t="str">
        <f aca="false">IF(I2509&lt;J2509,"TAK","NIE")</f>
        <v>NIE</v>
      </c>
    </row>
    <row r="2510" customFormat="false" ht="15" hidden="false" customHeight="false" outlineLevel="0" collapsed="false">
      <c r="A2510" s="5" t="s">
        <v>526</v>
      </c>
      <c r="B2510" s="5" t="s">
        <v>81</v>
      </c>
      <c r="C2510" s="5" t="n">
        <v>2021</v>
      </c>
      <c r="D2510" s="5" t="s">
        <v>77</v>
      </c>
      <c r="E2510" s="5" t="s">
        <v>89</v>
      </c>
      <c r="F2510" s="5" t="s">
        <v>40</v>
      </c>
      <c r="G2510" s="6" t="n">
        <v>339</v>
      </c>
      <c r="H2510" s="6" t="n">
        <v>65</v>
      </c>
      <c r="I2510" s="7" t="n">
        <f aca="false">(G2510-H2510)/G2510</f>
        <v>0.808259587020649</v>
      </c>
      <c r="J2510" s="15" t="n">
        <v>0.4376</v>
      </c>
      <c r="K2510" s="11" t="str">
        <f aca="false">IF(I2510&lt;J2510,"TAK","NIE")</f>
        <v>NIE</v>
      </c>
    </row>
    <row r="2511" customFormat="false" ht="15" hidden="false" customHeight="false" outlineLevel="0" collapsed="false">
      <c r="A2511" s="5" t="s">
        <v>527</v>
      </c>
      <c r="B2511" s="5" t="s">
        <v>81</v>
      </c>
      <c r="C2511" s="5" t="n">
        <v>2021</v>
      </c>
      <c r="D2511" s="5" t="s">
        <v>77</v>
      </c>
      <c r="E2511" s="5" t="s">
        <v>89</v>
      </c>
      <c r="F2511" s="5" t="s">
        <v>40</v>
      </c>
      <c r="G2511" s="6" t="n">
        <v>339</v>
      </c>
      <c r="H2511" s="6" t="n">
        <v>130</v>
      </c>
      <c r="I2511" s="7" t="n">
        <f aca="false">(G2511-H2511)/G2511</f>
        <v>0.616519174041298</v>
      </c>
      <c r="J2511" s="15" t="n">
        <v>0.4376</v>
      </c>
      <c r="K2511" s="11" t="str">
        <f aca="false">IF(I2511&lt;J2511,"TAK","NIE")</f>
        <v>NIE</v>
      </c>
    </row>
    <row r="2512" customFormat="false" ht="15" hidden="false" customHeight="false" outlineLevel="0" collapsed="false">
      <c r="A2512" s="5" t="s">
        <v>528</v>
      </c>
      <c r="B2512" s="5" t="s">
        <v>81</v>
      </c>
      <c r="C2512" s="5" t="n">
        <v>2021</v>
      </c>
      <c r="D2512" s="5" t="s">
        <v>77</v>
      </c>
      <c r="E2512" s="5" t="s">
        <v>89</v>
      </c>
      <c r="F2512" s="5" t="s">
        <v>40</v>
      </c>
      <c r="G2512" s="6" t="n">
        <v>339</v>
      </c>
      <c r="H2512" s="6" t="n">
        <v>117</v>
      </c>
      <c r="I2512" s="7" t="n">
        <f aca="false">(G2512-H2512)/G2512</f>
        <v>0.654867256637168</v>
      </c>
      <c r="J2512" s="15" t="n">
        <v>0.4376</v>
      </c>
      <c r="K2512" s="11" t="str">
        <f aca="false">IF(I2512&lt;J2512,"TAK","NIE")</f>
        <v>NIE</v>
      </c>
    </row>
    <row r="2513" customFormat="false" ht="15" hidden="false" customHeight="false" outlineLevel="0" collapsed="false">
      <c r="A2513" s="5" t="s">
        <v>529</v>
      </c>
      <c r="B2513" s="5" t="s">
        <v>81</v>
      </c>
      <c r="C2513" s="5" t="n">
        <v>2021</v>
      </c>
      <c r="D2513" s="5" t="s">
        <v>77</v>
      </c>
      <c r="E2513" s="5" t="s">
        <v>89</v>
      </c>
      <c r="F2513" s="5" t="s">
        <v>40</v>
      </c>
      <c r="G2513" s="6" t="n">
        <v>339</v>
      </c>
      <c r="H2513" s="6" t="n">
        <v>119</v>
      </c>
      <c r="I2513" s="7" t="n">
        <f aca="false">(G2513-H2513)/G2513</f>
        <v>0.648967551622419</v>
      </c>
      <c r="J2513" s="15" t="n">
        <v>0.4376</v>
      </c>
      <c r="K2513" s="11" t="str">
        <f aca="false">IF(I2513&lt;J2513,"TAK","NIE")</f>
        <v>NIE</v>
      </c>
    </row>
    <row r="2514" customFormat="false" ht="15" hidden="false" customHeight="false" outlineLevel="0" collapsed="false">
      <c r="A2514" s="5" t="s">
        <v>530</v>
      </c>
      <c r="B2514" s="5" t="s">
        <v>81</v>
      </c>
      <c r="C2514" s="5" t="n">
        <v>2021</v>
      </c>
      <c r="D2514" s="5" t="s">
        <v>77</v>
      </c>
      <c r="E2514" s="5" t="s">
        <v>89</v>
      </c>
      <c r="F2514" s="5" t="s">
        <v>40</v>
      </c>
      <c r="G2514" s="6" t="n">
        <v>328</v>
      </c>
      <c r="H2514" s="6" t="n">
        <v>142</v>
      </c>
      <c r="I2514" s="7" t="n">
        <f aca="false">(G2514-H2514)/G2514</f>
        <v>0.567073170731707</v>
      </c>
      <c r="J2514" s="15" t="n">
        <v>0.4376</v>
      </c>
      <c r="K2514" s="11" t="str">
        <f aca="false">IF(I2514&lt;J2514,"TAK","NIE")</f>
        <v>NIE</v>
      </c>
    </row>
    <row r="2515" customFormat="false" ht="15" hidden="false" customHeight="false" outlineLevel="0" collapsed="false">
      <c r="A2515" s="5" t="s">
        <v>531</v>
      </c>
      <c r="B2515" s="5" t="s">
        <v>81</v>
      </c>
      <c r="C2515" s="5" t="n">
        <v>2021</v>
      </c>
      <c r="D2515" s="5" t="s">
        <v>77</v>
      </c>
      <c r="E2515" s="5" t="s">
        <v>89</v>
      </c>
      <c r="F2515" s="5" t="s">
        <v>40</v>
      </c>
      <c r="G2515" s="6" t="n">
        <v>328</v>
      </c>
      <c r="H2515" s="6" t="n">
        <v>112</v>
      </c>
      <c r="I2515" s="7" t="n">
        <f aca="false">(G2515-H2515)/G2515</f>
        <v>0.658536585365854</v>
      </c>
      <c r="J2515" s="15" t="n">
        <v>0.4376</v>
      </c>
      <c r="K2515" s="11" t="str">
        <f aca="false">IF(I2515&lt;J2515,"TAK","NIE")</f>
        <v>NIE</v>
      </c>
    </row>
    <row r="2516" customFormat="false" ht="15" hidden="false" customHeight="false" outlineLevel="0" collapsed="false">
      <c r="A2516" s="5" t="s">
        <v>532</v>
      </c>
      <c r="B2516" s="5" t="s">
        <v>81</v>
      </c>
      <c r="C2516" s="5" t="n">
        <v>2021</v>
      </c>
      <c r="D2516" s="5" t="s">
        <v>77</v>
      </c>
      <c r="E2516" s="5" t="s">
        <v>89</v>
      </c>
      <c r="F2516" s="5" t="s">
        <v>40</v>
      </c>
      <c r="G2516" s="6" t="n">
        <v>328</v>
      </c>
      <c r="H2516" s="6" t="n">
        <v>88</v>
      </c>
      <c r="I2516" s="7" t="n">
        <f aca="false">(G2516-H2516)/G2516</f>
        <v>0.731707317073171</v>
      </c>
      <c r="J2516" s="15" t="n">
        <v>0.4376</v>
      </c>
      <c r="K2516" s="11" t="str">
        <f aca="false">IF(I2516&lt;J2516,"TAK","NIE")</f>
        <v>NIE</v>
      </c>
    </row>
    <row r="2517" customFormat="false" ht="15" hidden="false" customHeight="false" outlineLevel="0" collapsed="false">
      <c r="A2517" s="5" t="s">
        <v>533</v>
      </c>
      <c r="B2517" s="5" t="s">
        <v>81</v>
      </c>
      <c r="C2517" s="5" t="n">
        <v>2021</v>
      </c>
      <c r="D2517" s="5" t="s">
        <v>77</v>
      </c>
      <c r="E2517" s="5" t="s">
        <v>89</v>
      </c>
      <c r="F2517" s="5" t="s">
        <v>40</v>
      </c>
      <c r="G2517" s="6" t="n">
        <v>339</v>
      </c>
      <c r="H2517" s="6" t="n">
        <v>123</v>
      </c>
      <c r="I2517" s="7" t="n">
        <f aca="false">(G2517-H2517)/G2517</f>
        <v>0.63716814159292</v>
      </c>
      <c r="J2517" s="15" t="n">
        <v>0.4376</v>
      </c>
      <c r="K2517" s="11" t="str">
        <f aca="false">IF(I2517&lt;J2517,"TAK","NIE")</f>
        <v>NIE</v>
      </c>
    </row>
    <row r="2518" customFormat="false" ht="15" hidden="false" customHeight="false" outlineLevel="0" collapsed="false">
      <c r="A2518" s="5" t="s">
        <v>534</v>
      </c>
      <c r="B2518" s="5" t="s">
        <v>81</v>
      </c>
      <c r="C2518" s="5" t="n">
        <v>2021</v>
      </c>
      <c r="D2518" s="5" t="s">
        <v>77</v>
      </c>
      <c r="E2518" s="5" t="s">
        <v>89</v>
      </c>
      <c r="F2518" s="5" t="s">
        <v>40</v>
      </c>
      <c r="G2518" s="6" t="n">
        <v>339</v>
      </c>
      <c r="H2518" s="6" t="n">
        <v>137</v>
      </c>
      <c r="I2518" s="7" t="n">
        <f aca="false">(G2518-H2518)/G2518</f>
        <v>0.595870206489676</v>
      </c>
      <c r="J2518" s="15" t="n">
        <v>0.4376</v>
      </c>
      <c r="K2518" s="11" t="str">
        <f aca="false">IF(I2518&lt;J2518,"TAK","NIE")</f>
        <v>NIE</v>
      </c>
    </row>
    <row r="2519" customFormat="false" ht="15" hidden="false" customHeight="false" outlineLevel="0" collapsed="false">
      <c r="A2519" s="5" t="s">
        <v>535</v>
      </c>
      <c r="B2519" s="5" t="s">
        <v>90</v>
      </c>
      <c r="C2519" s="5" t="n">
        <v>2022</v>
      </c>
      <c r="D2519" s="5" t="s">
        <v>49</v>
      </c>
      <c r="E2519" s="5" t="s">
        <v>55</v>
      </c>
      <c r="F2519" s="5" t="s">
        <v>39</v>
      </c>
      <c r="G2519" s="6" t="n">
        <v>677</v>
      </c>
      <c r="H2519" s="6" t="n">
        <v>23</v>
      </c>
      <c r="I2519" s="7" t="n">
        <f aca="false">(G2519-H2519)/G2519</f>
        <v>0.96602658788774</v>
      </c>
      <c r="J2519" s="15" t="n">
        <v>0.4165</v>
      </c>
      <c r="K2519" s="11" t="str">
        <f aca="false">IF(I2519&lt;J2519,"TAK","NIE")</f>
        <v>NIE</v>
      </c>
    </row>
    <row r="2520" customFormat="false" ht="15" hidden="false" customHeight="false" outlineLevel="0" collapsed="false">
      <c r="A2520" s="5" t="s">
        <v>536</v>
      </c>
      <c r="B2520" s="5" t="s">
        <v>90</v>
      </c>
      <c r="C2520" s="5" t="n">
        <v>2022</v>
      </c>
      <c r="D2520" s="5" t="s">
        <v>49</v>
      </c>
      <c r="E2520" s="5" t="s">
        <v>55</v>
      </c>
      <c r="F2520" s="5" t="s">
        <v>39</v>
      </c>
      <c r="G2520" s="6" t="n">
        <v>672</v>
      </c>
      <c r="H2520" s="6" t="n">
        <v>30</v>
      </c>
      <c r="I2520" s="7" t="n">
        <f aca="false">(G2520-H2520)/G2520</f>
        <v>0.955357142857143</v>
      </c>
      <c r="J2520" s="15" t="n">
        <v>0.4165</v>
      </c>
      <c r="K2520" s="11" t="str">
        <f aca="false">IF(I2520&lt;J2520,"TAK","NIE")</f>
        <v>NIE</v>
      </c>
    </row>
    <row r="2521" customFormat="false" ht="15" hidden="false" customHeight="false" outlineLevel="0" collapsed="false">
      <c r="A2521" s="5" t="s">
        <v>537</v>
      </c>
      <c r="B2521" s="5" t="s">
        <v>90</v>
      </c>
      <c r="C2521" s="5" t="n">
        <v>2022</v>
      </c>
      <c r="D2521" s="5" t="s">
        <v>49</v>
      </c>
      <c r="E2521" s="5" t="s">
        <v>55</v>
      </c>
      <c r="F2521" s="5" t="s">
        <v>39</v>
      </c>
      <c r="G2521" s="6" t="n">
        <v>89</v>
      </c>
      <c r="H2521" s="6" t="n">
        <v>28</v>
      </c>
      <c r="I2521" s="7" t="n">
        <f aca="false">(G2521-H2521)/G2521</f>
        <v>0.685393258426966</v>
      </c>
      <c r="J2521" s="15" t="n">
        <v>0.4165</v>
      </c>
      <c r="K2521" s="11" t="str">
        <f aca="false">IF(I2521&lt;J2521,"TAK","NIE")</f>
        <v>NIE</v>
      </c>
    </row>
    <row r="2522" customFormat="false" ht="15" hidden="false" customHeight="false" outlineLevel="0" collapsed="false">
      <c r="A2522" s="5" t="s">
        <v>538</v>
      </c>
      <c r="B2522" s="5" t="s">
        <v>90</v>
      </c>
      <c r="C2522" s="5" t="n">
        <v>2022</v>
      </c>
      <c r="D2522" s="5" t="s">
        <v>49</v>
      </c>
      <c r="E2522" s="5" t="s">
        <v>55</v>
      </c>
      <c r="F2522" s="5" t="s">
        <v>39</v>
      </c>
      <c r="G2522" s="6" t="n">
        <v>89</v>
      </c>
      <c r="H2522" s="6" t="n">
        <v>30</v>
      </c>
      <c r="I2522" s="7" t="n">
        <f aca="false">(G2522-H2522)/G2522</f>
        <v>0.662921348314607</v>
      </c>
      <c r="J2522" s="15" t="n">
        <v>0.4165</v>
      </c>
      <c r="K2522" s="11" t="str">
        <f aca="false">IF(I2522&lt;J2522,"TAK","NIE")</f>
        <v>NIE</v>
      </c>
    </row>
    <row r="2523" customFormat="false" ht="15" hidden="false" customHeight="false" outlineLevel="0" collapsed="false">
      <c r="A2523" s="5" t="s">
        <v>539</v>
      </c>
      <c r="B2523" s="5" t="s">
        <v>90</v>
      </c>
      <c r="C2523" s="5" t="n">
        <v>2022</v>
      </c>
      <c r="D2523" s="5" t="s">
        <v>49</v>
      </c>
      <c r="E2523" s="5" t="s">
        <v>55</v>
      </c>
      <c r="F2523" s="5" t="s">
        <v>39</v>
      </c>
      <c r="G2523" s="6" t="n">
        <v>634</v>
      </c>
      <c r="H2523" s="6" t="n">
        <v>98</v>
      </c>
      <c r="I2523" s="7" t="n">
        <f aca="false">(G2523-H2523)/G2523</f>
        <v>0.845425867507886</v>
      </c>
      <c r="J2523" s="15" t="n">
        <v>0.4165</v>
      </c>
      <c r="K2523" s="11" t="str">
        <f aca="false">IF(I2523&lt;J2523,"TAK","NIE")</f>
        <v>NIE</v>
      </c>
    </row>
    <row r="2524" customFormat="false" ht="15" hidden="false" customHeight="false" outlineLevel="0" collapsed="false">
      <c r="A2524" s="5" t="s">
        <v>540</v>
      </c>
      <c r="B2524" s="5" t="s">
        <v>90</v>
      </c>
      <c r="C2524" s="5" t="n">
        <v>2022</v>
      </c>
      <c r="D2524" s="5" t="s">
        <v>49</v>
      </c>
      <c r="E2524" s="5" t="s">
        <v>55</v>
      </c>
      <c r="F2524" s="5" t="s">
        <v>39</v>
      </c>
      <c r="G2524" s="6" t="n">
        <v>677</v>
      </c>
      <c r="H2524" s="6" t="n">
        <v>131</v>
      </c>
      <c r="I2524" s="7" t="n">
        <f aca="false">(G2524-H2524)/G2524</f>
        <v>0.806499261447563</v>
      </c>
      <c r="J2524" s="15" t="n">
        <v>0.4165</v>
      </c>
      <c r="K2524" s="11" t="str">
        <f aca="false">IF(I2524&lt;J2524,"TAK","NIE")</f>
        <v>NIE</v>
      </c>
    </row>
    <row r="2525" customFormat="false" ht="15" hidden="false" customHeight="false" outlineLevel="0" collapsed="false">
      <c r="A2525" s="5" t="s">
        <v>541</v>
      </c>
      <c r="B2525" s="5" t="s">
        <v>90</v>
      </c>
      <c r="C2525" s="5" t="n">
        <v>2022</v>
      </c>
      <c r="D2525" s="5" t="s">
        <v>49</v>
      </c>
      <c r="E2525" s="5" t="s">
        <v>55</v>
      </c>
      <c r="F2525" s="5" t="s">
        <v>39</v>
      </c>
      <c r="G2525" s="6" t="n">
        <v>677</v>
      </c>
      <c r="H2525" s="6" t="n">
        <v>125</v>
      </c>
      <c r="I2525" s="7" t="n">
        <f aca="false">(G2525-H2525)/G2525</f>
        <v>0.815361890694239</v>
      </c>
      <c r="J2525" s="15" t="n">
        <v>0.4165</v>
      </c>
      <c r="K2525" s="11" t="str">
        <f aca="false">IF(I2525&lt;J2525,"TAK","NIE")</f>
        <v>NIE</v>
      </c>
    </row>
    <row r="2526" customFormat="false" ht="15" hidden="false" customHeight="false" outlineLevel="0" collapsed="false">
      <c r="A2526" s="5" t="s">
        <v>542</v>
      </c>
      <c r="B2526" s="5" t="s">
        <v>90</v>
      </c>
      <c r="C2526" s="5" t="n">
        <v>2022</v>
      </c>
      <c r="D2526" s="5" t="s">
        <v>49</v>
      </c>
      <c r="E2526" s="5" t="s">
        <v>55</v>
      </c>
      <c r="F2526" s="5" t="s">
        <v>39</v>
      </c>
      <c r="G2526" s="6" t="n">
        <v>677</v>
      </c>
      <c r="H2526" s="6" t="n">
        <v>281</v>
      </c>
      <c r="I2526" s="7" t="n">
        <f aca="false">(G2526-H2526)/G2526</f>
        <v>0.58493353028065</v>
      </c>
      <c r="J2526" s="15" t="n">
        <v>0.4165</v>
      </c>
      <c r="K2526" s="11" t="str">
        <f aca="false">IF(I2526&lt;J2526,"TAK","NIE")</f>
        <v>NIE</v>
      </c>
    </row>
    <row r="2527" customFormat="false" ht="15" hidden="false" customHeight="false" outlineLevel="0" collapsed="false">
      <c r="A2527" s="5" t="s">
        <v>543</v>
      </c>
      <c r="B2527" s="5" t="s">
        <v>90</v>
      </c>
      <c r="C2527" s="5" t="n">
        <v>2022</v>
      </c>
      <c r="D2527" s="5" t="s">
        <v>49</v>
      </c>
      <c r="E2527" s="5" t="s">
        <v>55</v>
      </c>
      <c r="F2527" s="5" t="s">
        <v>39</v>
      </c>
      <c r="G2527" s="6" t="n">
        <v>677</v>
      </c>
      <c r="H2527" s="6" t="n">
        <v>199</v>
      </c>
      <c r="I2527" s="7" t="n">
        <f aca="false">(G2527-H2527)/G2527</f>
        <v>0.706056129985229</v>
      </c>
      <c r="J2527" s="15" t="n">
        <v>0.4165</v>
      </c>
      <c r="K2527" s="11" t="str">
        <f aca="false">IF(I2527&lt;J2527,"TAK","NIE")</f>
        <v>NIE</v>
      </c>
    </row>
    <row r="2528" customFormat="false" ht="15" hidden="false" customHeight="false" outlineLevel="0" collapsed="false">
      <c r="A2528" s="5" t="s">
        <v>544</v>
      </c>
      <c r="B2528" s="5" t="s">
        <v>90</v>
      </c>
      <c r="C2528" s="5" t="n">
        <v>2022</v>
      </c>
      <c r="D2528" s="5" t="s">
        <v>49</v>
      </c>
      <c r="E2528" s="5" t="s">
        <v>55</v>
      </c>
      <c r="F2528" s="5" t="s">
        <v>39</v>
      </c>
      <c r="G2528" s="6" t="n">
        <v>634</v>
      </c>
      <c r="H2528" s="6" t="n">
        <v>18</v>
      </c>
      <c r="I2528" s="7" t="n">
        <f aca="false">(G2528-H2528)/G2528</f>
        <v>0.971608832807571</v>
      </c>
      <c r="J2528" s="15" t="n">
        <v>0.4165</v>
      </c>
      <c r="K2528" s="11" t="str">
        <f aca="false">IF(I2528&lt;J2528,"TAK","NIE")</f>
        <v>NIE</v>
      </c>
    </row>
    <row r="2529" customFormat="false" ht="15" hidden="false" customHeight="false" outlineLevel="0" collapsed="false">
      <c r="A2529" s="5" t="s">
        <v>545</v>
      </c>
      <c r="B2529" s="5" t="s">
        <v>90</v>
      </c>
      <c r="C2529" s="5" t="n">
        <v>2022</v>
      </c>
      <c r="D2529" s="5" t="s">
        <v>49</v>
      </c>
      <c r="E2529" s="5" t="s">
        <v>55</v>
      </c>
      <c r="F2529" s="5" t="s">
        <v>39</v>
      </c>
      <c r="G2529" s="6" t="n">
        <v>634</v>
      </c>
      <c r="H2529" s="6" t="n">
        <v>121</v>
      </c>
      <c r="I2529" s="7" t="n">
        <f aca="false">(G2529-H2529)/G2529</f>
        <v>0.809148264984227</v>
      </c>
      <c r="J2529" s="15" t="n">
        <v>0.4165</v>
      </c>
      <c r="K2529" s="11" t="str">
        <f aca="false">IF(I2529&lt;J2529,"TAK","NIE")</f>
        <v>NIE</v>
      </c>
    </row>
    <row r="2530" customFormat="false" ht="15" hidden="false" customHeight="false" outlineLevel="0" collapsed="false">
      <c r="A2530" s="5" t="s">
        <v>546</v>
      </c>
      <c r="B2530" s="5" t="s">
        <v>90</v>
      </c>
      <c r="C2530" s="5" t="n">
        <v>2022</v>
      </c>
      <c r="D2530" s="5" t="s">
        <v>49</v>
      </c>
      <c r="E2530" s="5" t="s">
        <v>55</v>
      </c>
      <c r="F2530" s="5" t="s">
        <v>39</v>
      </c>
      <c r="G2530" s="6" t="n">
        <v>672</v>
      </c>
      <c r="H2530" s="6" t="n">
        <v>98</v>
      </c>
      <c r="I2530" s="7" t="n">
        <f aca="false">(G2530-H2530)/G2530</f>
        <v>0.854166666666667</v>
      </c>
      <c r="J2530" s="15" t="n">
        <v>0.4165</v>
      </c>
      <c r="K2530" s="11" t="str">
        <f aca="false">IF(I2530&lt;J2530,"TAK","NIE")</f>
        <v>NIE</v>
      </c>
    </row>
    <row r="2531" customFormat="false" ht="15" hidden="false" customHeight="false" outlineLevel="0" collapsed="false">
      <c r="A2531" s="5" t="s">
        <v>547</v>
      </c>
      <c r="B2531" s="5" t="s">
        <v>90</v>
      </c>
      <c r="C2531" s="5" t="n">
        <v>2022</v>
      </c>
      <c r="D2531" s="5" t="s">
        <v>49</v>
      </c>
      <c r="E2531" s="5" t="s">
        <v>55</v>
      </c>
      <c r="F2531" s="5" t="s">
        <v>39</v>
      </c>
      <c r="G2531" s="6" t="n">
        <v>634</v>
      </c>
      <c r="H2531" s="6" t="n">
        <v>252</v>
      </c>
      <c r="I2531" s="7" t="n">
        <f aca="false">(G2531-H2531)/G2531</f>
        <v>0.602523659305994</v>
      </c>
      <c r="J2531" s="15" t="n">
        <v>0.4165</v>
      </c>
      <c r="K2531" s="11" t="str">
        <f aca="false">IF(I2531&lt;J2531,"TAK","NIE")</f>
        <v>NIE</v>
      </c>
    </row>
    <row r="2532" customFormat="false" ht="15" hidden="false" customHeight="false" outlineLevel="0" collapsed="false">
      <c r="A2532" s="5" t="s">
        <v>548</v>
      </c>
      <c r="B2532" s="5" t="s">
        <v>90</v>
      </c>
      <c r="C2532" s="5" t="n">
        <v>2022</v>
      </c>
      <c r="D2532" s="5" t="s">
        <v>49</v>
      </c>
      <c r="E2532" s="5" t="s">
        <v>55</v>
      </c>
      <c r="F2532" s="5" t="s">
        <v>39</v>
      </c>
      <c r="G2532" s="6" t="n">
        <v>672</v>
      </c>
      <c r="H2532" s="6" t="n">
        <v>269</v>
      </c>
      <c r="I2532" s="7" t="n">
        <f aca="false">(G2532-H2532)/G2532</f>
        <v>0.599702380952381</v>
      </c>
      <c r="J2532" s="15" t="n">
        <v>0.4165</v>
      </c>
      <c r="K2532" s="11" t="str">
        <f aca="false">IF(I2532&lt;J2532,"TAK","NIE")</f>
        <v>NIE</v>
      </c>
    </row>
    <row r="2533" customFormat="false" ht="15" hidden="false" customHeight="false" outlineLevel="0" collapsed="false">
      <c r="A2533" s="5" t="s">
        <v>549</v>
      </c>
      <c r="B2533" s="5" t="s">
        <v>90</v>
      </c>
      <c r="C2533" s="5" t="n">
        <v>2022</v>
      </c>
      <c r="D2533" s="5" t="s">
        <v>49</v>
      </c>
      <c r="E2533" s="5" t="s">
        <v>55</v>
      </c>
      <c r="F2533" s="5" t="s">
        <v>39</v>
      </c>
      <c r="G2533" s="6" t="n">
        <v>31</v>
      </c>
      <c r="H2533" s="6" t="n">
        <v>6</v>
      </c>
      <c r="I2533" s="7" t="n">
        <f aca="false">(G2533-H2533)/G2533</f>
        <v>0.806451612903226</v>
      </c>
      <c r="J2533" s="15" t="n">
        <v>0.4165</v>
      </c>
      <c r="K2533" s="11" t="str">
        <f aca="false">IF(I2533&lt;J2533,"TAK","NIE")</f>
        <v>NIE</v>
      </c>
    </row>
    <row r="2534" customFormat="false" ht="15" hidden="false" customHeight="false" outlineLevel="0" collapsed="false">
      <c r="A2534" s="5" t="s">
        <v>550</v>
      </c>
      <c r="B2534" s="5" t="s">
        <v>90</v>
      </c>
      <c r="C2534" s="5" t="n">
        <v>2022</v>
      </c>
      <c r="D2534" s="5" t="s">
        <v>49</v>
      </c>
      <c r="E2534" s="5" t="s">
        <v>55</v>
      </c>
      <c r="F2534" s="5" t="s">
        <v>39</v>
      </c>
      <c r="G2534" s="6" t="n">
        <v>672</v>
      </c>
      <c r="H2534" s="6" t="n">
        <v>213</v>
      </c>
      <c r="I2534" s="7" t="n">
        <f aca="false">(G2534-H2534)/G2534</f>
        <v>0.683035714285714</v>
      </c>
      <c r="J2534" s="15" t="n">
        <v>0.4165</v>
      </c>
      <c r="K2534" s="11" t="str">
        <f aca="false">IF(I2534&lt;J2534,"TAK","NIE")</f>
        <v>NIE</v>
      </c>
    </row>
    <row r="2535" customFormat="false" ht="15" hidden="false" customHeight="false" outlineLevel="0" collapsed="false">
      <c r="A2535" s="5" t="s">
        <v>551</v>
      </c>
      <c r="B2535" s="5" t="s">
        <v>90</v>
      </c>
      <c r="C2535" s="5" t="n">
        <v>2022</v>
      </c>
      <c r="D2535" s="5" t="s">
        <v>49</v>
      </c>
      <c r="E2535" s="5" t="s">
        <v>55</v>
      </c>
      <c r="F2535" s="5" t="s">
        <v>39</v>
      </c>
      <c r="G2535" s="6" t="n">
        <v>677</v>
      </c>
      <c r="H2535" s="6" t="n">
        <v>159</v>
      </c>
      <c r="I2535" s="7" t="n">
        <f aca="false">(G2535-H2535)/G2535</f>
        <v>0.765140324963072</v>
      </c>
      <c r="J2535" s="15" t="n">
        <v>0.4165</v>
      </c>
      <c r="K2535" s="11" t="str">
        <f aca="false">IF(I2535&lt;J2535,"TAK","NIE")</f>
        <v>NIE</v>
      </c>
    </row>
    <row r="2536" customFormat="false" ht="15" hidden="false" customHeight="false" outlineLevel="0" collapsed="false">
      <c r="A2536" s="5" t="s">
        <v>552</v>
      </c>
      <c r="B2536" s="5" t="s">
        <v>90</v>
      </c>
      <c r="C2536" s="5" t="n">
        <v>2022</v>
      </c>
      <c r="D2536" s="5" t="s">
        <v>49</v>
      </c>
      <c r="E2536" s="5" t="s">
        <v>55</v>
      </c>
      <c r="F2536" s="5" t="s">
        <v>39</v>
      </c>
      <c r="G2536" s="6" t="n">
        <v>634</v>
      </c>
      <c r="H2536" s="6" t="n">
        <v>99</v>
      </c>
      <c r="I2536" s="7" t="n">
        <f aca="false">(G2536-H2536)/G2536</f>
        <v>0.84384858044164</v>
      </c>
      <c r="J2536" s="15" t="n">
        <v>0.4165</v>
      </c>
      <c r="K2536" s="11" t="str">
        <f aca="false">IF(I2536&lt;J2536,"TAK","NIE")</f>
        <v>NIE</v>
      </c>
    </row>
    <row r="2537" customFormat="false" ht="15" hidden="false" customHeight="false" outlineLevel="0" collapsed="false">
      <c r="A2537" s="5" t="s">
        <v>553</v>
      </c>
      <c r="B2537" s="5" t="s">
        <v>90</v>
      </c>
      <c r="C2537" s="5" t="n">
        <v>2022</v>
      </c>
      <c r="D2537" s="5" t="s">
        <v>49</v>
      </c>
      <c r="E2537" s="5" t="s">
        <v>55</v>
      </c>
      <c r="F2537" s="5" t="s">
        <v>39</v>
      </c>
      <c r="G2537" s="6" t="n">
        <v>634</v>
      </c>
      <c r="H2537" s="6" t="n">
        <v>6</v>
      </c>
      <c r="I2537" s="7" t="n">
        <f aca="false">(G2537-H2537)/G2537</f>
        <v>0.990536277602524</v>
      </c>
      <c r="J2537" s="15" t="n">
        <v>0.4165</v>
      </c>
      <c r="K2537" s="11" t="str">
        <f aca="false">IF(I2537&lt;J2537,"TAK","NIE")</f>
        <v>NIE</v>
      </c>
    </row>
    <row r="2538" customFormat="false" ht="15" hidden="false" customHeight="false" outlineLevel="0" collapsed="false">
      <c r="A2538" s="5" t="s">
        <v>554</v>
      </c>
      <c r="B2538" s="5" t="s">
        <v>90</v>
      </c>
      <c r="C2538" s="5" t="n">
        <v>2022</v>
      </c>
      <c r="D2538" s="5" t="s">
        <v>49</v>
      </c>
      <c r="E2538" s="5" t="s">
        <v>55</v>
      </c>
      <c r="F2538" s="5" t="s">
        <v>39</v>
      </c>
      <c r="G2538" s="6" t="n">
        <v>545</v>
      </c>
      <c r="H2538" s="6" t="n">
        <v>170</v>
      </c>
      <c r="I2538" s="7" t="n">
        <f aca="false">(G2538-H2538)/G2538</f>
        <v>0.688073394495413</v>
      </c>
      <c r="J2538" s="15" t="n">
        <v>0.4165</v>
      </c>
      <c r="K2538" s="11" t="str">
        <f aca="false">IF(I2538&lt;J2538,"TAK","NIE")</f>
        <v>NIE</v>
      </c>
    </row>
    <row r="2539" customFormat="false" ht="15" hidden="false" customHeight="false" outlineLevel="0" collapsed="false">
      <c r="A2539" s="5" t="s">
        <v>555</v>
      </c>
      <c r="B2539" s="5" t="s">
        <v>90</v>
      </c>
      <c r="C2539" s="5" t="n">
        <v>2022</v>
      </c>
      <c r="D2539" s="5" t="s">
        <v>49</v>
      </c>
      <c r="E2539" s="5" t="s">
        <v>55</v>
      </c>
      <c r="F2539" s="5" t="s">
        <v>39</v>
      </c>
      <c r="G2539" s="6" t="n">
        <v>677</v>
      </c>
      <c r="H2539" s="6" t="n">
        <v>270</v>
      </c>
      <c r="I2539" s="7" t="n">
        <f aca="false">(G2539-H2539)/G2539</f>
        <v>0.601181683899557</v>
      </c>
      <c r="J2539" s="15" t="n">
        <v>0.4165</v>
      </c>
      <c r="K2539" s="11" t="str">
        <f aca="false">IF(I2539&lt;J2539,"TAK","NIE")</f>
        <v>NIE</v>
      </c>
    </row>
    <row r="2540" customFormat="false" ht="15" hidden="false" customHeight="false" outlineLevel="0" collapsed="false">
      <c r="A2540" s="5" t="s">
        <v>556</v>
      </c>
      <c r="B2540" s="5" t="s">
        <v>90</v>
      </c>
      <c r="C2540" s="5" t="n">
        <v>2022</v>
      </c>
      <c r="D2540" s="5" t="s">
        <v>49</v>
      </c>
      <c r="E2540" s="5" t="s">
        <v>55</v>
      </c>
      <c r="F2540" s="5" t="s">
        <v>39</v>
      </c>
      <c r="G2540" s="6" t="n">
        <v>672</v>
      </c>
      <c r="H2540" s="6" t="n">
        <v>136</v>
      </c>
      <c r="I2540" s="7" t="n">
        <f aca="false">(G2540-H2540)/G2540</f>
        <v>0.797619047619048</v>
      </c>
      <c r="J2540" s="15" t="n">
        <v>0.4165</v>
      </c>
      <c r="K2540" s="11" t="str">
        <f aca="false">IF(I2540&lt;J2540,"TAK","NIE")</f>
        <v>NIE</v>
      </c>
    </row>
    <row r="2541" customFormat="false" ht="15" hidden="false" customHeight="false" outlineLevel="0" collapsed="false">
      <c r="A2541" s="5" t="s">
        <v>557</v>
      </c>
      <c r="B2541" s="5" t="s">
        <v>90</v>
      </c>
      <c r="C2541" s="5" t="n">
        <v>2022</v>
      </c>
      <c r="D2541" s="5" t="s">
        <v>49</v>
      </c>
      <c r="E2541" s="5" t="s">
        <v>55</v>
      </c>
      <c r="F2541" s="5" t="s">
        <v>39</v>
      </c>
      <c r="G2541" s="6" t="n">
        <v>634</v>
      </c>
      <c r="H2541" s="6" t="n">
        <v>151</v>
      </c>
      <c r="I2541" s="7" t="n">
        <f aca="false">(G2541-H2541)/G2541</f>
        <v>0.761829652996846</v>
      </c>
      <c r="J2541" s="15" t="n">
        <v>0.4165</v>
      </c>
      <c r="K2541" s="11" t="str">
        <f aca="false">IF(I2541&lt;J2541,"TAK","NIE")</f>
        <v>NIE</v>
      </c>
    </row>
    <row r="2542" customFormat="false" ht="15" hidden="false" customHeight="false" outlineLevel="0" collapsed="false">
      <c r="A2542" s="5" t="s">
        <v>558</v>
      </c>
      <c r="B2542" s="5" t="s">
        <v>90</v>
      </c>
      <c r="C2542" s="5" t="n">
        <v>2022</v>
      </c>
      <c r="D2542" s="5" t="s">
        <v>49</v>
      </c>
      <c r="E2542" s="5" t="s">
        <v>55</v>
      </c>
      <c r="F2542" s="5" t="s">
        <v>39</v>
      </c>
      <c r="G2542" s="6" t="n">
        <v>672</v>
      </c>
      <c r="H2542" s="6" t="n">
        <v>5</v>
      </c>
      <c r="I2542" s="7" t="n">
        <f aca="false">(G2542-H2542)/G2542</f>
        <v>0.992559523809524</v>
      </c>
      <c r="J2542" s="15" t="n">
        <v>0.4165</v>
      </c>
      <c r="K2542" s="11" t="str">
        <f aca="false">IF(I2542&lt;J2542,"TAK","NIE")</f>
        <v>NIE</v>
      </c>
    </row>
    <row r="2543" customFormat="false" ht="15" hidden="false" customHeight="false" outlineLevel="0" collapsed="false">
      <c r="A2543" s="5" t="s">
        <v>559</v>
      </c>
      <c r="B2543" s="5" t="s">
        <v>90</v>
      </c>
      <c r="C2543" s="5" t="n">
        <v>2022</v>
      </c>
      <c r="D2543" s="5" t="s">
        <v>49</v>
      </c>
      <c r="E2543" s="5" t="s">
        <v>55</v>
      </c>
      <c r="F2543" s="5" t="s">
        <v>39</v>
      </c>
      <c r="G2543" s="6" t="n">
        <v>672</v>
      </c>
      <c r="H2543" s="6" t="n">
        <v>95</v>
      </c>
      <c r="I2543" s="7" t="n">
        <f aca="false">(G2543-H2543)/G2543</f>
        <v>0.858630952380952</v>
      </c>
      <c r="J2543" s="15" t="n">
        <v>0.4165</v>
      </c>
      <c r="K2543" s="11" t="str">
        <f aca="false">IF(I2543&lt;J2543,"TAK","NIE")</f>
        <v>NIE</v>
      </c>
    </row>
    <row r="2544" customFormat="false" ht="15" hidden="false" customHeight="false" outlineLevel="0" collapsed="false">
      <c r="A2544" s="5" t="s">
        <v>560</v>
      </c>
      <c r="B2544" s="5" t="s">
        <v>90</v>
      </c>
      <c r="C2544" s="5" t="n">
        <v>2022</v>
      </c>
      <c r="D2544" s="5" t="s">
        <v>49</v>
      </c>
      <c r="E2544" s="5" t="s">
        <v>55</v>
      </c>
      <c r="F2544" s="5" t="s">
        <v>39</v>
      </c>
      <c r="G2544" s="6" t="n">
        <v>634</v>
      </c>
      <c r="H2544" s="6" t="n">
        <v>64</v>
      </c>
      <c r="I2544" s="7" t="n">
        <f aca="false">(G2544-H2544)/G2544</f>
        <v>0.899053627760252</v>
      </c>
      <c r="J2544" s="15" t="n">
        <v>0.4165</v>
      </c>
      <c r="K2544" s="11" t="str">
        <f aca="false">IF(I2544&lt;J2544,"TAK","NIE")</f>
        <v>NIE</v>
      </c>
    </row>
    <row r="2545" customFormat="false" ht="15" hidden="false" customHeight="false" outlineLevel="0" collapsed="false">
      <c r="A2545" s="5" t="s">
        <v>561</v>
      </c>
      <c r="B2545" s="5" t="s">
        <v>90</v>
      </c>
      <c r="C2545" s="5" t="n">
        <v>2022</v>
      </c>
      <c r="D2545" s="5" t="s">
        <v>49</v>
      </c>
      <c r="E2545" s="5" t="s">
        <v>55</v>
      </c>
      <c r="F2545" s="5" t="s">
        <v>39</v>
      </c>
      <c r="G2545" s="6" t="n">
        <v>677</v>
      </c>
      <c r="H2545" s="6" t="n">
        <v>58</v>
      </c>
      <c r="I2545" s="7" t="n">
        <f aca="false">(G2545-H2545)/G2545</f>
        <v>0.914327917282127</v>
      </c>
      <c r="J2545" s="15" t="n">
        <v>0.4165</v>
      </c>
      <c r="K2545" s="11" t="str">
        <f aca="false">IF(I2545&lt;J2545,"TAK","NIE")</f>
        <v>NIE</v>
      </c>
    </row>
    <row r="2546" customFormat="false" ht="15" hidden="false" customHeight="false" outlineLevel="0" collapsed="false">
      <c r="A2546" s="5" t="s">
        <v>562</v>
      </c>
      <c r="B2546" s="5" t="s">
        <v>90</v>
      </c>
      <c r="C2546" s="5" t="n">
        <v>2022</v>
      </c>
      <c r="D2546" s="5" t="s">
        <v>49</v>
      </c>
      <c r="E2546" s="5" t="s">
        <v>55</v>
      </c>
      <c r="F2546" s="5" t="s">
        <v>39</v>
      </c>
      <c r="G2546" s="6" t="n">
        <v>659</v>
      </c>
      <c r="H2546" s="6" t="n">
        <v>56</v>
      </c>
      <c r="I2546" s="7" t="n">
        <f aca="false">(G2546-H2546)/G2546</f>
        <v>0.915022761760243</v>
      </c>
      <c r="J2546" s="15" t="n">
        <v>0.4165</v>
      </c>
      <c r="K2546" s="11" t="str">
        <f aca="false">IF(I2546&lt;J2546,"TAK","NIE")</f>
        <v>NIE</v>
      </c>
    </row>
    <row r="2547" customFormat="false" ht="15" hidden="false" customHeight="false" outlineLevel="0" collapsed="false">
      <c r="A2547" s="5" t="s">
        <v>563</v>
      </c>
      <c r="B2547" s="5" t="s">
        <v>90</v>
      </c>
      <c r="C2547" s="5" t="n">
        <v>2022</v>
      </c>
      <c r="D2547" s="5" t="s">
        <v>49</v>
      </c>
      <c r="E2547" s="5" t="s">
        <v>55</v>
      </c>
      <c r="F2547" s="5" t="s">
        <v>39</v>
      </c>
      <c r="G2547" s="6" t="n">
        <v>81</v>
      </c>
      <c r="H2547" s="6" t="n">
        <v>11</v>
      </c>
      <c r="I2547" s="7" t="n">
        <f aca="false">(G2547-H2547)/G2547</f>
        <v>0.864197530864198</v>
      </c>
      <c r="J2547" s="15" t="n">
        <v>0.4165</v>
      </c>
      <c r="K2547" s="11" t="str">
        <f aca="false">IF(I2547&lt;J2547,"TAK","NIE")</f>
        <v>NIE</v>
      </c>
    </row>
    <row r="2548" customFormat="false" ht="15" hidden="false" customHeight="false" outlineLevel="0" collapsed="false">
      <c r="A2548" s="5" t="s">
        <v>564</v>
      </c>
      <c r="B2548" s="5" t="s">
        <v>90</v>
      </c>
      <c r="C2548" s="5" t="n">
        <v>2022</v>
      </c>
      <c r="D2548" s="5" t="s">
        <v>49</v>
      </c>
      <c r="E2548" s="5" t="s">
        <v>55</v>
      </c>
      <c r="F2548" s="5" t="s">
        <v>39</v>
      </c>
      <c r="G2548" s="6" t="n">
        <v>19</v>
      </c>
      <c r="H2548" s="6" t="n">
        <v>4</v>
      </c>
      <c r="I2548" s="7" t="n">
        <f aca="false">(G2548-H2548)/G2548</f>
        <v>0.789473684210526</v>
      </c>
      <c r="J2548" s="15" t="n">
        <v>0.4165</v>
      </c>
      <c r="K2548" s="11" t="str">
        <f aca="false">IF(I2548&lt;J2548,"TAK","NIE")</f>
        <v>NIE</v>
      </c>
    </row>
    <row r="2549" customFormat="false" ht="15" hidden="false" customHeight="false" outlineLevel="0" collapsed="false">
      <c r="A2549" s="5" t="s">
        <v>565</v>
      </c>
      <c r="B2549" s="5" t="s">
        <v>90</v>
      </c>
      <c r="C2549" s="5" t="n">
        <v>2022</v>
      </c>
      <c r="D2549" s="5" t="s">
        <v>49</v>
      </c>
      <c r="E2549" s="5" t="s">
        <v>55</v>
      </c>
      <c r="F2549" s="5" t="s">
        <v>39</v>
      </c>
      <c r="G2549" s="6" t="n">
        <v>22</v>
      </c>
      <c r="H2549" s="6" t="n">
        <v>6</v>
      </c>
      <c r="I2549" s="7" t="n">
        <f aca="false">(G2549-H2549)/G2549</f>
        <v>0.727272727272727</v>
      </c>
      <c r="J2549" s="15" t="n">
        <v>0.4165</v>
      </c>
      <c r="K2549" s="11" t="str">
        <f aca="false">IF(I2549&lt;J2549,"TAK","NIE")</f>
        <v>NIE</v>
      </c>
    </row>
    <row r="2550" customFormat="false" ht="15" hidden="false" customHeight="false" outlineLevel="0" collapsed="false">
      <c r="A2550" s="5" t="s">
        <v>566</v>
      </c>
      <c r="B2550" s="5" t="s">
        <v>90</v>
      </c>
      <c r="C2550" s="5" t="n">
        <v>2022</v>
      </c>
      <c r="D2550" s="5" t="s">
        <v>49</v>
      </c>
      <c r="E2550" s="5" t="s">
        <v>55</v>
      </c>
      <c r="F2550" s="5" t="s">
        <v>39</v>
      </c>
      <c r="G2550" s="6" t="n">
        <v>40</v>
      </c>
      <c r="H2550" s="6" t="n">
        <v>10</v>
      </c>
      <c r="I2550" s="7" t="n">
        <f aca="false">(G2550-H2550)/G2550</f>
        <v>0.75</v>
      </c>
      <c r="J2550" s="15" t="n">
        <v>0.4165</v>
      </c>
      <c r="K2550" s="11" t="str">
        <f aca="false">IF(I2550&lt;J2550,"TAK","NIE")</f>
        <v>NIE</v>
      </c>
    </row>
    <row r="2551" customFormat="false" ht="15" hidden="false" customHeight="false" outlineLevel="0" collapsed="false">
      <c r="A2551" s="5" t="s">
        <v>567</v>
      </c>
      <c r="B2551" s="5" t="s">
        <v>90</v>
      </c>
      <c r="C2551" s="5" t="n">
        <v>2022</v>
      </c>
      <c r="D2551" s="5" t="s">
        <v>49</v>
      </c>
      <c r="E2551" s="5" t="s">
        <v>55</v>
      </c>
      <c r="F2551" s="5" t="s">
        <v>39</v>
      </c>
      <c r="G2551" s="6" t="n">
        <v>522</v>
      </c>
      <c r="H2551" s="6" t="n">
        <v>51</v>
      </c>
      <c r="I2551" s="7" t="n">
        <f aca="false">(G2551-H2551)/G2551</f>
        <v>0.902298850574713</v>
      </c>
      <c r="J2551" s="15" t="n">
        <v>0.4165</v>
      </c>
      <c r="K2551" s="11" t="str">
        <f aca="false">IF(I2551&lt;J2551,"TAK","NIE")</f>
        <v>NIE</v>
      </c>
    </row>
    <row r="2552" customFormat="false" ht="15" hidden="false" customHeight="false" outlineLevel="0" collapsed="false">
      <c r="A2552" s="5" t="s">
        <v>535</v>
      </c>
      <c r="B2552" s="5" t="s">
        <v>90</v>
      </c>
      <c r="C2552" s="5" t="n">
        <v>2022</v>
      </c>
      <c r="D2552" s="5" t="s">
        <v>49</v>
      </c>
      <c r="E2552" s="5" t="s">
        <v>55</v>
      </c>
      <c r="F2552" s="5" t="s">
        <v>40</v>
      </c>
      <c r="G2552" s="6" t="n">
        <v>456</v>
      </c>
      <c r="H2552" s="6" t="n">
        <v>38</v>
      </c>
      <c r="I2552" s="7" t="n">
        <f aca="false">(G2552-H2552)/G2552</f>
        <v>0.916666666666667</v>
      </c>
      <c r="J2552" s="15" t="n">
        <v>0.401</v>
      </c>
      <c r="K2552" s="11" t="str">
        <f aca="false">IF(I2552&lt;J2552,"TAK","NIE")</f>
        <v>NIE</v>
      </c>
    </row>
    <row r="2553" customFormat="false" ht="15" hidden="false" customHeight="false" outlineLevel="0" collapsed="false">
      <c r="A2553" s="5" t="s">
        <v>536</v>
      </c>
      <c r="B2553" s="5" t="s">
        <v>90</v>
      </c>
      <c r="C2553" s="5" t="n">
        <v>2022</v>
      </c>
      <c r="D2553" s="5" t="s">
        <v>49</v>
      </c>
      <c r="E2553" s="5" t="s">
        <v>55</v>
      </c>
      <c r="F2553" s="5" t="s">
        <v>40</v>
      </c>
      <c r="G2553" s="6" t="n">
        <v>456</v>
      </c>
      <c r="H2553" s="6" t="n">
        <v>88</v>
      </c>
      <c r="I2553" s="7" t="n">
        <f aca="false">(G2553-H2553)/G2553</f>
        <v>0.807017543859649</v>
      </c>
      <c r="J2553" s="15" t="n">
        <v>0.401</v>
      </c>
      <c r="K2553" s="11" t="str">
        <f aca="false">IF(I2553&lt;J2553,"TAK","NIE")</f>
        <v>NIE</v>
      </c>
    </row>
    <row r="2554" customFormat="false" ht="15" hidden="false" customHeight="false" outlineLevel="0" collapsed="false">
      <c r="A2554" s="5" t="s">
        <v>539</v>
      </c>
      <c r="B2554" s="5" t="s">
        <v>90</v>
      </c>
      <c r="C2554" s="5" t="n">
        <v>2022</v>
      </c>
      <c r="D2554" s="5" t="s">
        <v>49</v>
      </c>
      <c r="E2554" s="5" t="s">
        <v>55</v>
      </c>
      <c r="F2554" s="5" t="s">
        <v>40</v>
      </c>
      <c r="G2554" s="6" t="n">
        <v>449</v>
      </c>
      <c r="H2554" s="6" t="n">
        <v>88</v>
      </c>
      <c r="I2554" s="7" t="n">
        <f aca="false">(G2554-H2554)/G2554</f>
        <v>0.804008908685969</v>
      </c>
      <c r="J2554" s="15" t="n">
        <v>0.401</v>
      </c>
      <c r="K2554" s="11" t="str">
        <f aca="false">IF(I2554&lt;J2554,"TAK","NIE")</f>
        <v>NIE</v>
      </c>
    </row>
    <row r="2555" customFormat="false" ht="15" hidden="false" customHeight="false" outlineLevel="0" collapsed="false">
      <c r="A2555" s="5" t="s">
        <v>540</v>
      </c>
      <c r="B2555" s="5" t="s">
        <v>90</v>
      </c>
      <c r="C2555" s="5" t="n">
        <v>2022</v>
      </c>
      <c r="D2555" s="5" t="s">
        <v>49</v>
      </c>
      <c r="E2555" s="5" t="s">
        <v>55</v>
      </c>
      <c r="F2555" s="5" t="s">
        <v>40</v>
      </c>
      <c r="G2555" s="6" t="n">
        <v>456</v>
      </c>
      <c r="H2555" s="6" t="n">
        <v>148</v>
      </c>
      <c r="I2555" s="7" t="n">
        <f aca="false">(G2555-H2555)/G2555</f>
        <v>0.675438596491228</v>
      </c>
      <c r="J2555" s="15" t="n">
        <v>0.401</v>
      </c>
      <c r="K2555" s="11" t="str">
        <f aca="false">IF(I2555&lt;J2555,"TAK","NIE")</f>
        <v>NIE</v>
      </c>
    </row>
    <row r="2556" customFormat="false" ht="15" hidden="false" customHeight="false" outlineLevel="0" collapsed="false">
      <c r="A2556" s="5" t="s">
        <v>541</v>
      </c>
      <c r="B2556" s="5" t="s">
        <v>90</v>
      </c>
      <c r="C2556" s="5" t="n">
        <v>2022</v>
      </c>
      <c r="D2556" s="5" t="s">
        <v>49</v>
      </c>
      <c r="E2556" s="5" t="s">
        <v>55</v>
      </c>
      <c r="F2556" s="5" t="s">
        <v>40</v>
      </c>
      <c r="G2556" s="6" t="n">
        <v>456</v>
      </c>
      <c r="H2556" s="6" t="n">
        <v>198</v>
      </c>
      <c r="I2556" s="7" t="n">
        <f aca="false">(G2556-H2556)/G2556</f>
        <v>0.565789473684211</v>
      </c>
      <c r="J2556" s="15" t="n">
        <v>0.401</v>
      </c>
      <c r="K2556" s="11" t="str">
        <f aca="false">IF(I2556&lt;J2556,"TAK","NIE")</f>
        <v>NIE</v>
      </c>
    </row>
    <row r="2557" customFormat="false" ht="15" hidden="false" customHeight="false" outlineLevel="0" collapsed="false">
      <c r="A2557" s="5" t="s">
        <v>542</v>
      </c>
      <c r="B2557" s="5" t="s">
        <v>90</v>
      </c>
      <c r="C2557" s="5" t="n">
        <v>2022</v>
      </c>
      <c r="D2557" s="5" t="s">
        <v>49</v>
      </c>
      <c r="E2557" s="5" t="s">
        <v>55</v>
      </c>
      <c r="F2557" s="5" t="s">
        <v>40</v>
      </c>
      <c r="G2557" s="6" t="n">
        <v>456</v>
      </c>
      <c r="H2557" s="6" t="n">
        <v>401</v>
      </c>
      <c r="I2557" s="7" t="n">
        <f aca="false">(G2557-H2557)/G2557</f>
        <v>0.120614035087719</v>
      </c>
      <c r="J2557" s="15" t="n">
        <v>0.401</v>
      </c>
      <c r="K2557" s="11" t="str">
        <f aca="false">IF(I2557&lt;J2557,"TAK","NIE")</f>
        <v>TAK</v>
      </c>
    </row>
    <row r="2558" customFormat="false" ht="15" hidden="false" customHeight="false" outlineLevel="0" collapsed="false">
      <c r="A2558" s="5" t="s">
        <v>543</v>
      </c>
      <c r="B2558" s="5" t="s">
        <v>90</v>
      </c>
      <c r="C2558" s="5" t="n">
        <v>2022</v>
      </c>
      <c r="D2558" s="5" t="s">
        <v>49</v>
      </c>
      <c r="E2558" s="5" t="s">
        <v>55</v>
      </c>
      <c r="F2558" s="5" t="s">
        <v>40</v>
      </c>
      <c r="G2558" s="6" t="n">
        <v>456</v>
      </c>
      <c r="H2558" s="6" t="n">
        <v>189</v>
      </c>
      <c r="I2558" s="7" t="n">
        <f aca="false">(G2558-H2558)/G2558</f>
        <v>0.585526315789474</v>
      </c>
      <c r="J2558" s="15" t="n">
        <v>0.401</v>
      </c>
      <c r="K2558" s="11" t="str">
        <f aca="false">IF(I2558&lt;J2558,"TAK","NIE")</f>
        <v>NIE</v>
      </c>
    </row>
    <row r="2559" customFormat="false" ht="15" hidden="false" customHeight="false" outlineLevel="0" collapsed="false">
      <c r="A2559" s="5" t="s">
        <v>544</v>
      </c>
      <c r="B2559" s="5" t="s">
        <v>90</v>
      </c>
      <c r="C2559" s="5" t="n">
        <v>2022</v>
      </c>
      <c r="D2559" s="5" t="s">
        <v>49</v>
      </c>
      <c r="E2559" s="5" t="s">
        <v>55</v>
      </c>
      <c r="F2559" s="5" t="s">
        <v>40</v>
      </c>
      <c r="G2559" s="6" t="n">
        <v>449</v>
      </c>
      <c r="H2559" s="6" t="n">
        <v>38</v>
      </c>
      <c r="I2559" s="7" t="n">
        <f aca="false">(G2559-H2559)/G2559</f>
        <v>0.915367483296214</v>
      </c>
      <c r="J2559" s="15" t="n">
        <v>0.401</v>
      </c>
      <c r="K2559" s="11" t="str">
        <f aca="false">IF(I2559&lt;J2559,"TAK","NIE")</f>
        <v>NIE</v>
      </c>
    </row>
    <row r="2560" customFormat="false" ht="15" hidden="false" customHeight="false" outlineLevel="0" collapsed="false">
      <c r="A2560" s="5" t="s">
        <v>568</v>
      </c>
      <c r="B2560" s="5" t="s">
        <v>90</v>
      </c>
      <c r="C2560" s="5" t="n">
        <v>2022</v>
      </c>
      <c r="D2560" s="5" t="s">
        <v>49</v>
      </c>
      <c r="E2560" s="5" t="s">
        <v>55</v>
      </c>
      <c r="F2560" s="5" t="s">
        <v>40</v>
      </c>
      <c r="G2560" s="6" t="n">
        <v>97</v>
      </c>
      <c r="H2560" s="6" t="n">
        <v>18</v>
      </c>
      <c r="I2560" s="7" t="n">
        <f aca="false">(G2560-H2560)/G2560</f>
        <v>0.814432989690722</v>
      </c>
      <c r="J2560" s="15" t="n">
        <v>0.401</v>
      </c>
      <c r="K2560" s="11" t="str">
        <f aca="false">IF(I2560&lt;J2560,"TAK","NIE")</f>
        <v>NIE</v>
      </c>
    </row>
    <row r="2561" customFormat="false" ht="15" hidden="false" customHeight="false" outlineLevel="0" collapsed="false">
      <c r="A2561" s="5" t="s">
        <v>545</v>
      </c>
      <c r="B2561" s="5" t="s">
        <v>90</v>
      </c>
      <c r="C2561" s="5" t="n">
        <v>2022</v>
      </c>
      <c r="D2561" s="5" t="s">
        <v>49</v>
      </c>
      <c r="E2561" s="5" t="s">
        <v>55</v>
      </c>
      <c r="F2561" s="5" t="s">
        <v>40</v>
      </c>
      <c r="G2561" s="6" t="n">
        <v>449</v>
      </c>
      <c r="H2561" s="6" t="n">
        <v>82</v>
      </c>
      <c r="I2561" s="7" t="n">
        <f aca="false">(G2561-H2561)/G2561</f>
        <v>0.817371937639198</v>
      </c>
      <c r="J2561" s="15" t="n">
        <v>0.401</v>
      </c>
      <c r="K2561" s="11" t="str">
        <f aca="false">IF(I2561&lt;J2561,"TAK","NIE")</f>
        <v>NIE</v>
      </c>
    </row>
    <row r="2562" customFormat="false" ht="15" hidden="false" customHeight="false" outlineLevel="0" collapsed="false">
      <c r="A2562" s="5" t="s">
        <v>546</v>
      </c>
      <c r="B2562" s="5" t="s">
        <v>90</v>
      </c>
      <c r="C2562" s="5" t="n">
        <v>2022</v>
      </c>
      <c r="D2562" s="5" t="s">
        <v>49</v>
      </c>
      <c r="E2562" s="5" t="s">
        <v>55</v>
      </c>
      <c r="F2562" s="5" t="s">
        <v>40</v>
      </c>
      <c r="G2562" s="6" t="n">
        <v>456</v>
      </c>
      <c r="H2562" s="6" t="n">
        <v>174</v>
      </c>
      <c r="I2562" s="7" t="n">
        <f aca="false">(G2562-H2562)/G2562</f>
        <v>0.618421052631579</v>
      </c>
      <c r="J2562" s="15" t="n">
        <v>0.401</v>
      </c>
      <c r="K2562" s="11" t="str">
        <f aca="false">IF(I2562&lt;J2562,"TAK","NIE")</f>
        <v>NIE</v>
      </c>
    </row>
    <row r="2563" customFormat="false" ht="15" hidden="false" customHeight="false" outlineLevel="0" collapsed="false">
      <c r="A2563" s="5" t="s">
        <v>547</v>
      </c>
      <c r="B2563" s="5" t="s">
        <v>90</v>
      </c>
      <c r="C2563" s="5" t="n">
        <v>2022</v>
      </c>
      <c r="D2563" s="5" t="s">
        <v>49</v>
      </c>
      <c r="E2563" s="5" t="s">
        <v>55</v>
      </c>
      <c r="F2563" s="5" t="s">
        <v>40</v>
      </c>
      <c r="G2563" s="6" t="n">
        <v>449</v>
      </c>
      <c r="H2563" s="6" t="n">
        <v>94</v>
      </c>
      <c r="I2563" s="7" t="n">
        <f aca="false">(G2563-H2563)/G2563</f>
        <v>0.79064587973274</v>
      </c>
      <c r="J2563" s="15" t="n">
        <v>0.401</v>
      </c>
      <c r="K2563" s="11" t="str">
        <f aca="false">IF(I2563&lt;J2563,"TAK","NIE")</f>
        <v>NIE</v>
      </c>
    </row>
    <row r="2564" customFormat="false" ht="15" hidden="false" customHeight="false" outlineLevel="0" collapsed="false">
      <c r="A2564" s="5" t="s">
        <v>548</v>
      </c>
      <c r="B2564" s="5" t="s">
        <v>90</v>
      </c>
      <c r="C2564" s="5" t="n">
        <v>2022</v>
      </c>
      <c r="D2564" s="5" t="s">
        <v>49</v>
      </c>
      <c r="E2564" s="5" t="s">
        <v>55</v>
      </c>
      <c r="F2564" s="5" t="s">
        <v>40</v>
      </c>
      <c r="G2564" s="6" t="n">
        <v>456</v>
      </c>
      <c r="H2564" s="6" t="n">
        <v>223</v>
      </c>
      <c r="I2564" s="7" t="n">
        <f aca="false">(G2564-H2564)/G2564</f>
        <v>0.510964912280702</v>
      </c>
      <c r="J2564" s="15" t="n">
        <v>0.401</v>
      </c>
      <c r="K2564" s="11" t="str">
        <f aca="false">IF(I2564&lt;J2564,"TAK","NIE")</f>
        <v>NIE</v>
      </c>
    </row>
    <row r="2565" customFormat="false" ht="15" hidden="false" customHeight="false" outlineLevel="0" collapsed="false">
      <c r="A2565" s="5" t="s">
        <v>550</v>
      </c>
      <c r="B2565" s="5" t="s">
        <v>90</v>
      </c>
      <c r="C2565" s="5" t="n">
        <v>2022</v>
      </c>
      <c r="D2565" s="5" t="s">
        <v>49</v>
      </c>
      <c r="E2565" s="5" t="s">
        <v>55</v>
      </c>
      <c r="F2565" s="5" t="s">
        <v>40</v>
      </c>
      <c r="G2565" s="6" t="n">
        <v>456</v>
      </c>
      <c r="H2565" s="6" t="n">
        <v>195</v>
      </c>
      <c r="I2565" s="7" t="n">
        <f aca="false">(G2565-H2565)/G2565</f>
        <v>0.572368421052632</v>
      </c>
      <c r="J2565" s="15" t="n">
        <v>0.401</v>
      </c>
      <c r="K2565" s="11" t="str">
        <f aca="false">IF(I2565&lt;J2565,"TAK","NIE")</f>
        <v>NIE</v>
      </c>
    </row>
    <row r="2566" customFormat="false" ht="15" hidden="false" customHeight="false" outlineLevel="0" collapsed="false">
      <c r="A2566" s="5" t="s">
        <v>551</v>
      </c>
      <c r="B2566" s="5" t="s">
        <v>90</v>
      </c>
      <c r="C2566" s="5" t="n">
        <v>2022</v>
      </c>
      <c r="D2566" s="5" t="s">
        <v>49</v>
      </c>
      <c r="E2566" s="5" t="s">
        <v>55</v>
      </c>
      <c r="F2566" s="5" t="s">
        <v>40</v>
      </c>
      <c r="G2566" s="6" t="n">
        <v>456</v>
      </c>
      <c r="H2566" s="6" t="n">
        <v>76</v>
      </c>
      <c r="I2566" s="7" t="n">
        <f aca="false">(G2566-H2566)/G2566</f>
        <v>0.833333333333333</v>
      </c>
      <c r="J2566" s="15" t="n">
        <v>0.401</v>
      </c>
      <c r="K2566" s="11" t="str">
        <f aca="false">IF(I2566&lt;J2566,"TAK","NIE")</f>
        <v>NIE</v>
      </c>
    </row>
    <row r="2567" customFormat="false" ht="15" hidden="false" customHeight="false" outlineLevel="0" collapsed="false">
      <c r="A2567" s="5" t="s">
        <v>552</v>
      </c>
      <c r="B2567" s="5" t="s">
        <v>90</v>
      </c>
      <c r="C2567" s="5" t="n">
        <v>2022</v>
      </c>
      <c r="D2567" s="5" t="s">
        <v>49</v>
      </c>
      <c r="E2567" s="5" t="s">
        <v>55</v>
      </c>
      <c r="F2567" s="5" t="s">
        <v>40</v>
      </c>
      <c r="G2567" s="6" t="n">
        <v>449</v>
      </c>
      <c r="H2567" s="6" t="n">
        <v>73</v>
      </c>
      <c r="I2567" s="7" t="n">
        <f aca="false">(G2567-H2567)/G2567</f>
        <v>0.837416481069042</v>
      </c>
      <c r="J2567" s="15" t="n">
        <v>0.401</v>
      </c>
      <c r="K2567" s="11" t="str">
        <f aca="false">IF(I2567&lt;J2567,"TAK","NIE")</f>
        <v>NIE</v>
      </c>
    </row>
    <row r="2568" customFormat="false" ht="15" hidden="false" customHeight="false" outlineLevel="0" collapsed="false">
      <c r="A2568" s="5" t="s">
        <v>553</v>
      </c>
      <c r="B2568" s="5" t="s">
        <v>90</v>
      </c>
      <c r="C2568" s="5" t="n">
        <v>2022</v>
      </c>
      <c r="D2568" s="5" t="s">
        <v>49</v>
      </c>
      <c r="E2568" s="5" t="s">
        <v>55</v>
      </c>
      <c r="F2568" s="5" t="s">
        <v>40</v>
      </c>
      <c r="G2568" s="6" t="n">
        <v>449</v>
      </c>
      <c r="H2568" s="6" t="n">
        <v>52</v>
      </c>
      <c r="I2568" s="7" t="n">
        <f aca="false">(G2568-H2568)/G2568</f>
        <v>0.884187082405345</v>
      </c>
      <c r="J2568" s="15" t="n">
        <v>0.401</v>
      </c>
      <c r="K2568" s="11" t="str">
        <f aca="false">IF(I2568&lt;J2568,"TAK","NIE")</f>
        <v>NIE</v>
      </c>
    </row>
    <row r="2569" customFormat="false" ht="15" hidden="false" customHeight="false" outlineLevel="0" collapsed="false">
      <c r="A2569" s="5" t="s">
        <v>554</v>
      </c>
      <c r="B2569" s="5" t="s">
        <v>90</v>
      </c>
      <c r="C2569" s="5" t="n">
        <v>2022</v>
      </c>
      <c r="D2569" s="5" t="s">
        <v>49</v>
      </c>
      <c r="E2569" s="5" t="s">
        <v>55</v>
      </c>
      <c r="F2569" s="5" t="s">
        <v>40</v>
      </c>
      <c r="G2569" s="6" t="n">
        <v>376</v>
      </c>
      <c r="H2569" s="6" t="n">
        <v>127</v>
      </c>
      <c r="I2569" s="7" t="n">
        <f aca="false">(G2569-H2569)/G2569</f>
        <v>0.662234042553192</v>
      </c>
      <c r="J2569" s="15" t="n">
        <v>0.401</v>
      </c>
      <c r="K2569" s="11" t="str">
        <f aca="false">IF(I2569&lt;J2569,"TAK","NIE")</f>
        <v>NIE</v>
      </c>
    </row>
    <row r="2570" customFormat="false" ht="15" hidden="false" customHeight="false" outlineLevel="0" collapsed="false">
      <c r="A2570" s="5" t="s">
        <v>555</v>
      </c>
      <c r="B2570" s="5" t="s">
        <v>90</v>
      </c>
      <c r="C2570" s="5" t="n">
        <v>2022</v>
      </c>
      <c r="D2570" s="5" t="s">
        <v>49</v>
      </c>
      <c r="E2570" s="5" t="s">
        <v>55</v>
      </c>
      <c r="F2570" s="5" t="s">
        <v>40</v>
      </c>
      <c r="G2570" s="6" t="n">
        <v>456</v>
      </c>
      <c r="H2570" s="6" t="n">
        <v>63</v>
      </c>
      <c r="I2570" s="7" t="n">
        <f aca="false">(G2570-H2570)/G2570</f>
        <v>0.861842105263158</v>
      </c>
      <c r="J2570" s="15" t="n">
        <v>0.401</v>
      </c>
      <c r="K2570" s="11" t="str">
        <f aca="false">IF(I2570&lt;J2570,"TAK","NIE")</f>
        <v>NIE</v>
      </c>
    </row>
    <row r="2571" customFormat="false" ht="15" hidden="false" customHeight="false" outlineLevel="0" collapsed="false">
      <c r="A2571" s="5" t="s">
        <v>556</v>
      </c>
      <c r="B2571" s="5" t="s">
        <v>90</v>
      </c>
      <c r="C2571" s="5" t="n">
        <v>2022</v>
      </c>
      <c r="D2571" s="5" t="s">
        <v>49</v>
      </c>
      <c r="E2571" s="5" t="s">
        <v>55</v>
      </c>
      <c r="F2571" s="5" t="s">
        <v>40</v>
      </c>
      <c r="G2571" s="6" t="n">
        <v>456</v>
      </c>
      <c r="H2571" s="6" t="n">
        <v>137</v>
      </c>
      <c r="I2571" s="7" t="n">
        <f aca="false">(G2571-H2571)/G2571</f>
        <v>0.699561403508772</v>
      </c>
      <c r="J2571" s="15" t="n">
        <v>0.401</v>
      </c>
      <c r="K2571" s="11" t="str">
        <f aca="false">IF(I2571&lt;J2571,"TAK","NIE")</f>
        <v>NIE</v>
      </c>
    </row>
    <row r="2572" customFormat="false" ht="15" hidden="false" customHeight="false" outlineLevel="0" collapsed="false">
      <c r="A2572" s="5" t="s">
        <v>557</v>
      </c>
      <c r="B2572" s="5" t="s">
        <v>90</v>
      </c>
      <c r="C2572" s="5" t="n">
        <v>2022</v>
      </c>
      <c r="D2572" s="5" t="s">
        <v>49</v>
      </c>
      <c r="E2572" s="5" t="s">
        <v>55</v>
      </c>
      <c r="F2572" s="5" t="s">
        <v>40</v>
      </c>
      <c r="G2572" s="6" t="n">
        <v>449</v>
      </c>
      <c r="H2572" s="6" t="n">
        <v>125</v>
      </c>
      <c r="I2572" s="7" t="n">
        <f aca="false">(G2572-H2572)/G2572</f>
        <v>0.721603563474388</v>
      </c>
      <c r="J2572" s="15" t="n">
        <v>0.401</v>
      </c>
      <c r="K2572" s="11" t="str">
        <f aca="false">IF(I2572&lt;J2572,"TAK","NIE")</f>
        <v>NIE</v>
      </c>
    </row>
    <row r="2573" customFormat="false" ht="15" hidden="false" customHeight="false" outlineLevel="0" collapsed="false">
      <c r="A2573" s="5" t="s">
        <v>558</v>
      </c>
      <c r="B2573" s="5" t="s">
        <v>90</v>
      </c>
      <c r="C2573" s="5" t="n">
        <v>2022</v>
      </c>
      <c r="D2573" s="5" t="s">
        <v>49</v>
      </c>
      <c r="E2573" s="5" t="s">
        <v>55</v>
      </c>
      <c r="F2573" s="5" t="s">
        <v>40</v>
      </c>
      <c r="G2573" s="6" t="n">
        <v>456</v>
      </c>
      <c r="H2573" s="6" t="n">
        <v>40</v>
      </c>
      <c r="I2573" s="7" t="n">
        <f aca="false">(G2573-H2573)/G2573</f>
        <v>0.912280701754386</v>
      </c>
      <c r="J2573" s="15" t="n">
        <v>0.401</v>
      </c>
      <c r="K2573" s="11" t="str">
        <f aca="false">IF(I2573&lt;J2573,"TAK","NIE")</f>
        <v>NIE</v>
      </c>
    </row>
    <row r="2574" customFormat="false" ht="15" hidden="false" customHeight="false" outlineLevel="0" collapsed="false">
      <c r="A2574" s="5" t="s">
        <v>559</v>
      </c>
      <c r="B2574" s="5" t="s">
        <v>90</v>
      </c>
      <c r="C2574" s="5" t="n">
        <v>2022</v>
      </c>
      <c r="D2574" s="5" t="s">
        <v>49</v>
      </c>
      <c r="E2574" s="5" t="s">
        <v>55</v>
      </c>
      <c r="F2574" s="5" t="s">
        <v>40</v>
      </c>
      <c r="G2574" s="6" t="n">
        <v>456</v>
      </c>
      <c r="H2574" s="6" t="n">
        <v>108</v>
      </c>
      <c r="I2574" s="7" t="n">
        <f aca="false">(G2574-H2574)/G2574</f>
        <v>0.763157894736842</v>
      </c>
      <c r="J2574" s="15" t="n">
        <v>0.401</v>
      </c>
      <c r="K2574" s="11" t="str">
        <f aca="false">IF(I2574&lt;J2574,"TAK","NIE")</f>
        <v>NIE</v>
      </c>
    </row>
    <row r="2575" customFormat="false" ht="15" hidden="false" customHeight="false" outlineLevel="0" collapsed="false">
      <c r="A2575" s="5" t="s">
        <v>560</v>
      </c>
      <c r="B2575" s="5" t="s">
        <v>90</v>
      </c>
      <c r="C2575" s="5" t="n">
        <v>2022</v>
      </c>
      <c r="D2575" s="5" t="s">
        <v>49</v>
      </c>
      <c r="E2575" s="5" t="s">
        <v>55</v>
      </c>
      <c r="F2575" s="5" t="s">
        <v>40</v>
      </c>
      <c r="G2575" s="6" t="n">
        <v>449</v>
      </c>
      <c r="H2575" s="6" t="n">
        <v>73</v>
      </c>
      <c r="I2575" s="7" t="n">
        <f aca="false">(G2575-H2575)/G2575</f>
        <v>0.837416481069042</v>
      </c>
      <c r="J2575" s="15" t="n">
        <v>0.401</v>
      </c>
      <c r="K2575" s="11" t="str">
        <f aca="false">IF(I2575&lt;J2575,"TAK","NIE")</f>
        <v>NIE</v>
      </c>
    </row>
    <row r="2576" customFormat="false" ht="15" hidden="false" customHeight="false" outlineLevel="0" collapsed="false">
      <c r="A2576" s="5" t="s">
        <v>561</v>
      </c>
      <c r="B2576" s="5" t="s">
        <v>90</v>
      </c>
      <c r="C2576" s="5" t="n">
        <v>2022</v>
      </c>
      <c r="D2576" s="5" t="s">
        <v>49</v>
      </c>
      <c r="E2576" s="5" t="s">
        <v>55</v>
      </c>
      <c r="F2576" s="5" t="s">
        <v>40</v>
      </c>
      <c r="G2576" s="6" t="n">
        <v>456</v>
      </c>
      <c r="H2576" s="6" t="n">
        <v>100</v>
      </c>
      <c r="I2576" s="7" t="n">
        <f aca="false">(G2576-H2576)/G2576</f>
        <v>0.780701754385965</v>
      </c>
      <c r="J2576" s="15" t="n">
        <v>0.401</v>
      </c>
      <c r="K2576" s="11" t="str">
        <f aca="false">IF(I2576&lt;J2576,"TAK","NIE")</f>
        <v>NIE</v>
      </c>
    </row>
    <row r="2577" customFormat="false" ht="15" hidden="false" customHeight="false" outlineLevel="0" collapsed="false">
      <c r="A2577" s="5" t="s">
        <v>562</v>
      </c>
      <c r="B2577" s="5" t="s">
        <v>90</v>
      </c>
      <c r="C2577" s="5" t="n">
        <v>2022</v>
      </c>
      <c r="D2577" s="5" t="s">
        <v>49</v>
      </c>
      <c r="E2577" s="5" t="s">
        <v>55</v>
      </c>
      <c r="F2577" s="5" t="s">
        <v>40</v>
      </c>
      <c r="G2577" s="6" t="n">
        <v>442</v>
      </c>
      <c r="H2577" s="6" t="n">
        <v>93</v>
      </c>
      <c r="I2577" s="7" t="n">
        <f aca="false">(G2577-H2577)/G2577</f>
        <v>0.789592760180995</v>
      </c>
      <c r="J2577" s="15" t="n">
        <v>0.401</v>
      </c>
      <c r="K2577" s="11" t="str">
        <f aca="false">IF(I2577&lt;J2577,"TAK","NIE")</f>
        <v>NIE</v>
      </c>
    </row>
    <row r="2578" customFormat="false" ht="15" hidden="false" customHeight="false" outlineLevel="0" collapsed="false">
      <c r="A2578" s="5" t="s">
        <v>563</v>
      </c>
      <c r="B2578" s="5" t="s">
        <v>90</v>
      </c>
      <c r="C2578" s="5" t="n">
        <v>2022</v>
      </c>
      <c r="D2578" s="5" t="s">
        <v>49</v>
      </c>
      <c r="E2578" s="5" t="s">
        <v>55</v>
      </c>
      <c r="F2578" s="5" t="s">
        <v>40</v>
      </c>
      <c r="G2578" s="6" t="n">
        <v>456</v>
      </c>
      <c r="H2578" s="6" t="n">
        <v>172</v>
      </c>
      <c r="I2578" s="7" t="n">
        <f aca="false">(G2578-H2578)/G2578</f>
        <v>0.62280701754386</v>
      </c>
      <c r="J2578" s="15" t="n">
        <v>0.401</v>
      </c>
      <c r="K2578" s="11" t="str">
        <f aca="false">IF(I2578&lt;J2578,"TAK","NIE")</f>
        <v>NIE</v>
      </c>
    </row>
    <row r="2579" customFormat="false" ht="15" hidden="false" customHeight="false" outlineLevel="0" collapsed="false">
      <c r="A2579" s="5" t="s">
        <v>565</v>
      </c>
      <c r="B2579" s="5" t="s">
        <v>90</v>
      </c>
      <c r="C2579" s="5" t="n">
        <v>2022</v>
      </c>
      <c r="D2579" s="5" t="s">
        <v>49</v>
      </c>
      <c r="E2579" s="5" t="s">
        <v>55</v>
      </c>
      <c r="F2579" s="5" t="s">
        <v>40</v>
      </c>
      <c r="G2579" s="6" t="n">
        <v>455</v>
      </c>
      <c r="H2579" s="6" t="n">
        <v>86</v>
      </c>
      <c r="I2579" s="7" t="n">
        <f aca="false">(G2579-H2579)/G2579</f>
        <v>0.810989010989011</v>
      </c>
      <c r="J2579" s="15" t="n">
        <v>0.401</v>
      </c>
      <c r="K2579" s="11" t="str">
        <f aca="false">IF(I2579&lt;J2579,"TAK","NIE")</f>
        <v>NIE</v>
      </c>
    </row>
    <row r="2580" customFormat="false" ht="15" hidden="false" customHeight="false" outlineLevel="0" collapsed="false">
      <c r="A2580" s="5" t="s">
        <v>566</v>
      </c>
      <c r="B2580" s="5" t="s">
        <v>90</v>
      </c>
      <c r="C2580" s="5" t="n">
        <v>2022</v>
      </c>
      <c r="D2580" s="5" t="s">
        <v>49</v>
      </c>
      <c r="E2580" s="5" t="s">
        <v>55</v>
      </c>
      <c r="F2580" s="5" t="s">
        <v>40</v>
      </c>
      <c r="G2580" s="6" t="n">
        <v>456</v>
      </c>
      <c r="H2580" s="6" t="n">
        <v>154</v>
      </c>
      <c r="I2580" s="7" t="n">
        <f aca="false">(G2580-H2580)/G2580</f>
        <v>0.662280701754386</v>
      </c>
      <c r="J2580" s="15" t="n">
        <v>0.401</v>
      </c>
      <c r="K2580" s="11" t="str">
        <f aca="false">IF(I2580&lt;J2580,"TAK","NIE")</f>
        <v>NIE</v>
      </c>
    </row>
    <row r="2581" customFormat="false" ht="15" hidden="false" customHeight="false" outlineLevel="0" collapsed="false">
      <c r="A2581" s="5" t="s">
        <v>567</v>
      </c>
      <c r="B2581" s="5" t="s">
        <v>90</v>
      </c>
      <c r="C2581" s="5" t="n">
        <v>2022</v>
      </c>
      <c r="D2581" s="5" t="s">
        <v>49</v>
      </c>
      <c r="E2581" s="5" t="s">
        <v>55</v>
      </c>
      <c r="F2581" s="5" t="s">
        <v>40</v>
      </c>
      <c r="G2581" s="6" t="n">
        <v>362</v>
      </c>
      <c r="H2581" s="6" t="n">
        <v>54</v>
      </c>
      <c r="I2581" s="7" t="n">
        <f aca="false">(G2581-H2581)/G2581</f>
        <v>0.850828729281768</v>
      </c>
      <c r="J2581" s="15" t="n">
        <v>0.401</v>
      </c>
      <c r="K2581" s="11" t="str">
        <f aca="false">IF(I2581&lt;J2581,"TAK","NIE")</f>
        <v>NIE</v>
      </c>
    </row>
    <row r="2582" customFormat="false" ht="15" hidden="false" customHeight="false" outlineLevel="0" collapsed="false">
      <c r="A2582" s="5" t="s">
        <v>535</v>
      </c>
      <c r="B2582" s="5" t="s">
        <v>48</v>
      </c>
      <c r="C2582" s="5" t="n">
        <v>2022</v>
      </c>
      <c r="D2582" s="5" t="s">
        <v>49</v>
      </c>
      <c r="E2582" s="5" t="s">
        <v>57</v>
      </c>
      <c r="F2582" s="5" t="s">
        <v>39</v>
      </c>
      <c r="G2582" s="6" t="n">
        <v>433</v>
      </c>
      <c r="H2582" s="6" t="n">
        <v>66</v>
      </c>
      <c r="I2582" s="7" t="n">
        <f aca="false">(G2582-H2582)/G2582</f>
        <v>0.847575057736721</v>
      </c>
      <c r="J2582" s="15" t="n">
        <v>0.3582</v>
      </c>
      <c r="K2582" s="11" t="str">
        <f aca="false">IF(I2582&lt;J2582,"TAK","NIE")</f>
        <v>NIE</v>
      </c>
    </row>
    <row r="2583" customFormat="false" ht="15" hidden="false" customHeight="false" outlineLevel="0" collapsed="false">
      <c r="A2583" s="5" t="s">
        <v>536</v>
      </c>
      <c r="B2583" s="5" t="s">
        <v>48</v>
      </c>
      <c r="C2583" s="5" t="n">
        <v>2022</v>
      </c>
      <c r="D2583" s="5" t="s">
        <v>49</v>
      </c>
      <c r="E2583" s="5" t="s">
        <v>57</v>
      </c>
      <c r="F2583" s="5" t="s">
        <v>39</v>
      </c>
      <c r="G2583" s="6" t="n">
        <v>573</v>
      </c>
      <c r="H2583" s="6" t="n">
        <v>91</v>
      </c>
      <c r="I2583" s="7" t="n">
        <f aca="false">(G2583-H2583)/G2583</f>
        <v>0.841186736474695</v>
      </c>
      <c r="J2583" s="15" t="n">
        <v>0.3582</v>
      </c>
      <c r="K2583" s="11" t="str">
        <f aca="false">IF(I2583&lt;J2583,"TAK","NIE")</f>
        <v>NIE</v>
      </c>
    </row>
    <row r="2584" customFormat="false" ht="15" hidden="false" customHeight="false" outlineLevel="0" collapsed="false">
      <c r="A2584" s="5" t="s">
        <v>379</v>
      </c>
      <c r="B2584" s="5" t="s">
        <v>48</v>
      </c>
      <c r="C2584" s="5" t="n">
        <v>2022</v>
      </c>
      <c r="D2584" s="5" t="s">
        <v>49</v>
      </c>
      <c r="E2584" s="5" t="s">
        <v>57</v>
      </c>
      <c r="F2584" s="5" t="s">
        <v>39</v>
      </c>
      <c r="G2584" s="6" t="n">
        <v>556</v>
      </c>
      <c r="H2584" s="6" t="n">
        <v>368</v>
      </c>
      <c r="I2584" s="7" t="n">
        <f aca="false">(G2584-H2584)/G2584</f>
        <v>0.338129496402878</v>
      </c>
      <c r="J2584" s="15" t="n">
        <v>0.3582</v>
      </c>
      <c r="K2584" s="11" t="str">
        <f aca="false">IF(I2584&lt;J2584,"TAK","NIE")</f>
        <v>TAK</v>
      </c>
    </row>
    <row r="2585" customFormat="false" ht="15" hidden="false" customHeight="false" outlineLevel="0" collapsed="false">
      <c r="A2585" s="5" t="s">
        <v>539</v>
      </c>
      <c r="B2585" s="5" t="s">
        <v>48</v>
      </c>
      <c r="C2585" s="5" t="n">
        <v>2022</v>
      </c>
      <c r="D2585" s="5" t="s">
        <v>49</v>
      </c>
      <c r="E2585" s="5" t="s">
        <v>57</v>
      </c>
      <c r="F2585" s="5" t="s">
        <v>39</v>
      </c>
      <c r="G2585" s="6" t="n">
        <v>556</v>
      </c>
      <c r="H2585" s="6" t="n">
        <v>53</v>
      </c>
      <c r="I2585" s="7" t="n">
        <f aca="false">(G2585-H2585)/G2585</f>
        <v>0.904676258992806</v>
      </c>
      <c r="J2585" s="15" t="n">
        <v>0.3582</v>
      </c>
      <c r="K2585" s="11" t="str">
        <f aca="false">IF(I2585&lt;J2585,"TAK","NIE")</f>
        <v>NIE</v>
      </c>
    </row>
    <row r="2586" customFormat="false" ht="15" hidden="false" customHeight="false" outlineLevel="0" collapsed="false">
      <c r="A2586" s="5" t="s">
        <v>540</v>
      </c>
      <c r="B2586" s="5" t="s">
        <v>48</v>
      </c>
      <c r="C2586" s="5" t="n">
        <v>2022</v>
      </c>
      <c r="D2586" s="5" t="s">
        <v>49</v>
      </c>
      <c r="E2586" s="5" t="s">
        <v>57</v>
      </c>
      <c r="F2586" s="5" t="s">
        <v>39</v>
      </c>
      <c r="G2586" s="6" t="n">
        <v>579</v>
      </c>
      <c r="H2586" s="6" t="n">
        <v>210</v>
      </c>
      <c r="I2586" s="7" t="n">
        <f aca="false">(G2586-H2586)/G2586</f>
        <v>0.637305699481865</v>
      </c>
      <c r="J2586" s="15" t="n">
        <v>0.3582</v>
      </c>
      <c r="K2586" s="11" t="str">
        <f aca="false">IF(I2586&lt;J2586,"TAK","NIE")</f>
        <v>NIE</v>
      </c>
    </row>
    <row r="2587" customFormat="false" ht="15" hidden="false" customHeight="false" outlineLevel="0" collapsed="false">
      <c r="A2587" s="5" t="s">
        <v>541</v>
      </c>
      <c r="B2587" s="5" t="s">
        <v>48</v>
      </c>
      <c r="C2587" s="5" t="n">
        <v>2022</v>
      </c>
      <c r="D2587" s="5" t="s">
        <v>49</v>
      </c>
      <c r="E2587" s="5" t="s">
        <v>57</v>
      </c>
      <c r="F2587" s="5" t="s">
        <v>39</v>
      </c>
      <c r="G2587" s="6" t="n">
        <v>579</v>
      </c>
      <c r="H2587" s="6" t="n">
        <v>230</v>
      </c>
      <c r="I2587" s="7" t="n">
        <f aca="false">(G2587-H2587)/G2587</f>
        <v>0.602763385146805</v>
      </c>
      <c r="J2587" s="15" t="n">
        <v>0.3582</v>
      </c>
      <c r="K2587" s="11" t="str">
        <f aca="false">IF(I2587&lt;J2587,"TAK","NIE")</f>
        <v>NIE</v>
      </c>
    </row>
    <row r="2588" customFormat="false" ht="15" hidden="false" customHeight="false" outlineLevel="0" collapsed="false">
      <c r="A2588" s="5" t="s">
        <v>569</v>
      </c>
      <c r="B2588" s="5" t="s">
        <v>48</v>
      </c>
      <c r="C2588" s="5" t="n">
        <v>2022</v>
      </c>
      <c r="D2588" s="5" t="s">
        <v>49</v>
      </c>
      <c r="E2588" s="5" t="s">
        <v>57</v>
      </c>
      <c r="F2588" s="5" t="s">
        <v>39</v>
      </c>
      <c r="G2588" s="6" t="n">
        <v>551</v>
      </c>
      <c r="H2588" s="6" t="n">
        <v>57</v>
      </c>
      <c r="I2588" s="7" t="n">
        <f aca="false">(G2588-H2588)/G2588</f>
        <v>0.896551724137931</v>
      </c>
      <c r="J2588" s="15" t="n">
        <v>0.3582</v>
      </c>
      <c r="K2588" s="11" t="str">
        <f aca="false">IF(I2588&lt;J2588,"TAK","NIE")</f>
        <v>NIE</v>
      </c>
    </row>
    <row r="2589" customFormat="false" ht="15" hidden="false" customHeight="false" outlineLevel="0" collapsed="false">
      <c r="A2589" s="5" t="s">
        <v>543</v>
      </c>
      <c r="B2589" s="5" t="s">
        <v>48</v>
      </c>
      <c r="C2589" s="5" t="n">
        <v>2022</v>
      </c>
      <c r="D2589" s="5" t="s">
        <v>49</v>
      </c>
      <c r="E2589" s="5" t="s">
        <v>57</v>
      </c>
      <c r="F2589" s="5" t="s">
        <v>39</v>
      </c>
      <c r="G2589" s="6" t="n">
        <v>579</v>
      </c>
      <c r="H2589" s="6" t="n">
        <v>327</v>
      </c>
      <c r="I2589" s="7" t="n">
        <f aca="false">(G2589-H2589)/G2589</f>
        <v>0.435233160621762</v>
      </c>
      <c r="J2589" s="15" t="n">
        <v>0.3582</v>
      </c>
      <c r="K2589" s="11" t="str">
        <f aca="false">IF(I2589&lt;J2589,"TAK","NIE")</f>
        <v>NIE</v>
      </c>
    </row>
    <row r="2590" customFormat="false" ht="15" hidden="false" customHeight="false" outlineLevel="0" collapsed="false">
      <c r="A2590" s="5" t="s">
        <v>544</v>
      </c>
      <c r="B2590" s="5" t="s">
        <v>48</v>
      </c>
      <c r="C2590" s="5" t="n">
        <v>2022</v>
      </c>
      <c r="D2590" s="5" t="s">
        <v>49</v>
      </c>
      <c r="E2590" s="5" t="s">
        <v>57</v>
      </c>
      <c r="F2590" s="5" t="s">
        <v>39</v>
      </c>
      <c r="G2590" s="6" t="n">
        <v>556</v>
      </c>
      <c r="H2590" s="6" t="n">
        <v>40</v>
      </c>
      <c r="I2590" s="7" t="n">
        <f aca="false">(G2590-H2590)/G2590</f>
        <v>0.928057553956835</v>
      </c>
      <c r="J2590" s="15" t="n">
        <v>0.3582</v>
      </c>
      <c r="K2590" s="11" t="str">
        <f aca="false">IF(I2590&lt;J2590,"TAK","NIE")</f>
        <v>NIE</v>
      </c>
    </row>
    <row r="2591" customFormat="false" ht="15" hidden="false" customHeight="false" outlineLevel="0" collapsed="false">
      <c r="A2591" s="5" t="s">
        <v>568</v>
      </c>
      <c r="B2591" s="5" t="s">
        <v>48</v>
      </c>
      <c r="C2591" s="5" t="n">
        <v>2022</v>
      </c>
      <c r="D2591" s="5" t="s">
        <v>49</v>
      </c>
      <c r="E2591" s="5" t="s">
        <v>57</v>
      </c>
      <c r="F2591" s="5" t="s">
        <v>39</v>
      </c>
      <c r="G2591" s="6" t="n">
        <v>573</v>
      </c>
      <c r="H2591" s="6" t="n">
        <v>122</v>
      </c>
      <c r="I2591" s="7" t="n">
        <f aca="false">(G2591-H2591)/G2591</f>
        <v>0.787085514834206</v>
      </c>
      <c r="J2591" s="15" t="n">
        <v>0.3582</v>
      </c>
      <c r="K2591" s="11" t="str">
        <f aca="false">IF(I2591&lt;J2591,"TAK","NIE")</f>
        <v>NIE</v>
      </c>
    </row>
    <row r="2592" customFormat="false" ht="15" hidden="false" customHeight="false" outlineLevel="0" collapsed="false">
      <c r="A2592" s="5" t="s">
        <v>545</v>
      </c>
      <c r="B2592" s="5" t="s">
        <v>48</v>
      </c>
      <c r="C2592" s="5" t="n">
        <v>2022</v>
      </c>
      <c r="D2592" s="5" t="s">
        <v>49</v>
      </c>
      <c r="E2592" s="5" t="s">
        <v>57</v>
      </c>
      <c r="F2592" s="5" t="s">
        <v>39</v>
      </c>
      <c r="G2592" s="6" t="n">
        <v>556</v>
      </c>
      <c r="H2592" s="6" t="n">
        <v>130</v>
      </c>
      <c r="I2592" s="7" t="n">
        <f aca="false">(G2592-H2592)/G2592</f>
        <v>0.766187050359712</v>
      </c>
      <c r="J2592" s="15" t="n">
        <v>0.3582</v>
      </c>
      <c r="K2592" s="11" t="str">
        <f aca="false">IF(I2592&lt;J2592,"TAK","NIE")</f>
        <v>NIE</v>
      </c>
    </row>
    <row r="2593" customFormat="false" ht="15" hidden="false" customHeight="false" outlineLevel="0" collapsed="false">
      <c r="A2593" s="5" t="s">
        <v>546</v>
      </c>
      <c r="B2593" s="5" t="s">
        <v>48</v>
      </c>
      <c r="C2593" s="5" t="n">
        <v>2022</v>
      </c>
      <c r="D2593" s="5" t="s">
        <v>49</v>
      </c>
      <c r="E2593" s="5" t="s">
        <v>57</v>
      </c>
      <c r="F2593" s="5" t="s">
        <v>39</v>
      </c>
      <c r="G2593" s="6" t="n">
        <v>573</v>
      </c>
      <c r="H2593" s="6" t="n">
        <v>315</v>
      </c>
      <c r="I2593" s="7" t="n">
        <f aca="false">(G2593-H2593)/G2593</f>
        <v>0.450261780104712</v>
      </c>
      <c r="J2593" s="15" t="n">
        <v>0.3582</v>
      </c>
      <c r="K2593" s="11" t="str">
        <f aca="false">IF(I2593&lt;J2593,"TAK","NIE")</f>
        <v>NIE</v>
      </c>
    </row>
    <row r="2594" customFormat="false" ht="15" hidden="false" customHeight="false" outlineLevel="0" collapsed="false">
      <c r="A2594" s="5" t="s">
        <v>547</v>
      </c>
      <c r="B2594" s="5" t="s">
        <v>48</v>
      </c>
      <c r="C2594" s="5" t="n">
        <v>2022</v>
      </c>
      <c r="D2594" s="5" t="s">
        <v>49</v>
      </c>
      <c r="E2594" s="5" t="s">
        <v>57</v>
      </c>
      <c r="F2594" s="5" t="s">
        <v>39</v>
      </c>
      <c r="G2594" s="6" t="n">
        <v>556</v>
      </c>
      <c r="H2594" s="6" t="n">
        <v>197</v>
      </c>
      <c r="I2594" s="7" t="n">
        <f aca="false">(G2594-H2594)/G2594</f>
        <v>0.64568345323741</v>
      </c>
      <c r="J2594" s="15" t="n">
        <v>0.3582</v>
      </c>
      <c r="K2594" s="11" t="str">
        <f aca="false">IF(I2594&lt;J2594,"TAK","NIE")</f>
        <v>NIE</v>
      </c>
    </row>
    <row r="2595" customFormat="false" ht="15" hidden="false" customHeight="false" outlineLevel="0" collapsed="false">
      <c r="A2595" s="5" t="s">
        <v>548</v>
      </c>
      <c r="B2595" s="5" t="s">
        <v>48</v>
      </c>
      <c r="C2595" s="5" t="n">
        <v>2022</v>
      </c>
      <c r="D2595" s="5" t="s">
        <v>49</v>
      </c>
      <c r="E2595" s="5" t="s">
        <v>57</v>
      </c>
      <c r="F2595" s="5" t="s">
        <v>39</v>
      </c>
      <c r="G2595" s="6" t="n">
        <v>573</v>
      </c>
      <c r="H2595" s="6" t="n">
        <v>310</v>
      </c>
      <c r="I2595" s="7" t="n">
        <f aca="false">(G2595-H2595)/G2595</f>
        <v>0.458987783595113</v>
      </c>
      <c r="J2595" s="15" t="n">
        <v>0.3582</v>
      </c>
      <c r="K2595" s="11" t="str">
        <f aca="false">IF(I2595&lt;J2595,"TAK","NIE")</f>
        <v>NIE</v>
      </c>
    </row>
    <row r="2596" customFormat="false" ht="15" hidden="false" customHeight="false" outlineLevel="0" collapsed="false">
      <c r="A2596" s="5" t="s">
        <v>550</v>
      </c>
      <c r="B2596" s="5" t="s">
        <v>48</v>
      </c>
      <c r="C2596" s="5" t="n">
        <v>2022</v>
      </c>
      <c r="D2596" s="5" t="s">
        <v>49</v>
      </c>
      <c r="E2596" s="5" t="s">
        <v>57</v>
      </c>
      <c r="F2596" s="5" t="s">
        <v>39</v>
      </c>
      <c r="G2596" s="6" t="n">
        <v>573</v>
      </c>
      <c r="H2596" s="6" t="n">
        <v>200</v>
      </c>
      <c r="I2596" s="7" t="n">
        <f aca="false">(G2596-H2596)/G2596</f>
        <v>0.650959860383944</v>
      </c>
      <c r="J2596" s="15" t="n">
        <v>0.3582</v>
      </c>
      <c r="K2596" s="11" t="str">
        <f aca="false">IF(I2596&lt;J2596,"TAK","NIE")</f>
        <v>NIE</v>
      </c>
    </row>
    <row r="2597" customFormat="false" ht="15" hidden="false" customHeight="false" outlineLevel="0" collapsed="false">
      <c r="A2597" s="5" t="s">
        <v>551</v>
      </c>
      <c r="B2597" s="5" t="s">
        <v>48</v>
      </c>
      <c r="C2597" s="5" t="n">
        <v>2022</v>
      </c>
      <c r="D2597" s="5" t="s">
        <v>49</v>
      </c>
      <c r="E2597" s="5" t="s">
        <v>57</v>
      </c>
      <c r="F2597" s="5" t="s">
        <v>39</v>
      </c>
      <c r="G2597" s="6" t="n">
        <v>579</v>
      </c>
      <c r="H2597" s="6" t="n">
        <v>204</v>
      </c>
      <c r="I2597" s="7" t="n">
        <f aca="false">(G2597-H2597)/G2597</f>
        <v>0.647668393782383</v>
      </c>
      <c r="J2597" s="15" t="n">
        <v>0.3582</v>
      </c>
      <c r="K2597" s="11" t="str">
        <f aca="false">IF(I2597&lt;J2597,"TAK","NIE")</f>
        <v>NIE</v>
      </c>
    </row>
    <row r="2598" customFormat="false" ht="15" hidden="false" customHeight="false" outlineLevel="0" collapsed="false">
      <c r="A2598" s="5" t="s">
        <v>552</v>
      </c>
      <c r="B2598" s="5" t="s">
        <v>48</v>
      </c>
      <c r="C2598" s="5" t="n">
        <v>2022</v>
      </c>
      <c r="D2598" s="5" t="s">
        <v>49</v>
      </c>
      <c r="E2598" s="5" t="s">
        <v>57</v>
      </c>
      <c r="F2598" s="5" t="s">
        <v>39</v>
      </c>
      <c r="G2598" s="6" t="n">
        <v>556</v>
      </c>
      <c r="H2598" s="6" t="n">
        <v>44</v>
      </c>
      <c r="I2598" s="7" t="n">
        <f aca="false">(G2598-H2598)/G2598</f>
        <v>0.920863309352518</v>
      </c>
      <c r="J2598" s="15" t="n">
        <v>0.3582</v>
      </c>
      <c r="K2598" s="11" t="str">
        <f aca="false">IF(I2598&lt;J2598,"TAK","NIE")</f>
        <v>NIE</v>
      </c>
    </row>
    <row r="2599" customFormat="false" ht="15" hidden="false" customHeight="false" outlineLevel="0" collapsed="false">
      <c r="A2599" s="5" t="s">
        <v>553</v>
      </c>
      <c r="B2599" s="5" t="s">
        <v>48</v>
      </c>
      <c r="C2599" s="5" t="n">
        <v>2022</v>
      </c>
      <c r="D2599" s="5" t="s">
        <v>49</v>
      </c>
      <c r="E2599" s="5" t="s">
        <v>57</v>
      </c>
      <c r="F2599" s="5" t="s">
        <v>39</v>
      </c>
      <c r="G2599" s="6" t="n">
        <v>556</v>
      </c>
      <c r="H2599" s="6" t="n">
        <v>27</v>
      </c>
      <c r="I2599" s="7" t="n">
        <f aca="false">(G2599-H2599)/G2599</f>
        <v>0.951438848920863</v>
      </c>
      <c r="J2599" s="15" t="n">
        <v>0.3582</v>
      </c>
      <c r="K2599" s="11" t="str">
        <f aca="false">IF(I2599&lt;J2599,"TAK","NIE")</f>
        <v>NIE</v>
      </c>
    </row>
    <row r="2600" customFormat="false" ht="15" hidden="false" customHeight="false" outlineLevel="0" collapsed="false">
      <c r="A2600" s="5" t="s">
        <v>554</v>
      </c>
      <c r="B2600" s="5" t="s">
        <v>48</v>
      </c>
      <c r="C2600" s="5" t="n">
        <v>2022</v>
      </c>
      <c r="D2600" s="5" t="s">
        <v>49</v>
      </c>
      <c r="E2600" s="5" t="s">
        <v>57</v>
      </c>
      <c r="F2600" s="5" t="s">
        <v>39</v>
      </c>
      <c r="G2600" s="6" t="n">
        <v>574</v>
      </c>
      <c r="H2600" s="6" t="n">
        <v>163</v>
      </c>
      <c r="I2600" s="7" t="n">
        <f aca="false">(G2600-H2600)/G2600</f>
        <v>0.71602787456446</v>
      </c>
      <c r="J2600" s="15" t="n">
        <v>0.3582</v>
      </c>
      <c r="K2600" s="11" t="str">
        <f aca="false">IF(I2600&lt;J2600,"TAK","NIE")</f>
        <v>NIE</v>
      </c>
    </row>
    <row r="2601" customFormat="false" ht="15" hidden="false" customHeight="false" outlineLevel="0" collapsed="false">
      <c r="A2601" s="5" t="s">
        <v>555</v>
      </c>
      <c r="B2601" s="5" t="s">
        <v>48</v>
      </c>
      <c r="C2601" s="5" t="n">
        <v>2022</v>
      </c>
      <c r="D2601" s="5" t="s">
        <v>49</v>
      </c>
      <c r="E2601" s="5" t="s">
        <v>57</v>
      </c>
      <c r="F2601" s="5" t="s">
        <v>39</v>
      </c>
      <c r="G2601" s="6" t="n">
        <v>433</v>
      </c>
      <c r="H2601" s="6" t="n">
        <v>121</v>
      </c>
      <c r="I2601" s="7" t="n">
        <f aca="false">(G2601-H2601)/G2601</f>
        <v>0.720554272517321</v>
      </c>
      <c r="J2601" s="15" t="n">
        <v>0.3582</v>
      </c>
      <c r="K2601" s="11" t="str">
        <f aca="false">IF(I2601&lt;J2601,"TAK","NIE")</f>
        <v>NIE</v>
      </c>
    </row>
    <row r="2602" customFormat="false" ht="15" hidden="false" customHeight="false" outlineLevel="0" collapsed="false">
      <c r="A2602" s="5" t="s">
        <v>556</v>
      </c>
      <c r="B2602" s="5" t="s">
        <v>48</v>
      </c>
      <c r="C2602" s="5" t="n">
        <v>2022</v>
      </c>
      <c r="D2602" s="5" t="s">
        <v>49</v>
      </c>
      <c r="E2602" s="5" t="s">
        <v>57</v>
      </c>
      <c r="F2602" s="5" t="s">
        <v>39</v>
      </c>
      <c r="G2602" s="6" t="n">
        <v>573</v>
      </c>
      <c r="H2602" s="6" t="n">
        <v>93</v>
      </c>
      <c r="I2602" s="7" t="n">
        <f aca="false">(G2602-H2602)/G2602</f>
        <v>0.837696335078534</v>
      </c>
      <c r="J2602" s="15" t="n">
        <v>0.3582</v>
      </c>
      <c r="K2602" s="11" t="str">
        <f aca="false">IF(I2602&lt;J2602,"TAK","NIE")</f>
        <v>NIE</v>
      </c>
    </row>
    <row r="2603" customFormat="false" ht="15" hidden="false" customHeight="false" outlineLevel="0" collapsed="false">
      <c r="A2603" s="5" t="s">
        <v>557</v>
      </c>
      <c r="B2603" s="5" t="s">
        <v>48</v>
      </c>
      <c r="C2603" s="5" t="n">
        <v>2022</v>
      </c>
      <c r="D2603" s="5" t="s">
        <v>49</v>
      </c>
      <c r="E2603" s="5" t="s">
        <v>57</v>
      </c>
      <c r="F2603" s="5" t="s">
        <v>39</v>
      </c>
      <c r="G2603" s="6" t="n">
        <v>556</v>
      </c>
      <c r="H2603" s="6" t="n">
        <v>176</v>
      </c>
      <c r="I2603" s="7" t="n">
        <f aca="false">(G2603-H2603)/G2603</f>
        <v>0.683453237410072</v>
      </c>
      <c r="J2603" s="15" t="n">
        <v>0.3582</v>
      </c>
      <c r="K2603" s="11" t="str">
        <f aca="false">IF(I2603&lt;J2603,"TAK","NIE")</f>
        <v>NIE</v>
      </c>
    </row>
    <row r="2604" customFormat="false" ht="15" hidden="false" customHeight="false" outlineLevel="0" collapsed="false">
      <c r="A2604" s="5" t="s">
        <v>558</v>
      </c>
      <c r="B2604" s="5" t="s">
        <v>48</v>
      </c>
      <c r="C2604" s="5" t="n">
        <v>2022</v>
      </c>
      <c r="D2604" s="5" t="s">
        <v>49</v>
      </c>
      <c r="E2604" s="5" t="s">
        <v>57</v>
      </c>
      <c r="F2604" s="5" t="s">
        <v>39</v>
      </c>
      <c r="G2604" s="6" t="n">
        <v>573</v>
      </c>
      <c r="H2604" s="6" t="n">
        <v>31</v>
      </c>
      <c r="I2604" s="7" t="n">
        <f aca="false">(G2604-H2604)/G2604</f>
        <v>0.945898778359511</v>
      </c>
      <c r="J2604" s="15" t="n">
        <v>0.3582</v>
      </c>
      <c r="K2604" s="11" t="str">
        <f aca="false">IF(I2604&lt;J2604,"TAK","NIE")</f>
        <v>NIE</v>
      </c>
    </row>
    <row r="2605" customFormat="false" ht="15" hidden="false" customHeight="false" outlineLevel="0" collapsed="false">
      <c r="A2605" s="5" t="s">
        <v>559</v>
      </c>
      <c r="B2605" s="5" t="s">
        <v>48</v>
      </c>
      <c r="C2605" s="5" t="n">
        <v>2022</v>
      </c>
      <c r="D2605" s="5" t="s">
        <v>49</v>
      </c>
      <c r="E2605" s="5" t="s">
        <v>57</v>
      </c>
      <c r="F2605" s="5" t="s">
        <v>39</v>
      </c>
      <c r="G2605" s="6" t="n">
        <v>573</v>
      </c>
      <c r="H2605" s="6" t="n">
        <v>149</v>
      </c>
      <c r="I2605" s="7" t="n">
        <f aca="false">(G2605-H2605)/G2605</f>
        <v>0.739965095986038</v>
      </c>
      <c r="J2605" s="15" t="n">
        <v>0.3582</v>
      </c>
      <c r="K2605" s="11" t="str">
        <f aca="false">IF(I2605&lt;J2605,"TAK","NIE")</f>
        <v>NIE</v>
      </c>
    </row>
    <row r="2606" customFormat="false" ht="15" hidden="false" customHeight="false" outlineLevel="0" collapsed="false">
      <c r="A2606" s="5" t="s">
        <v>560</v>
      </c>
      <c r="B2606" s="5" t="s">
        <v>48</v>
      </c>
      <c r="C2606" s="5" t="n">
        <v>2022</v>
      </c>
      <c r="D2606" s="5" t="s">
        <v>49</v>
      </c>
      <c r="E2606" s="5" t="s">
        <v>57</v>
      </c>
      <c r="F2606" s="5" t="s">
        <v>39</v>
      </c>
      <c r="G2606" s="6" t="n">
        <v>556</v>
      </c>
      <c r="H2606" s="6" t="n">
        <v>102</v>
      </c>
      <c r="I2606" s="7" t="n">
        <f aca="false">(G2606-H2606)/G2606</f>
        <v>0.816546762589928</v>
      </c>
      <c r="J2606" s="15" t="n">
        <v>0.3582</v>
      </c>
      <c r="K2606" s="11" t="str">
        <f aca="false">IF(I2606&lt;J2606,"TAK","NIE")</f>
        <v>NIE</v>
      </c>
    </row>
    <row r="2607" customFormat="false" ht="15" hidden="false" customHeight="false" outlineLevel="0" collapsed="false">
      <c r="A2607" s="5" t="s">
        <v>561</v>
      </c>
      <c r="B2607" s="5" t="s">
        <v>48</v>
      </c>
      <c r="C2607" s="5" t="n">
        <v>2022</v>
      </c>
      <c r="D2607" s="5" t="s">
        <v>49</v>
      </c>
      <c r="E2607" s="5" t="s">
        <v>57</v>
      </c>
      <c r="F2607" s="5" t="s">
        <v>39</v>
      </c>
      <c r="G2607" s="6" t="n">
        <v>579</v>
      </c>
      <c r="H2607" s="6" t="n">
        <v>146</v>
      </c>
      <c r="I2607" s="7" t="n">
        <f aca="false">(G2607-H2607)/G2607</f>
        <v>0.747841105354059</v>
      </c>
      <c r="J2607" s="15" t="n">
        <v>0.3582</v>
      </c>
      <c r="K2607" s="11" t="str">
        <f aca="false">IF(I2607&lt;J2607,"TAK","NIE")</f>
        <v>NIE</v>
      </c>
    </row>
    <row r="2608" customFormat="false" ht="15" hidden="false" customHeight="false" outlineLevel="0" collapsed="false">
      <c r="A2608" s="5" t="s">
        <v>562</v>
      </c>
      <c r="B2608" s="5" t="s">
        <v>48</v>
      </c>
      <c r="C2608" s="5" t="n">
        <v>2022</v>
      </c>
      <c r="D2608" s="5" t="s">
        <v>49</v>
      </c>
      <c r="E2608" s="5" t="s">
        <v>57</v>
      </c>
      <c r="F2608" s="5" t="s">
        <v>39</v>
      </c>
      <c r="G2608" s="6" t="n">
        <v>579</v>
      </c>
      <c r="H2608" s="6" t="n">
        <v>118</v>
      </c>
      <c r="I2608" s="7" t="n">
        <f aca="false">(G2608-H2608)/G2608</f>
        <v>0.796200345423143</v>
      </c>
      <c r="J2608" s="15" t="n">
        <v>0.3582</v>
      </c>
      <c r="K2608" s="11" t="str">
        <f aca="false">IF(I2608&lt;J2608,"TAK","NIE")</f>
        <v>NIE</v>
      </c>
    </row>
    <row r="2609" customFormat="false" ht="15" hidden="false" customHeight="false" outlineLevel="0" collapsed="false">
      <c r="A2609" s="5" t="s">
        <v>563</v>
      </c>
      <c r="B2609" s="5" t="s">
        <v>48</v>
      </c>
      <c r="C2609" s="5" t="n">
        <v>2022</v>
      </c>
      <c r="D2609" s="5" t="s">
        <v>49</v>
      </c>
      <c r="E2609" s="5" t="s">
        <v>57</v>
      </c>
      <c r="F2609" s="5" t="s">
        <v>39</v>
      </c>
      <c r="G2609" s="6" t="n">
        <v>574</v>
      </c>
      <c r="H2609" s="6" t="n">
        <v>271</v>
      </c>
      <c r="I2609" s="7" t="n">
        <f aca="false">(G2609-H2609)/G2609</f>
        <v>0.52787456445993</v>
      </c>
      <c r="J2609" s="15" t="n">
        <v>0.3582</v>
      </c>
      <c r="K2609" s="11" t="str">
        <f aca="false">IF(I2609&lt;J2609,"TAK","NIE")</f>
        <v>NIE</v>
      </c>
    </row>
    <row r="2610" customFormat="false" ht="15" hidden="false" customHeight="false" outlineLevel="0" collapsed="false">
      <c r="A2610" s="5" t="s">
        <v>565</v>
      </c>
      <c r="B2610" s="5" t="s">
        <v>48</v>
      </c>
      <c r="C2610" s="5" t="n">
        <v>2022</v>
      </c>
      <c r="D2610" s="5" t="s">
        <v>49</v>
      </c>
      <c r="E2610" s="5" t="s">
        <v>57</v>
      </c>
      <c r="F2610" s="5" t="s">
        <v>39</v>
      </c>
      <c r="G2610" s="6" t="n">
        <v>579</v>
      </c>
      <c r="H2610" s="6" t="n">
        <v>129</v>
      </c>
      <c r="I2610" s="7" t="n">
        <f aca="false">(G2610-H2610)/G2610</f>
        <v>0.77720207253886</v>
      </c>
      <c r="J2610" s="15" t="n">
        <v>0.3582</v>
      </c>
      <c r="K2610" s="11" t="str">
        <f aca="false">IF(I2610&lt;J2610,"TAK","NIE")</f>
        <v>NIE</v>
      </c>
    </row>
    <row r="2611" customFormat="false" ht="15" hidden="false" customHeight="false" outlineLevel="0" collapsed="false">
      <c r="A2611" s="5" t="s">
        <v>566</v>
      </c>
      <c r="B2611" s="5" t="s">
        <v>48</v>
      </c>
      <c r="C2611" s="5" t="n">
        <v>2022</v>
      </c>
      <c r="D2611" s="5" t="s">
        <v>49</v>
      </c>
      <c r="E2611" s="5" t="s">
        <v>57</v>
      </c>
      <c r="F2611" s="5" t="s">
        <v>39</v>
      </c>
      <c r="G2611" s="6" t="n">
        <v>428</v>
      </c>
      <c r="H2611" s="6" t="n">
        <v>116</v>
      </c>
      <c r="I2611" s="7" t="n">
        <f aca="false">(G2611-H2611)/G2611</f>
        <v>0.728971962616822</v>
      </c>
      <c r="J2611" s="15" t="n">
        <v>0.3582</v>
      </c>
      <c r="K2611" s="11" t="str">
        <f aca="false">IF(I2611&lt;J2611,"TAK","NIE")</f>
        <v>NIE</v>
      </c>
    </row>
    <row r="2612" customFormat="false" ht="15" hidden="false" customHeight="false" outlineLevel="0" collapsed="false">
      <c r="A2612" s="5" t="s">
        <v>567</v>
      </c>
      <c r="B2612" s="5" t="s">
        <v>48</v>
      </c>
      <c r="C2612" s="5" t="n">
        <v>2022</v>
      </c>
      <c r="D2612" s="5" t="s">
        <v>49</v>
      </c>
      <c r="E2612" s="5" t="s">
        <v>57</v>
      </c>
      <c r="F2612" s="5" t="s">
        <v>39</v>
      </c>
      <c r="G2612" s="6" t="n">
        <v>574</v>
      </c>
      <c r="H2612" s="6" t="n">
        <v>126</v>
      </c>
      <c r="I2612" s="7" t="n">
        <f aca="false">(G2612-H2612)/G2612</f>
        <v>0.780487804878049</v>
      </c>
      <c r="J2612" s="15" t="n">
        <v>0.3582</v>
      </c>
      <c r="K2612" s="11" t="str">
        <f aca="false">IF(I2612&lt;J2612,"TAK","NIE")</f>
        <v>NIE</v>
      </c>
    </row>
    <row r="2613" customFormat="false" ht="15" hidden="false" customHeight="false" outlineLevel="0" collapsed="false">
      <c r="A2613" s="5" t="s">
        <v>535</v>
      </c>
      <c r="B2613" s="5" t="s">
        <v>48</v>
      </c>
      <c r="C2613" s="5" t="n">
        <v>2022</v>
      </c>
      <c r="D2613" s="5" t="s">
        <v>49</v>
      </c>
      <c r="E2613" s="5" t="s">
        <v>57</v>
      </c>
      <c r="F2613" s="5" t="s">
        <v>40</v>
      </c>
      <c r="G2613" s="6" t="n">
        <v>475</v>
      </c>
      <c r="H2613" s="6" t="n">
        <v>151</v>
      </c>
      <c r="I2613" s="7" t="n">
        <f aca="false">(G2613-H2613)/G2613</f>
        <v>0.682105263157895</v>
      </c>
      <c r="J2613" s="15" t="n">
        <v>0.1265</v>
      </c>
      <c r="K2613" s="11" t="str">
        <f aca="false">IF(I2613&lt;J2613,"TAK","NIE")</f>
        <v>NIE</v>
      </c>
    </row>
    <row r="2614" customFormat="false" ht="15" hidden="false" customHeight="false" outlineLevel="0" collapsed="false">
      <c r="A2614" s="5" t="s">
        <v>536</v>
      </c>
      <c r="B2614" s="5" t="s">
        <v>48</v>
      </c>
      <c r="C2614" s="5" t="n">
        <v>2022</v>
      </c>
      <c r="D2614" s="5" t="s">
        <v>49</v>
      </c>
      <c r="E2614" s="5" t="s">
        <v>57</v>
      </c>
      <c r="F2614" s="5" t="s">
        <v>40</v>
      </c>
      <c r="G2614" s="6" t="n">
        <v>613</v>
      </c>
      <c r="H2614" s="6" t="n">
        <v>171</v>
      </c>
      <c r="I2614" s="7" t="n">
        <f aca="false">(G2614-H2614)/G2614</f>
        <v>0.721044045676998</v>
      </c>
      <c r="J2614" s="15" t="n">
        <v>0.1265</v>
      </c>
      <c r="K2614" s="11" t="str">
        <f aca="false">IF(I2614&lt;J2614,"TAK","NIE")</f>
        <v>NIE</v>
      </c>
    </row>
    <row r="2615" customFormat="false" ht="15" hidden="false" customHeight="false" outlineLevel="0" collapsed="false">
      <c r="A2615" s="5" t="s">
        <v>379</v>
      </c>
      <c r="B2615" s="5" t="s">
        <v>48</v>
      </c>
      <c r="C2615" s="5" t="n">
        <v>2022</v>
      </c>
      <c r="D2615" s="5" t="s">
        <v>49</v>
      </c>
      <c r="E2615" s="5" t="s">
        <v>57</v>
      </c>
      <c r="F2615" s="5" t="s">
        <v>40</v>
      </c>
      <c r="G2615" s="6" t="n">
        <v>572</v>
      </c>
      <c r="H2615" s="6" t="n">
        <v>448</v>
      </c>
      <c r="I2615" s="7" t="n">
        <f aca="false">(G2615-H2615)/G2615</f>
        <v>0.216783216783217</v>
      </c>
      <c r="J2615" s="15" t="n">
        <v>0.1265</v>
      </c>
      <c r="K2615" s="11" t="str">
        <f aca="false">IF(I2615&lt;J2615,"TAK","NIE")</f>
        <v>NIE</v>
      </c>
    </row>
    <row r="2616" customFormat="false" ht="15" hidden="false" customHeight="false" outlineLevel="0" collapsed="false">
      <c r="A2616" s="5" t="s">
        <v>539</v>
      </c>
      <c r="B2616" s="5" t="s">
        <v>48</v>
      </c>
      <c r="C2616" s="5" t="n">
        <v>2022</v>
      </c>
      <c r="D2616" s="5" t="s">
        <v>49</v>
      </c>
      <c r="E2616" s="5" t="s">
        <v>57</v>
      </c>
      <c r="F2616" s="5" t="s">
        <v>40</v>
      </c>
      <c r="G2616" s="6" t="n">
        <v>593</v>
      </c>
      <c r="H2616" s="6" t="n">
        <v>119</v>
      </c>
      <c r="I2616" s="7" t="n">
        <f aca="false">(G2616-H2616)/G2616</f>
        <v>0.799325463743676</v>
      </c>
      <c r="J2616" s="15" t="n">
        <v>0.1265</v>
      </c>
      <c r="K2616" s="11" t="str">
        <f aca="false">IF(I2616&lt;J2616,"TAK","NIE")</f>
        <v>NIE</v>
      </c>
    </row>
    <row r="2617" customFormat="false" ht="15" hidden="false" customHeight="false" outlineLevel="0" collapsed="false">
      <c r="A2617" s="5" t="s">
        <v>540</v>
      </c>
      <c r="B2617" s="5" t="s">
        <v>48</v>
      </c>
      <c r="C2617" s="5" t="n">
        <v>2022</v>
      </c>
      <c r="D2617" s="5" t="s">
        <v>49</v>
      </c>
      <c r="E2617" s="5" t="s">
        <v>57</v>
      </c>
      <c r="F2617" s="5" t="s">
        <v>40</v>
      </c>
      <c r="G2617" s="6" t="n">
        <v>610</v>
      </c>
      <c r="H2617" s="6" t="n">
        <v>410</v>
      </c>
      <c r="I2617" s="7" t="n">
        <f aca="false">(G2617-H2617)/G2617</f>
        <v>0.327868852459016</v>
      </c>
      <c r="J2617" s="15" t="n">
        <v>0.1265</v>
      </c>
      <c r="K2617" s="11" t="str">
        <f aca="false">IF(I2617&lt;J2617,"TAK","NIE")</f>
        <v>NIE</v>
      </c>
    </row>
    <row r="2618" customFormat="false" ht="15" hidden="false" customHeight="false" outlineLevel="0" collapsed="false">
      <c r="A2618" s="5" t="s">
        <v>541</v>
      </c>
      <c r="B2618" s="5" t="s">
        <v>48</v>
      </c>
      <c r="C2618" s="5" t="n">
        <v>2022</v>
      </c>
      <c r="D2618" s="5" t="s">
        <v>49</v>
      </c>
      <c r="E2618" s="5" t="s">
        <v>57</v>
      </c>
      <c r="F2618" s="5" t="s">
        <v>40</v>
      </c>
      <c r="G2618" s="6" t="n">
        <v>610</v>
      </c>
      <c r="H2618" s="6" t="n">
        <v>314</v>
      </c>
      <c r="I2618" s="7" t="n">
        <f aca="false">(G2618-H2618)/G2618</f>
        <v>0.485245901639344</v>
      </c>
      <c r="J2618" s="15" t="n">
        <v>0.1265</v>
      </c>
      <c r="K2618" s="11" t="str">
        <f aca="false">IF(I2618&lt;J2618,"TAK","NIE")</f>
        <v>NIE</v>
      </c>
    </row>
    <row r="2619" customFormat="false" ht="15" hidden="false" customHeight="false" outlineLevel="0" collapsed="false">
      <c r="A2619" s="5" t="s">
        <v>569</v>
      </c>
      <c r="B2619" s="5" t="s">
        <v>48</v>
      </c>
      <c r="C2619" s="5" t="n">
        <v>2022</v>
      </c>
      <c r="D2619" s="5" t="s">
        <v>49</v>
      </c>
      <c r="E2619" s="5" t="s">
        <v>57</v>
      </c>
      <c r="F2619" s="5" t="s">
        <v>40</v>
      </c>
      <c r="G2619" s="6" t="n">
        <v>613</v>
      </c>
      <c r="H2619" s="6" t="n">
        <v>140</v>
      </c>
      <c r="I2619" s="7" t="n">
        <f aca="false">(G2619-H2619)/G2619</f>
        <v>0.771615008156607</v>
      </c>
      <c r="J2619" s="15" t="n">
        <v>0.1265</v>
      </c>
      <c r="K2619" s="11" t="str">
        <f aca="false">IF(I2619&lt;J2619,"TAK","NIE")</f>
        <v>NIE</v>
      </c>
    </row>
    <row r="2620" customFormat="false" ht="15" hidden="false" customHeight="false" outlineLevel="0" collapsed="false">
      <c r="A2620" s="5" t="s">
        <v>543</v>
      </c>
      <c r="B2620" s="5" t="s">
        <v>48</v>
      </c>
      <c r="C2620" s="5" t="n">
        <v>2022</v>
      </c>
      <c r="D2620" s="5" t="s">
        <v>49</v>
      </c>
      <c r="E2620" s="5" t="s">
        <v>57</v>
      </c>
      <c r="F2620" s="5" t="s">
        <v>40</v>
      </c>
      <c r="G2620" s="6" t="n">
        <v>610</v>
      </c>
      <c r="H2620" s="6" t="n">
        <v>416</v>
      </c>
      <c r="I2620" s="7" t="n">
        <f aca="false">(G2620-H2620)/G2620</f>
        <v>0.318032786885246</v>
      </c>
      <c r="J2620" s="15" t="n">
        <v>0.1265</v>
      </c>
      <c r="K2620" s="11" t="str">
        <f aca="false">IF(I2620&lt;J2620,"TAK","NIE")</f>
        <v>NIE</v>
      </c>
    </row>
    <row r="2621" customFormat="false" ht="15" hidden="false" customHeight="false" outlineLevel="0" collapsed="false">
      <c r="A2621" s="5" t="s">
        <v>544</v>
      </c>
      <c r="B2621" s="5" t="s">
        <v>48</v>
      </c>
      <c r="C2621" s="5" t="n">
        <v>2022</v>
      </c>
      <c r="D2621" s="5" t="s">
        <v>49</v>
      </c>
      <c r="E2621" s="5" t="s">
        <v>57</v>
      </c>
      <c r="F2621" s="5" t="s">
        <v>40</v>
      </c>
      <c r="G2621" s="6" t="n">
        <v>593</v>
      </c>
      <c r="H2621" s="6" t="n">
        <v>72</v>
      </c>
      <c r="I2621" s="7" t="n">
        <f aca="false">(G2621-H2621)/G2621</f>
        <v>0.87858347386172</v>
      </c>
      <c r="J2621" s="15" t="n">
        <v>0.1265</v>
      </c>
      <c r="K2621" s="11" t="str">
        <f aca="false">IF(I2621&lt;J2621,"TAK","NIE")</f>
        <v>NIE</v>
      </c>
    </row>
    <row r="2622" customFormat="false" ht="15" hidden="false" customHeight="false" outlineLevel="0" collapsed="false">
      <c r="A2622" s="5" t="s">
        <v>568</v>
      </c>
      <c r="B2622" s="5" t="s">
        <v>48</v>
      </c>
      <c r="C2622" s="5" t="n">
        <v>2022</v>
      </c>
      <c r="D2622" s="5" t="s">
        <v>49</v>
      </c>
      <c r="E2622" s="5" t="s">
        <v>57</v>
      </c>
      <c r="F2622" s="5" t="s">
        <v>40</v>
      </c>
      <c r="G2622" s="6" t="n">
        <v>613</v>
      </c>
      <c r="H2622" s="6" t="n">
        <v>169</v>
      </c>
      <c r="I2622" s="7" t="n">
        <f aca="false">(G2622-H2622)/G2622</f>
        <v>0.724306688417618</v>
      </c>
      <c r="J2622" s="15" t="n">
        <v>0.1265</v>
      </c>
      <c r="K2622" s="11" t="str">
        <f aca="false">IF(I2622&lt;J2622,"TAK","NIE")</f>
        <v>NIE</v>
      </c>
    </row>
    <row r="2623" customFormat="false" ht="15" hidden="false" customHeight="false" outlineLevel="0" collapsed="false">
      <c r="A2623" s="5" t="s">
        <v>545</v>
      </c>
      <c r="B2623" s="5" t="s">
        <v>48</v>
      </c>
      <c r="C2623" s="5" t="n">
        <v>2022</v>
      </c>
      <c r="D2623" s="5" t="s">
        <v>49</v>
      </c>
      <c r="E2623" s="5" t="s">
        <v>57</v>
      </c>
      <c r="F2623" s="5" t="s">
        <v>40</v>
      </c>
      <c r="G2623" s="6" t="n">
        <v>593</v>
      </c>
      <c r="H2623" s="6" t="n">
        <v>59</v>
      </c>
      <c r="I2623" s="7" t="n">
        <f aca="false">(G2623-H2623)/G2623</f>
        <v>0.900505902192243</v>
      </c>
      <c r="J2623" s="15" t="n">
        <v>0.1265</v>
      </c>
      <c r="K2623" s="11" t="str">
        <f aca="false">IF(I2623&lt;J2623,"TAK","NIE")</f>
        <v>NIE</v>
      </c>
    </row>
    <row r="2624" customFormat="false" ht="15" hidden="false" customHeight="false" outlineLevel="0" collapsed="false">
      <c r="A2624" s="5" t="s">
        <v>546</v>
      </c>
      <c r="B2624" s="5" t="s">
        <v>48</v>
      </c>
      <c r="C2624" s="5" t="n">
        <v>2022</v>
      </c>
      <c r="D2624" s="5" t="s">
        <v>49</v>
      </c>
      <c r="E2624" s="5" t="s">
        <v>57</v>
      </c>
      <c r="F2624" s="5" t="s">
        <v>40</v>
      </c>
      <c r="G2624" s="6" t="n">
        <v>613</v>
      </c>
      <c r="H2624" s="6" t="n">
        <v>393</v>
      </c>
      <c r="I2624" s="7" t="n">
        <f aca="false">(G2624-H2624)/G2624</f>
        <v>0.358890701468189</v>
      </c>
      <c r="J2624" s="15" t="n">
        <v>0.1265</v>
      </c>
      <c r="K2624" s="11" t="str">
        <f aca="false">IF(I2624&lt;J2624,"TAK","NIE")</f>
        <v>NIE</v>
      </c>
    </row>
    <row r="2625" customFormat="false" ht="15" hidden="false" customHeight="false" outlineLevel="0" collapsed="false">
      <c r="A2625" s="5" t="s">
        <v>547</v>
      </c>
      <c r="B2625" s="5" t="s">
        <v>48</v>
      </c>
      <c r="C2625" s="5" t="n">
        <v>2022</v>
      </c>
      <c r="D2625" s="5" t="s">
        <v>49</v>
      </c>
      <c r="E2625" s="5" t="s">
        <v>57</v>
      </c>
      <c r="F2625" s="5" t="s">
        <v>40</v>
      </c>
      <c r="G2625" s="6" t="n">
        <v>593</v>
      </c>
      <c r="H2625" s="6" t="n">
        <v>218</v>
      </c>
      <c r="I2625" s="7" t="n">
        <f aca="false">(G2625-H2625)/G2625</f>
        <v>0.632377740303541</v>
      </c>
      <c r="J2625" s="15" t="n">
        <v>0.1265</v>
      </c>
      <c r="K2625" s="11" t="str">
        <f aca="false">IF(I2625&lt;J2625,"TAK","NIE")</f>
        <v>NIE</v>
      </c>
    </row>
    <row r="2626" customFormat="false" ht="15" hidden="false" customHeight="false" outlineLevel="0" collapsed="false">
      <c r="A2626" s="5" t="s">
        <v>548</v>
      </c>
      <c r="B2626" s="5" t="s">
        <v>48</v>
      </c>
      <c r="C2626" s="5" t="n">
        <v>2022</v>
      </c>
      <c r="D2626" s="5" t="s">
        <v>49</v>
      </c>
      <c r="E2626" s="5" t="s">
        <v>57</v>
      </c>
      <c r="F2626" s="5" t="s">
        <v>40</v>
      </c>
      <c r="G2626" s="6" t="n">
        <v>613</v>
      </c>
      <c r="H2626" s="6" t="n">
        <v>320</v>
      </c>
      <c r="I2626" s="7" t="n">
        <f aca="false">(G2626-H2626)/G2626</f>
        <v>0.477977161500816</v>
      </c>
      <c r="J2626" s="15" t="n">
        <v>0.1265</v>
      </c>
      <c r="K2626" s="11" t="str">
        <f aca="false">IF(I2626&lt;J2626,"TAK","NIE")</f>
        <v>NIE</v>
      </c>
    </row>
    <row r="2627" customFormat="false" ht="15" hidden="false" customHeight="false" outlineLevel="0" collapsed="false">
      <c r="A2627" s="5" t="s">
        <v>550</v>
      </c>
      <c r="B2627" s="5" t="s">
        <v>48</v>
      </c>
      <c r="C2627" s="5" t="n">
        <v>2022</v>
      </c>
      <c r="D2627" s="5" t="s">
        <v>49</v>
      </c>
      <c r="E2627" s="5" t="s">
        <v>57</v>
      </c>
      <c r="F2627" s="5" t="s">
        <v>40</v>
      </c>
      <c r="G2627" s="6" t="n">
        <v>613</v>
      </c>
      <c r="H2627" s="6" t="n">
        <v>309</v>
      </c>
      <c r="I2627" s="7" t="n">
        <f aca="false">(G2627-H2627)/G2627</f>
        <v>0.495921696574225</v>
      </c>
      <c r="J2627" s="15" t="n">
        <v>0.1265</v>
      </c>
      <c r="K2627" s="11" t="str">
        <f aca="false">IF(I2627&lt;J2627,"TAK","NIE")</f>
        <v>NIE</v>
      </c>
    </row>
    <row r="2628" customFormat="false" ht="15" hidden="false" customHeight="false" outlineLevel="0" collapsed="false">
      <c r="A2628" s="5" t="s">
        <v>551</v>
      </c>
      <c r="B2628" s="5" t="s">
        <v>48</v>
      </c>
      <c r="C2628" s="5" t="n">
        <v>2022</v>
      </c>
      <c r="D2628" s="5" t="s">
        <v>49</v>
      </c>
      <c r="E2628" s="5" t="s">
        <v>57</v>
      </c>
      <c r="F2628" s="5" t="s">
        <v>40</v>
      </c>
      <c r="G2628" s="6" t="n">
        <v>610</v>
      </c>
      <c r="H2628" s="6" t="n">
        <v>180</v>
      </c>
      <c r="I2628" s="7" t="n">
        <f aca="false">(G2628-H2628)/G2628</f>
        <v>0.704918032786885</v>
      </c>
      <c r="J2628" s="15" t="n">
        <v>0.1265</v>
      </c>
      <c r="K2628" s="11" t="str">
        <f aca="false">IF(I2628&lt;J2628,"TAK","NIE")</f>
        <v>NIE</v>
      </c>
    </row>
    <row r="2629" customFormat="false" ht="15" hidden="false" customHeight="false" outlineLevel="0" collapsed="false">
      <c r="A2629" s="5" t="s">
        <v>552</v>
      </c>
      <c r="B2629" s="5" t="s">
        <v>48</v>
      </c>
      <c r="C2629" s="5" t="n">
        <v>2022</v>
      </c>
      <c r="D2629" s="5" t="s">
        <v>49</v>
      </c>
      <c r="E2629" s="5" t="s">
        <v>57</v>
      </c>
      <c r="F2629" s="5" t="s">
        <v>40</v>
      </c>
      <c r="G2629" s="6" t="n">
        <v>593</v>
      </c>
      <c r="H2629" s="6" t="n">
        <v>206</v>
      </c>
      <c r="I2629" s="7" t="n">
        <f aca="false">(G2629-H2629)/G2629</f>
        <v>0.652613827993255</v>
      </c>
      <c r="J2629" s="15" t="n">
        <v>0.1265</v>
      </c>
      <c r="K2629" s="11" t="str">
        <f aca="false">IF(I2629&lt;J2629,"TAK","NIE")</f>
        <v>NIE</v>
      </c>
    </row>
    <row r="2630" customFormat="false" ht="15" hidden="false" customHeight="false" outlineLevel="0" collapsed="false">
      <c r="A2630" s="5" t="s">
        <v>553</v>
      </c>
      <c r="B2630" s="5" t="s">
        <v>48</v>
      </c>
      <c r="C2630" s="5" t="n">
        <v>2022</v>
      </c>
      <c r="D2630" s="5" t="s">
        <v>49</v>
      </c>
      <c r="E2630" s="5" t="s">
        <v>57</v>
      </c>
      <c r="F2630" s="5" t="s">
        <v>40</v>
      </c>
      <c r="G2630" s="6" t="n">
        <v>593</v>
      </c>
      <c r="H2630" s="6" t="n">
        <v>127</v>
      </c>
      <c r="I2630" s="7" t="n">
        <f aca="false">(G2630-H2630)/G2630</f>
        <v>0.785834738617201</v>
      </c>
      <c r="J2630" s="15" t="n">
        <v>0.1265</v>
      </c>
      <c r="K2630" s="11" t="str">
        <f aca="false">IF(I2630&lt;J2630,"TAK","NIE")</f>
        <v>NIE</v>
      </c>
    </row>
    <row r="2631" customFormat="false" ht="15" hidden="false" customHeight="false" outlineLevel="0" collapsed="false">
      <c r="A2631" s="5" t="s">
        <v>554</v>
      </c>
      <c r="B2631" s="5" t="s">
        <v>48</v>
      </c>
      <c r="C2631" s="5" t="n">
        <v>2022</v>
      </c>
      <c r="D2631" s="5" t="s">
        <v>49</v>
      </c>
      <c r="E2631" s="5" t="s">
        <v>57</v>
      </c>
      <c r="F2631" s="5" t="s">
        <v>40</v>
      </c>
      <c r="G2631" s="6" t="n">
        <v>610</v>
      </c>
      <c r="H2631" s="6" t="n">
        <v>297</v>
      </c>
      <c r="I2631" s="7" t="n">
        <f aca="false">(G2631-H2631)/G2631</f>
        <v>0.513114754098361</v>
      </c>
      <c r="J2631" s="15" t="n">
        <v>0.1265</v>
      </c>
      <c r="K2631" s="11" t="str">
        <f aca="false">IF(I2631&lt;J2631,"TAK","NIE")</f>
        <v>NIE</v>
      </c>
    </row>
    <row r="2632" customFormat="false" ht="15" hidden="false" customHeight="false" outlineLevel="0" collapsed="false">
      <c r="A2632" s="5" t="s">
        <v>570</v>
      </c>
      <c r="B2632" s="5" t="s">
        <v>48</v>
      </c>
      <c r="C2632" s="5" t="n">
        <v>2022</v>
      </c>
      <c r="D2632" s="5" t="s">
        <v>49</v>
      </c>
      <c r="E2632" s="5" t="s">
        <v>57</v>
      </c>
      <c r="F2632" s="5" t="s">
        <v>40</v>
      </c>
      <c r="G2632" s="6" t="n">
        <v>61</v>
      </c>
      <c r="H2632" s="6" t="n">
        <v>54</v>
      </c>
      <c r="I2632" s="7" t="n">
        <f aca="false">(G2632-H2632)/G2632</f>
        <v>0.114754098360656</v>
      </c>
      <c r="J2632" s="15" t="n">
        <v>0.1265</v>
      </c>
      <c r="K2632" s="11" t="str">
        <f aca="false">IF(I2632&lt;J2632,"TAK","NIE")</f>
        <v>TAK</v>
      </c>
    </row>
    <row r="2633" customFormat="false" ht="15" hidden="false" customHeight="false" outlineLevel="0" collapsed="false">
      <c r="A2633" s="5" t="s">
        <v>571</v>
      </c>
      <c r="B2633" s="5" t="s">
        <v>48</v>
      </c>
      <c r="C2633" s="5" t="n">
        <v>2022</v>
      </c>
      <c r="D2633" s="5" t="s">
        <v>49</v>
      </c>
      <c r="E2633" s="5" t="s">
        <v>57</v>
      </c>
      <c r="F2633" s="5" t="s">
        <v>40</v>
      </c>
      <c r="G2633" s="6" t="n">
        <v>255</v>
      </c>
      <c r="H2633" s="6" t="n">
        <v>119</v>
      </c>
      <c r="I2633" s="7" t="n">
        <f aca="false">(G2633-H2633)/G2633</f>
        <v>0.533333333333333</v>
      </c>
      <c r="J2633" s="15" t="n">
        <v>0.1265</v>
      </c>
      <c r="K2633" s="11" t="str">
        <f aca="false">IF(I2633&lt;J2633,"TAK","NIE")</f>
        <v>NIE</v>
      </c>
    </row>
    <row r="2634" customFormat="false" ht="15" hidden="false" customHeight="false" outlineLevel="0" collapsed="false">
      <c r="A2634" s="5" t="s">
        <v>555</v>
      </c>
      <c r="B2634" s="5" t="s">
        <v>48</v>
      </c>
      <c r="C2634" s="5" t="n">
        <v>2022</v>
      </c>
      <c r="D2634" s="5" t="s">
        <v>49</v>
      </c>
      <c r="E2634" s="5" t="s">
        <v>57</v>
      </c>
      <c r="F2634" s="5" t="s">
        <v>40</v>
      </c>
      <c r="G2634" s="6" t="n">
        <v>475</v>
      </c>
      <c r="H2634" s="6" t="n">
        <v>213</v>
      </c>
      <c r="I2634" s="7" t="n">
        <f aca="false">(G2634-H2634)/G2634</f>
        <v>0.551578947368421</v>
      </c>
      <c r="J2634" s="15" t="n">
        <v>0.1265</v>
      </c>
      <c r="K2634" s="11" t="str">
        <f aca="false">IF(I2634&lt;J2634,"TAK","NIE")</f>
        <v>NIE</v>
      </c>
    </row>
    <row r="2635" customFormat="false" ht="15" hidden="false" customHeight="false" outlineLevel="0" collapsed="false">
      <c r="A2635" s="5" t="s">
        <v>556</v>
      </c>
      <c r="B2635" s="5" t="s">
        <v>48</v>
      </c>
      <c r="C2635" s="5" t="n">
        <v>2022</v>
      </c>
      <c r="D2635" s="5" t="s">
        <v>49</v>
      </c>
      <c r="E2635" s="5" t="s">
        <v>57</v>
      </c>
      <c r="F2635" s="5" t="s">
        <v>40</v>
      </c>
      <c r="G2635" s="6" t="n">
        <v>613</v>
      </c>
      <c r="H2635" s="6" t="n">
        <v>214</v>
      </c>
      <c r="I2635" s="7" t="n">
        <f aca="false">(G2635-H2635)/G2635</f>
        <v>0.650897226753671</v>
      </c>
      <c r="J2635" s="15" t="n">
        <v>0.1265</v>
      </c>
      <c r="K2635" s="11" t="str">
        <f aca="false">IF(I2635&lt;J2635,"TAK","NIE")</f>
        <v>NIE</v>
      </c>
    </row>
    <row r="2636" customFormat="false" ht="15" hidden="false" customHeight="false" outlineLevel="0" collapsed="false">
      <c r="A2636" s="5" t="s">
        <v>557</v>
      </c>
      <c r="B2636" s="5" t="s">
        <v>48</v>
      </c>
      <c r="C2636" s="5" t="n">
        <v>2022</v>
      </c>
      <c r="D2636" s="5" t="s">
        <v>49</v>
      </c>
      <c r="E2636" s="5" t="s">
        <v>57</v>
      </c>
      <c r="F2636" s="5" t="s">
        <v>40</v>
      </c>
      <c r="G2636" s="6" t="n">
        <v>593</v>
      </c>
      <c r="H2636" s="6" t="n">
        <v>187</v>
      </c>
      <c r="I2636" s="7" t="n">
        <f aca="false">(G2636-H2636)/G2636</f>
        <v>0.684654300168634</v>
      </c>
      <c r="J2636" s="15" t="n">
        <v>0.1265</v>
      </c>
      <c r="K2636" s="11" t="str">
        <f aca="false">IF(I2636&lt;J2636,"TAK","NIE")</f>
        <v>NIE</v>
      </c>
    </row>
    <row r="2637" customFormat="false" ht="15" hidden="false" customHeight="false" outlineLevel="0" collapsed="false">
      <c r="A2637" s="5" t="s">
        <v>558</v>
      </c>
      <c r="B2637" s="5" t="s">
        <v>48</v>
      </c>
      <c r="C2637" s="5" t="n">
        <v>2022</v>
      </c>
      <c r="D2637" s="5" t="s">
        <v>49</v>
      </c>
      <c r="E2637" s="5" t="s">
        <v>57</v>
      </c>
      <c r="F2637" s="5" t="s">
        <v>40</v>
      </c>
      <c r="G2637" s="6" t="n">
        <v>613</v>
      </c>
      <c r="H2637" s="6" t="n">
        <v>141</v>
      </c>
      <c r="I2637" s="7" t="n">
        <f aca="false">(G2637-H2637)/G2637</f>
        <v>0.769983686786297</v>
      </c>
      <c r="J2637" s="15" t="n">
        <v>0.1265</v>
      </c>
      <c r="K2637" s="11" t="str">
        <f aca="false">IF(I2637&lt;J2637,"TAK","NIE")</f>
        <v>NIE</v>
      </c>
    </row>
    <row r="2638" customFormat="false" ht="15" hidden="false" customHeight="false" outlineLevel="0" collapsed="false">
      <c r="A2638" s="5" t="s">
        <v>559</v>
      </c>
      <c r="B2638" s="5" t="s">
        <v>48</v>
      </c>
      <c r="C2638" s="5" t="n">
        <v>2022</v>
      </c>
      <c r="D2638" s="5" t="s">
        <v>49</v>
      </c>
      <c r="E2638" s="5" t="s">
        <v>57</v>
      </c>
      <c r="F2638" s="5" t="s">
        <v>40</v>
      </c>
      <c r="G2638" s="6" t="n">
        <v>613</v>
      </c>
      <c r="H2638" s="6" t="n">
        <v>212</v>
      </c>
      <c r="I2638" s="7" t="n">
        <f aca="false">(G2638-H2638)/G2638</f>
        <v>0.65415986949429</v>
      </c>
      <c r="J2638" s="15" t="n">
        <v>0.1265</v>
      </c>
      <c r="K2638" s="11" t="str">
        <f aca="false">IF(I2638&lt;J2638,"TAK","NIE")</f>
        <v>NIE</v>
      </c>
    </row>
    <row r="2639" customFormat="false" ht="15" hidden="false" customHeight="false" outlineLevel="0" collapsed="false">
      <c r="A2639" s="5" t="s">
        <v>560</v>
      </c>
      <c r="B2639" s="5" t="s">
        <v>48</v>
      </c>
      <c r="C2639" s="5" t="n">
        <v>2022</v>
      </c>
      <c r="D2639" s="5" t="s">
        <v>49</v>
      </c>
      <c r="E2639" s="5" t="s">
        <v>57</v>
      </c>
      <c r="F2639" s="5" t="s">
        <v>40</v>
      </c>
      <c r="G2639" s="6" t="n">
        <v>593</v>
      </c>
      <c r="H2639" s="6" t="n">
        <v>151</v>
      </c>
      <c r="I2639" s="7" t="n">
        <f aca="false">(G2639-H2639)/G2639</f>
        <v>0.745362563237774</v>
      </c>
      <c r="J2639" s="15" t="n">
        <v>0.1265</v>
      </c>
      <c r="K2639" s="11" t="str">
        <f aca="false">IF(I2639&lt;J2639,"TAK","NIE")</f>
        <v>NIE</v>
      </c>
    </row>
    <row r="2640" customFormat="false" ht="15" hidden="false" customHeight="false" outlineLevel="0" collapsed="false">
      <c r="A2640" s="5" t="s">
        <v>561</v>
      </c>
      <c r="B2640" s="5" t="s">
        <v>48</v>
      </c>
      <c r="C2640" s="5" t="n">
        <v>2022</v>
      </c>
      <c r="D2640" s="5" t="s">
        <v>49</v>
      </c>
      <c r="E2640" s="5" t="s">
        <v>57</v>
      </c>
      <c r="F2640" s="5" t="s">
        <v>40</v>
      </c>
      <c r="G2640" s="6" t="n">
        <v>610</v>
      </c>
      <c r="H2640" s="6" t="n">
        <v>260</v>
      </c>
      <c r="I2640" s="7" t="n">
        <f aca="false">(G2640-H2640)/G2640</f>
        <v>0.573770491803279</v>
      </c>
      <c r="J2640" s="15" t="n">
        <v>0.1265</v>
      </c>
      <c r="K2640" s="11" t="str">
        <f aca="false">IF(I2640&lt;J2640,"TAK","NIE")</f>
        <v>NIE</v>
      </c>
    </row>
    <row r="2641" customFormat="false" ht="15" hidden="false" customHeight="false" outlineLevel="0" collapsed="false">
      <c r="A2641" s="5" t="s">
        <v>562</v>
      </c>
      <c r="B2641" s="5" t="s">
        <v>48</v>
      </c>
      <c r="C2641" s="5" t="n">
        <v>2022</v>
      </c>
      <c r="D2641" s="5" t="s">
        <v>49</v>
      </c>
      <c r="E2641" s="5" t="s">
        <v>57</v>
      </c>
      <c r="F2641" s="5" t="s">
        <v>40</v>
      </c>
      <c r="G2641" s="6" t="n">
        <v>610</v>
      </c>
      <c r="H2641" s="6" t="n">
        <v>153</v>
      </c>
      <c r="I2641" s="7" t="n">
        <f aca="false">(G2641-H2641)/G2641</f>
        <v>0.749180327868853</v>
      </c>
      <c r="J2641" s="15" t="n">
        <v>0.1265</v>
      </c>
      <c r="K2641" s="11" t="str">
        <f aca="false">IF(I2641&lt;J2641,"TAK","NIE")</f>
        <v>NIE</v>
      </c>
    </row>
    <row r="2642" customFormat="false" ht="15" hidden="false" customHeight="false" outlineLevel="0" collapsed="false">
      <c r="A2642" s="5" t="s">
        <v>563</v>
      </c>
      <c r="B2642" s="5" t="s">
        <v>48</v>
      </c>
      <c r="C2642" s="5" t="n">
        <v>2022</v>
      </c>
      <c r="D2642" s="5" t="s">
        <v>49</v>
      </c>
      <c r="E2642" s="5" t="s">
        <v>57</v>
      </c>
      <c r="F2642" s="5" t="s">
        <v>40</v>
      </c>
      <c r="G2642" s="6" t="n">
        <v>610</v>
      </c>
      <c r="H2642" s="6" t="n">
        <v>376</v>
      </c>
      <c r="I2642" s="7" t="n">
        <f aca="false">(G2642-H2642)/G2642</f>
        <v>0.383606557377049</v>
      </c>
      <c r="J2642" s="15" t="n">
        <v>0.1265</v>
      </c>
      <c r="K2642" s="11" t="str">
        <f aca="false">IF(I2642&lt;J2642,"TAK","NIE")</f>
        <v>NIE</v>
      </c>
    </row>
    <row r="2643" customFormat="false" ht="15" hidden="false" customHeight="false" outlineLevel="0" collapsed="false">
      <c r="A2643" s="5" t="s">
        <v>565</v>
      </c>
      <c r="B2643" s="5" t="s">
        <v>48</v>
      </c>
      <c r="C2643" s="5" t="n">
        <v>2022</v>
      </c>
      <c r="D2643" s="5" t="s">
        <v>49</v>
      </c>
      <c r="E2643" s="5" t="s">
        <v>57</v>
      </c>
      <c r="F2643" s="5" t="s">
        <v>40</v>
      </c>
      <c r="G2643" s="6" t="n">
        <v>609</v>
      </c>
      <c r="H2643" s="6" t="n">
        <v>204</v>
      </c>
      <c r="I2643" s="7" t="n">
        <f aca="false">(G2643-H2643)/G2643</f>
        <v>0.665024630541872</v>
      </c>
      <c r="J2643" s="15" t="n">
        <v>0.1265</v>
      </c>
      <c r="K2643" s="11" t="str">
        <f aca="false">IF(I2643&lt;J2643,"TAK","NIE")</f>
        <v>NIE</v>
      </c>
    </row>
    <row r="2644" customFormat="false" ht="15" hidden="false" customHeight="false" outlineLevel="0" collapsed="false">
      <c r="A2644" s="5" t="s">
        <v>566</v>
      </c>
      <c r="B2644" s="5" t="s">
        <v>48</v>
      </c>
      <c r="C2644" s="5" t="n">
        <v>2022</v>
      </c>
      <c r="D2644" s="5" t="s">
        <v>49</v>
      </c>
      <c r="E2644" s="5" t="s">
        <v>57</v>
      </c>
      <c r="F2644" s="5" t="s">
        <v>40</v>
      </c>
      <c r="G2644" s="6" t="n">
        <v>475</v>
      </c>
      <c r="H2644" s="6" t="n">
        <v>291</v>
      </c>
      <c r="I2644" s="7" t="n">
        <f aca="false">(G2644-H2644)/G2644</f>
        <v>0.387368421052632</v>
      </c>
      <c r="J2644" s="15" t="n">
        <v>0.1265</v>
      </c>
      <c r="K2644" s="11" t="str">
        <f aca="false">IF(I2644&lt;J2644,"TAK","NIE")</f>
        <v>NIE</v>
      </c>
    </row>
    <row r="2645" customFormat="false" ht="15" hidden="false" customHeight="false" outlineLevel="0" collapsed="false">
      <c r="A2645" s="5" t="s">
        <v>567</v>
      </c>
      <c r="B2645" s="5" t="s">
        <v>48</v>
      </c>
      <c r="C2645" s="5" t="n">
        <v>2022</v>
      </c>
      <c r="D2645" s="5" t="s">
        <v>49</v>
      </c>
      <c r="E2645" s="5" t="s">
        <v>57</v>
      </c>
      <c r="F2645" s="5" t="s">
        <v>40</v>
      </c>
      <c r="G2645" s="6" t="n">
        <v>610</v>
      </c>
      <c r="H2645" s="6" t="n">
        <v>201</v>
      </c>
      <c r="I2645" s="7" t="n">
        <f aca="false">(G2645-H2645)/G2645</f>
        <v>0.670491803278689</v>
      </c>
      <c r="J2645" s="15" t="n">
        <v>0.1265</v>
      </c>
      <c r="K2645" s="11" t="str">
        <f aca="false">IF(I2645&lt;J2645,"TAK","NIE")</f>
        <v>NIE</v>
      </c>
    </row>
    <row r="2646" customFormat="false" ht="15" hidden="false" customHeight="false" outlineLevel="0" collapsed="false">
      <c r="A2646" s="5" t="s">
        <v>535</v>
      </c>
      <c r="B2646" s="5" t="s">
        <v>50</v>
      </c>
      <c r="C2646" s="5" t="n">
        <v>2022</v>
      </c>
      <c r="D2646" s="5" t="s">
        <v>49</v>
      </c>
      <c r="E2646" s="5" t="s">
        <v>75</v>
      </c>
      <c r="F2646" s="5" t="s">
        <v>39</v>
      </c>
      <c r="G2646" s="6" t="n">
        <v>511</v>
      </c>
      <c r="H2646" s="6" t="n">
        <v>71</v>
      </c>
      <c r="I2646" s="7" t="n">
        <f aca="false">(G2646-H2646)/G2646</f>
        <v>0.86105675146771</v>
      </c>
      <c r="J2646" s="15" t="n">
        <v>0.304</v>
      </c>
      <c r="K2646" s="11" t="str">
        <f aca="false">IF(I2646&lt;J2646,"TAK","NIE")</f>
        <v>NIE</v>
      </c>
    </row>
    <row r="2647" customFormat="false" ht="15" hidden="false" customHeight="false" outlineLevel="0" collapsed="false">
      <c r="A2647" s="5" t="s">
        <v>536</v>
      </c>
      <c r="B2647" s="5" t="s">
        <v>50</v>
      </c>
      <c r="C2647" s="5" t="n">
        <v>2022</v>
      </c>
      <c r="D2647" s="5" t="s">
        <v>49</v>
      </c>
      <c r="E2647" s="5" t="s">
        <v>75</v>
      </c>
      <c r="F2647" s="5" t="s">
        <v>39</v>
      </c>
      <c r="G2647" s="6" t="n">
        <v>510</v>
      </c>
      <c r="H2647" s="6" t="n">
        <v>137</v>
      </c>
      <c r="I2647" s="7" t="n">
        <f aca="false">(G2647-H2647)/G2647</f>
        <v>0.731372549019608</v>
      </c>
      <c r="J2647" s="15" t="n">
        <v>0.304</v>
      </c>
      <c r="K2647" s="11" t="str">
        <f aca="false">IF(I2647&lt;J2647,"TAK","NIE")</f>
        <v>NIE</v>
      </c>
    </row>
    <row r="2648" customFormat="false" ht="15" hidden="false" customHeight="false" outlineLevel="0" collapsed="false">
      <c r="A2648" s="5" t="s">
        <v>539</v>
      </c>
      <c r="B2648" s="5" t="s">
        <v>50</v>
      </c>
      <c r="C2648" s="5" t="n">
        <v>2022</v>
      </c>
      <c r="D2648" s="5" t="s">
        <v>49</v>
      </c>
      <c r="E2648" s="5" t="s">
        <v>75</v>
      </c>
      <c r="F2648" s="5" t="s">
        <v>39</v>
      </c>
      <c r="G2648" s="6" t="n">
        <v>494</v>
      </c>
      <c r="H2648" s="6" t="n">
        <v>23</v>
      </c>
      <c r="I2648" s="7" t="n">
        <f aca="false">(G2648-H2648)/G2648</f>
        <v>0.953441295546559</v>
      </c>
      <c r="J2648" s="15" t="n">
        <v>0.304</v>
      </c>
      <c r="K2648" s="11" t="str">
        <f aca="false">IF(I2648&lt;J2648,"TAK","NIE")</f>
        <v>NIE</v>
      </c>
    </row>
    <row r="2649" customFormat="false" ht="15" hidden="false" customHeight="false" outlineLevel="0" collapsed="false">
      <c r="A2649" s="5" t="s">
        <v>540</v>
      </c>
      <c r="B2649" s="5" t="s">
        <v>50</v>
      </c>
      <c r="C2649" s="5" t="n">
        <v>2022</v>
      </c>
      <c r="D2649" s="5" t="s">
        <v>49</v>
      </c>
      <c r="E2649" s="5" t="s">
        <v>75</v>
      </c>
      <c r="F2649" s="5" t="s">
        <v>39</v>
      </c>
      <c r="G2649" s="6" t="n">
        <v>511</v>
      </c>
      <c r="H2649" s="6" t="n">
        <v>305</v>
      </c>
      <c r="I2649" s="7" t="n">
        <f aca="false">(G2649-H2649)/G2649</f>
        <v>0.403131115459883</v>
      </c>
      <c r="J2649" s="15" t="n">
        <v>0.304</v>
      </c>
      <c r="K2649" s="11" t="str">
        <f aca="false">IF(I2649&lt;J2649,"TAK","NIE")</f>
        <v>NIE</v>
      </c>
    </row>
    <row r="2650" customFormat="false" ht="15" hidden="false" customHeight="false" outlineLevel="0" collapsed="false">
      <c r="A2650" s="5" t="s">
        <v>541</v>
      </c>
      <c r="B2650" s="5" t="s">
        <v>50</v>
      </c>
      <c r="C2650" s="5" t="n">
        <v>2022</v>
      </c>
      <c r="D2650" s="5" t="s">
        <v>49</v>
      </c>
      <c r="E2650" s="5" t="s">
        <v>75</v>
      </c>
      <c r="F2650" s="5" t="s">
        <v>39</v>
      </c>
      <c r="G2650" s="6" t="n">
        <v>511</v>
      </c>
      <c r="H2650" s="6" t="n">
        <v>163</v>
      </c>
      <c r="I2650" s="7" t="n">
        <f aca="false">(G2650-H2650)/G2650</f>
        <v>0.681017612524462</v>
      </c>
      <c r="J2650" s="15" t="n">
        <v>0.304</v>
      </c>
      <c r="K2650" s="11" t="str">
        <f aca="false">IF(I2650&lt;J2650,"TAK","NIE")</f>
        <v>NIE</v>
      </c>
    </row>
    <row r="2651" customFormat="false" ht="15" hidden="false" customHeight="false" outlineLevel="0" collapsed="false">
      <c r="A2651" s="5" t="s">
        <v>569</v>
      </c>
      <c r="B2651" s="5" t="s">
        <v>50</v>
      </c>
      <c r="C2651" s="5" t="n">
        <v>2022</v>
      </c>
      <c r="D2651" s="5" t="s">
        <v>49</v>
      </c>
      <c r="E2651" s="5" t="s">
        <v>75</v>
      </c>
      <c r="F2651" s="5" t="s">
        <v>39</v>
      </c>
      <c r="G2651" s="6" t="n">
        <v>510</v>
      </c>
      <c r="H2651" s="6" t="n">
        <v>72</v>
      </c>
      <c r="I2651" s="7" t="n">
        <f aca="false">(G2651-H2651)/G2651</f>
        <v>0.858823529411765</v>
      </c>
      <c r="J2651" s="15" t="n">
        <v>0.304</v>
      </c>
      <c r="K2651" s="11" t="str">
        <f aca="false">IF(I2651&lt;J2651,"TAK","NIE")</f>
        <v>NIE</v>
      </c>
    </row>
    <row r="2652" customFormat="false" ht="15" hidden="false" customHeight="false" outlineLevel="0" collapsed="false">
      <c r="A2652" s="5" t="s">
        <v>544</v>
      </c>
      <c r="B2652" s="5" t="s">
        <v>50</v>
      </c>
      <c r="C2652" s="5" t="n">
        <v>2022</v>
      </c>
      <c r="D2652" s="5" t="s">
        <v>49</v>
      </c>
      <c r="E2652" s="5" t="s">
        <v>75</v>
      </c>
      <c r="F2652" s="5" t="s">
        <v>39</v>
      </c>
      <c r="G2652" s="6" t="n">
        <v>494</v>
      </c>
      <c r="H2652" s="6" t="n">
        <v>12</v>
      </c>
      <c r="I2652" s="7" t="n">
        <f aca="false">(G2652-H2652)/G2652</f>
        <v>0.975708502024292</v>
      </c>
      <c r="J2652" s="15" t="n">
        <v>0.304</v>
      </c>
      <c r="K2652" s="11" t="str">
        <f aca="false">IF(I2652&lt;J2652,"TAK","NIE")</f>
        <v>NIE</v>
      </c>
    </row>
    <row r="2653" customFormat="false" ht="15" hidden="false" customHeight="false" outlineLevel="0" collapsed="false">
      <c r="A2653" s="5" t="s">
        <v>568</v>
      </c>
      <c r="B2653" s="5" t="s">
        <v>50</v>
      </c>
      <c r="C2653" s="5" t="n">
        <v>2022</v>
      </c>
      <c r="D2653" s="5" t="s">
        <v>49</v>
      </c>
      <c r="E2653" s="5" t="s">
        <v>75</v>
      </c>
      <c r="F2653" s="5" t="s">
        <v>39</v>
      </c>
      <c r="G2653" s="6" t="n">
        <v>510</v>
      </c>
      <c r="H2653" s="6" t="n">
        <v>140</v>
      </c>
      <c r="I2653" s="7" t="n">
        <f aca="false">(G2653-H2653)/G2653</f>
        <v>0.725490196078431</v>
      </c>
      <c r="J2653" s="15" t="n">
        <v>0.304</v>
      </c>
      <c r="K2653" s="11" t="str">
        <f aca="false">IF(I2653&lt;J2653,"TAK","NIE")</f>
        <v>NIE</v>
      </c>
    </row>
    <row r="2654" customFormat="false" ht="15" hidden="false" customHeight="false" outlineLevel="0" collapsed="false">
      <c r="A2654" s="5" t="s">
        <v>545</v>
      </c>
      <c r="B2654" s="5" t="s">
        <v>50</v>
      </c>
      <c r="C2654" s="5" t="n">
        <v>2022</v>
      </c>
      <c r="D2654" s="5" t="s">
        <v>49</v>
      </c>
      <c r="E2654" s="5" t="s">
        <v>75</v>
      </c>
      <c r="F2654" s="5" t="s">
        <v>39</v>
      </c>
      <c r="G2654" s="6" t="n">
        <v>494</v>
      </c>
      <c r="H2654" s="6" t="n">
        <v>97</v>
      </c>
      <c r="I2654" s="7" t="n">
        <f aca="false">(G2654-H2654)/G2654</f>
        <v>0.803643724696356</v>
      </c>
      <c r="J2654" s="15" t="n">
        <v>0.304</v>
      </c>
      <c r="K2654" s="11" t="str">
        <f aca="false">IF(I2654&lt;J2654,"TAK","NIE")</f>
        <v>NIE</v>
      </c>
    </row>
    <row r="2655" customFormat="false" ht="15" hidden="false" customHeight="false" outlineLevel="0" collapsed="false">
      <c r="A2655" s="5" t="s">
        <v>546</v>
      </c>
      <c r="B2655" s="5" t="s">
        <v>50</v>
      </c>
      <c r="C2655" s="5" t="n">
        <v>2022</v>
      </c>
      <c r="D2655" s="5" t="s">
        <v>49</v>
      </c>
      <c r="E2655" s="5" t="s">
        <v>75</v>
      </c>
      <c r="F2655" s="5" t="s">
        <v>39</v>
      </c>
      <c r="G2655" s="6" t="n">
        <v>510</v>
      </c>
      <c r="H2655" s="6" t="n">
        <v>334</v>
      </c>
      <c r="I2655" s="7" t="n">
        <f aca="false">(G2655-H2655)/G2655</f>
        <v>0.345098039215686</v>
      </c>
      <c r="J2655" s="15" t="n">
        <v>0.304</v>
      </c>
      <c r="K2655" s="11" t="str">
        <f aca="false">IF(I2655&lt;J2655,"TAK","NIE")</f>
        <v>NIE</v>
      </c>
    </row>
    <row r="2656" customFormat="false" ht="15" hidden="false" customHeight="false" outlineLevel="0" collapsed="false">
      <c r="A2656" s="5" t="s">
        <v>547</v>
      </c>
      <c r="B2656" s="5" t="s">
        <v>50</v>
      </c>
      <c r="C2656" s="5" t="n">
        <v>2022</v>
      </c>
      <c r="D2656" s="5" t="s">
        <v>49</v>
      </c>
      <c r="E2656" s="5" t="s">
        <v>75</v>
      </c>
      <c r="F2656" s="5" t="s">
        <v>39</v>
      </c>
      <c r="G2656" s="6" t="n">
        <v>494</v>
      </c>
      <c r="H2656" s="6" t="n">
        <v>216</v>
      </c>
      <c r="I2656" s="7" t="n">
        <f aca="false">(G2656-H2656)/G2656</f>
        <v>0.562753036437247</v>
      </c>
      <c r="J2656" s="15" t="n">
        <v>0.304</v>
      </c>
      <c r="K2656" s="11" t="str">
        <f aca="false">IF(I2656&lt;J2656,"TAK","NIE")</f>
        <v>NIE</v>
      </c>
    </row>
    <row r="2657" customFormat="false" ht="15" hidden="false" customHeight="false" outlineLevel="0" collapsed="false">
      <c r="A2657" s="5" t="s">
        <v>548</v>
      </c>
      <c r="B2657" s="5" t="s">
        <v>50</v>
      </c>
      <c r="C2657" s="5" t="n">
        <v>2022</v>
      </c>
      <c r="D2657" s="5" t="s">
        <v>49</v>
      </c>
      <c r="E2657" s="5" t="s">
        <v>75</v>
      </c>
      <c r="F2657" s="5" t="s">
        <v>39</v>
      </c>
      <c r="G2657" s="6" t="n">
        <v>510</v>
      </c>
      <c r="H2657" s="6" t="n">
        <v>314</v>
      </c>
      <c r="I2657" s="7" t="n">
        <f aca="false">(G2657-H2657)/G2657</f>
        <v>0.384313725490196</v>
      </c>
      <c r="J2657" s="15" t="n">
        <v>0.304</v>
      </c>
      <c r="K2657" s="11" t="str">
        <f aca="false">IF(I2657&lt;J2657,"TAK","NIE")</f>
        <v>NIE</v>
      </c>
    </row>
    <row r="2658" customFormat="false" ht="15" hidden="false" customHeight="false" outlineLevel="0" collapsed="false">
      <c r="A2658" s="5" t="s">
        <v>550</v>
      </c>
      <c r="B2658" s="5" t="s">
        <v>50</v>
      </c>
      <c r="C2658" s="5" t="n">
        <v>2022</v>
      </c>
      <c r="D2658" s="5" t="s">
        <v>49</v>
      </c>
      <c r="E2658" s="5" t="s">
        <v>75</v>
      </c>
      <c r="F2658" s="5" t="s">
        <v>39</v>
      </c>
      <c r="G2658" s="6" t="n">
        <v>510</v>
      </c>
      <c r="H2658" s="6" t="n">
        <v>277</v>
      </c>
      <c r="I2658" s="7" t="n">
        <f aca="false">(G2658-H2658)/G2658</f>
        <v>0.456862745098039</v>
      </c>
      <c r="J2658" s="15" t="n">
        <v>0.304</v>
      </c>
      <c r="K2658" s="11" t="str">
        <f aca="false">IF(I2658&lt;J2658,"TAK","NIE")</f>
        <v>NIE</v>
      </c>
    </row>
    <row r="2659" customFormat="false" ht="15" hidden="false" customHeight="false" outlineLevel="0" collapsed="false">
      <c r="A2659" s="5" t="s">
        <v>551</v>
      </c>
      <c r="B2659" s="5" t="s">
        <v>50</v>
      </c>
      <c r="C2659" s="5" t="n">
        <v>2022</v>
      </c>
      <c r="D2659" s="5" t="s">
        <v>49</v>
      </c>
      <c r="E2659" s="5" t="s">
        <v>75</v>
      </c>
      <c r="F2659" s="5" t="s">
        <v>39</v>
      </c>
      <c r="G2659" s="6" t="n">
        <v>511</v>
      </c>
      <c r="H2659" s="6" t="n">
        <v>126</v>
      </c>
      <c r="I2659" s="7" t="n">
        <f aca="false">(G2659-H2659)/G2659</f>
        <v>0.753424657534247</v>
      </c>
      <c r="J2659" s="15" t="n">
        <v>0.304</v>
      </c>
      <c r="K2659" s="11" t="str">
        <f aca="false">IF(I2659&lt;J2659,"TAK","NIE")</f>
        <v>NIE</v>
      </c>
    </row>
    <row r="2660" customFormat="false" ht="15" hidden="false" customHeight="false" outlineLevel="0" collapsed="false">
      <c r="A2660" s="5" t="s">
        <v>552</v>
      </c>
      <c r="B2660" s="5" t="s">
        <v>50</v>
      </c>
      <c r="C2660" s="5" t="n">
        <v>2022</v>
      </c>
      <c r="D2660" s="5" t="s">
        <v>49</v>
      </c>
      <c r="E2660" s="5" t="s">
        <v>75</v>
      </c>
      <c r="F2660" s="5" t="s">
        <v>39</v>
      </c>
      <c r="G2660" s="6" t="n">
        <v>494</v>
      </c>
      <c r="H2660" s="6" t="n">
        <v>151</v>
      </c>
      <c r="I2660" s="7" t="n">
        <f aca="false">(G2660-H2660)/G2660</f>
        <v>0.694331983805668</v>
      </c>
      <c r="J2660" s="15" t="n">
        <v>0.304</v>
      </c>
      <c r="K2660" s="11" t="str">
        <f aca="false">IF(I2660&lt;J2660,"TAK","NIE")</f>
        <v>NIE</v>
      </c>
    </row>
    <row r="2661" customFormat="false" ht="15" hidden="false" customHeight="false" outlineLevel="0" collapsed="false">
      <c r="A2661" s="5" t="s">
        <v>553</v>
      </c>
      <c r="B2661" s="5" t="s">
        <v>50</v>
      </c>
      <c r="C2661" s="5" t="n">
        <v>2022</v>
      </c>
      <c r="D2661" s="5" t="s">
        <v>49</v>
      </c>
      <c r="E2661" s="5" t="s">
        <v>75</v>
      </c>
      <c r="F2661" s="5" t="s">
        <v>39</v>
      </c>
      <c r="G2661" s="6" t="n">
        <v>494</v>
      </c>
      <c r="H2661" s="6" t="n">
        <v>89</v>
      </c>
      <c r="I2661" s="7" t="n">
        <f aca="false">(G2661-H2661)/G2661</f>
        <v>0.819838056680162</v>
      </c>
      <c r="J2661" s="15" t="n">
        <v>0.304</v>
      </c>
      <c r="K2661" s="11" t="str">
        <f aca="false">IF(I2661&lt;J2661,"TAK","NIE")</f>
        <v>NIE</v>
      </c>
    </row>
    <row r="2662" customFormat="false" ht="15" hidden="false" customHeight="false" outlineLevel="0" collapsed="false">
      <c r="A2662" s="5" t="s">
        <v>554</v>
      </c>
      <c r="B2662" s="5" t="s">
        <v>50</v>
      </c>
      <c r="C2662" s="5" t="n">
        <v>2022</v>
      </c>
      <c r="D2662" s="5" t="s">
        <v>49</v>
      </c>
      <c r="E2662" s="5" t="s">
        <v>75</v>
      </c>
      <c r="F2662" s="5" t="s">
        <v>39</v>
      </c>
      <c r="G2662" s="6" t="n">
        <v>511</v>
      </c>
      <c r="H2662" s="6" t="n">
        <v>218</v>
      </c>
      <c r="I2662" s="7" t="n">
        <f aca="false">(G2662-H2662)/G2662</f>
        <v>0.573385518590998</v>
      </c>
      <c r="J2662" s="15" t="n">
        <v>0.304</v>
      </c>
      <c r="K2662" s="11" t="str">
        <f aca="false">IF(I2662&lt;J2662,"TAK","NIE")</f>
        <v>NIE</v>
      </c>
    </row>
    <row r="2663" customFormat="false" ht="15" hidden="false" customHeight="false" outlineLevel="0" collapsed="false">
      <c r="A2663" s="5" t="s">
        <v>570</v>
      </c>
      <c r="B2663" s="5" t="s">
        <v>50</v>
      </c>
      <c r="C2663" s="5" t="n">
        <v>2022</v>
      </c>
      <c r="D2663" s="5" t="s">
        <v>49</v>
      </c>
      <c r="E2663" s="5" t="s">
        <v>75</v>
      </c>
      <c r="F2663" s="5" t="s">
        <v>39</v>
      </c>
      <c r="G2663" s="6" t="n">
        <v>510</v>
      </c>
      <c r="H2663" s="6" t="n">
        <v>207</v>
      </c>
      <c r="I2663" s="7" t="n">
        <f aca="false">(G2663-H2663)/G2663</f>
        <v>0.594117647058824</v>
      </c>
      <c r="J2663" s="15" t="n">
        <v>0.304</v>
      </c>
      <c r="K2663" s="11" t="str">
        <f aca="false">IF(I2663&lt;J2663,"TAK","NIE")</f>
        <v>NIE</v>
      </c>
    </row>
    <row r="2664" customFormat="false" ht="15" hidden="false" customHeight="false" outlineLevel="0" collapsed="false">
      <c r="A2664" s="5" t="s">
        <v>571</v>
      </c>
      <c r="B2664" s="5" t="s">
        <v>50</v>
      </c>
      <c r="C2664" s="5" t="n">
        <v>2022</v>
      </c>
      <c r="D2664" s="5" t="s">
        <v>49</v>
      </c>
      <c r="E2664" s="5" t="s">
        <v>75</v>
      </c>
      <c r="F2664" s="5" t="s">
        <v>39</v>
      </c>
      <c r="G2664" s="6" t="n">
        <v>494</v>
      </c>
      <c r="H2664" s="6" t="n">
        <v>126</v>
      </c>
      <c r="I2664" s="7" t="n">
        <f aca="false">(G2664-H2664)/G2664</f>
        <v>0.744939271255061</v>
      </c>
      <c r="J2664" s="15" t="n">
        <v>0.304</v>
      </c>
      <c r="K2664" s="11" t="str">
        <f aca="false">IF(I2664&lt;J2664,"TAK","NIE")</f>
        <v>NIE</v>
      </c>
    </row>
    <row r="2665" customFormat="false" ht="15" hidden="false" customHeight="false" outlineLevel="0" collapsed="false">
      <c r="A2665" s="5" t="s">
        <v>555</v>
      </c>
      <c r="B2665" s="5" t="s">
        <v>50</v>
      </c>
      <c r="C2665" s="5" t="n">
        <v>2022</v>
      </c>
      <c r="D2665" s="5" t="s">
        <v>49</v>
      </c>
      <c r="E2665" s="5" t="s">
        <v>75</v>
      </c>
      <c r="F2665" s="5" t="s">
        <v>39</v>
      </c>
      <c r="G2665" s="6" t="n">
        <v>511</v>
      </c>
      <c r="H2665" s="6" t="n">
        <v>183</v>
      </c>
      <c r="I2665" s="7" t="n">
        <f aca="false">(G2665-H2665)/G2665</f>
        <v>0.64187866927593</v>
      </c>
      <c r="J2665" s="15" t="n">
        <v>0.304</v>
      </c>
      <c r="K2665" s="11" t="str">
        <f aca="false">IF(I2665&lt;J2665,"TAK","NIE")</f>
        <v>NIE</v>
      </c>
    </row>
    <row r="2666" customFormat="false" ht="15" hidden="false" customHeight="false" outlineLevel="0" collapsed="false">
      <c r="A2666" s="5" t="s">
        <v>556</v>
      </c>
      <c r="B2666" s="5" t="s">
        <v>50</v>
      </c>
      <c r="C2666" s="5" t="n">
        <v>2022</v>
      </c>
      <c r="D2666" s="5" t="s">
        <v>49</v>
      </c>
      <c r="E2666" s="5" t="s">
        <v>75</v>
      </c>
      <c r="F2666" s="5" t="s">
        <v>39</v>
      </c>
      <c r="G2666" s="6" t="n">
        <v>510</v>
      </c>
      <c r="H2666" s="6" t="n">
        <v>155</v>
      </c>
      <c r="I2666" s="7" t="n">
        <f aca="false">(G2666-H2666)/G2666</f>
        <v>0.696078431372549</v>
      </c>
      <c r="J2666" s="15" t="n">
        <v>0.304</v>
      </c>
      <c r="K2666" s="11" t="str">
        <f aca="false">IF(I2666&lt;J2666,"TAK","NIE")</f>
        <v>NIE</v>
      </c>
    </row>
    <row r="2667" customFormat="false" ht="15" hidden="false" customHeight="false" outlineLevel="0" collapsed="false">
      <c r="A2667" s="5" t="s">
        <v>557</v>
      </c>
      <c r="B2667" s="5" t="s">
        <v>50</v>
      </c>
      <c r="C2667" s="5" t="n">
        <v>2022</v>
      </c>
      <c r="D2667" s="5" t="s">
        <v>49</v>
      </c>
      <c r="E2667" s="5" t="s">
        <v>75</v>
      </c>
      <c r="F2667" s="5" t="s">
        <v>39</v>
      </c>
      <c r="G2667" s="6" t="n">
        <v>494</v>
      </c>
      <c r="H2667" s="6" t="n">
        <v>181</v>
      </c>
      <c r="I2667" s="7" t="n">
        <f aca="false">(G2667-H2667)/G2667</f>
        <v>0.633603238866397</v>
      </c>
      <c r="J2667" s="15" t="n">
        <v>0.304</v>
      </c>
      <c r="K2667" s="11" t="str">
        <f aca="false">IF(I2667&lt;J2667,"TAK","NIE")</f>
        <v>NIE</v>
      </c>
    </row>
    <row r="2668" customFormat="false" ht="15" hidden="false" customHeight="false" outlineLevel="0" collapsed="false">
      <c r="A2668" s="5" t="s">
        <v>558</v>
      </c>
      <c r="B2668" s="5" t="s">
        <v>50</v>
      </c>
      <c r="C2668" s="5" t="n">
        <v>2022</v>
      </c>
      <c r="D2668" s="5" t="s">
        <v>49</v>
      </c>
      <c r="E2668" s="5" t="s">
        <v>75</v>
      </c>
      <c r="F2668" s="5" t="s">
        <v>39</v>
      </c>
      <c r="G2668" s="6" t="n">
        <v>510</v>
      </c>
      <c r="H2668" s="6" t="n">
        <v>78</v>
      </c>
      <c r="I2668" s="7" t="n">
        <f aca="false">(G2668-H2668)/G2668</f>
        <v>0.847058823529412</v>
      </c>
      <c r="J2668" s="15" t="n">
        <v>0.304</v>
      </c>
      <c r="K2668" s="11" t="str">
        <f aca="false">IF(I2668&lt;J2668,"TAK","NIE")</f>
        <v>NIE</v>
      </c>
    </row>
    <row r="2669" customFormat="false" ht="15" hidden="false" customHeight="false" outlineLevel="0" collapsed="false">
      <c r="A2669" s="5" t="s">
        <v>559</v>
      </c>
      <c r="B2669" s="5" t="s">
        <v>50</v>
      </c>
      <c r="C2669" s="5" t="n">
        <v>2022</v>
      </c>
      <c r="D2669" s="5" t="s">
        <v>49</v>
      </c>
      <c r="E2669" s="5" t="s">
        <v>75</v>
      </c>
      <c r="F2669" s="5" t="s">
        <v>39</v>
      </c>
      <c r="G2669" s="6" t="n">
        <v>510</v>
      </c>
      <c r="H2669" s="6" t="n">
        <v>145</v>
      </c>
      <c r="I2669" s="7" t="n">
        <f aca="false">(G2669-H2669)/G2669</f>
        <v>0.715686274509804</v>
      </c>
      <c r="J2669" s="15" t="n">
        <v>0.304</v>
      </c>
      <c r="K2669" s="11" t="str">
        <f aca="false">IF(I2669&lt;J2669,"TAK","NIE")</f>
        <v>NIE</v>
      </c>
    </row>
    <row r="2670" customFormat="false" ht="15" hidden="false" customHeight="false" outlineLevel="0" collapsed="false">
      <c r="A2670" s="5" t="s">
        <v>560</v>
      </c>
      <c r="B2670" s="5" t="s">
        <v>50</v>
      </c>
      <c r="C2670" s="5" t="n">
        <v>2022</v>
      </c>
      <c r="D2670" s="5" t="s">
        <v>49</v>
      </c>
      <c r="E2670" s="5" t="s">
        <v>75</v>
      </c>
      <c r="F2670" s="5" t="s">
        <v>39</v>
      </c>
      <c r="G2670" s="6" t="n">
        <v>494</v>
      </c>
      <c r="H2670" s="6" t="n">
        <v>97</v>
      </c>
      <c r="I2670" s="7" t="n">
        <f aca="false">(G2670-H2670)/G2670</f>
        <v>0.803643724696356</v>
      </c>
      <c r="J2670" s="15" t="n">
        <v>0.304</v>
      </c>
      <c r="K2670" s="11" t="str">
        <f aca="false">IF(I2670&lt;J2670,"TAK","NIE")</f>
        <v>NIE</v>
      </c>
    </row>
    <row r="2671" customFormat="false" ht="15" hidden="false" customHeight="false" outlineLevel="0" collapsed="false">
      <c r="A2671" s="5" t="s">
        <v>561</v>
      </c>
      <c r="B2671" s="5" t="s">
        <v>50</v>
      </c>
      <c r="C2671" s="5" t="n">
        <v>2022</v>
      </c>
      <c r="D2671" s="5" t="s">
        <v>49</v>
      </c>
      <c r="E2671" s="5" t="s">
        <v>75</v>
      </c>
      <c r="F2671" s="5" t="s">
        <v>39</v>
      </c>
      <c r="G2671" s="6" t="n">
        <v>511</v>
      </c>
      <c r="H2671" s="6" t="n">
        <v>119</v>
      </c>
      <c r="I2671" s="7" t="n">
        <f aca="false">(G2671-H2671)/G2671</f>
        <v>0.767123287671233</v>
      </c>
      <c r="J2671" s="15" t="n">
        <v>0.304</v>
      </c>
      <c r="K2671" s="11" t="str">
        <f aca="false">IF(I2671&lt;J2671,"TAK","NIE")</f>
        <v>NIE</v>
      </c>
    </row>
    <row r="2672" customFormat="false" ht="15" hidden="false" customHeight="false" outlineLevel="0" collapsed="false">
      <c r="A2672" s="5" t="s">
        <v>562</v>
      </c>
      <c r="B2672" s="5" t="s">
        <v>50</v>
      </c>
      <c r="C2672" s="5" t="n">
        <v>2022</v>
      </c>
      <c r="D2672" s="5" t="s">
        <v>49</v>
      </c>
      <c r="E2672" s="5" t="s">
        <v>75</v>
      </c>
      <c r="F2672" s="5" t="s">
        <v>39</v>
      </c>
      <c r="G2672" s="6" t="n">
        <v>511</v>
      </c>
      <c r="H2672" s="6" t="n">
        <v>130</v>
      </c>
      <c r="I2672" s="7" t="n">
        <f aca="false">(G2672-H2672)/G2672</f>
        <v>0.74559686888454</v>
      </c>
      <c r="J2672" s="15" t="n">
        <v>0.304</v>
      </c>
      <c r="K2672" s="11" t="str">
        <f aca="false">IF(I2672&lt;J2672,"TAK","NIE")</f>
        <v>NIE</v>
      </c>
    </row>
    <row r="2673" customFormat="false" ht="15" hidden="false" customHeight="false" outlineLevel="0" collapsed="false">
      <c r="A2673" s="5" t="s">
        <v>565</v>
      </c>
      <c r="B2673" s="5" t="s">
        <v>50</v>
      </c>
      <c r="C2673" s="5" t="n">
        <v>2022</v>
      </c>
      <c r="D2673" s="5" t="s">
        <v>49</v>
      </c>
      <c r="E2673" s="5" t="s">
        <v>75</v>
      </c>
      <c r="F2673" s="5" t="s">
        <v>39</v>
      </c>
      <c r="G2673" s="6" t="n">
        <v>511</v>
      </c>
      <c r="H2673" s="6" t="n">
        <v>117</v>
      </c>
      <c r="I2673" s="7" t="n">
        <f aca="false">(G2673-H2673)/G2673</f>
        <v>0.771037181996086</v>
      </c>
      <c r="J2673" s="15" t="n">
        <v>0.304</v>
      </c>
      <c r="K2673" s="11" t="str">
        <f aca="false">IF(I2673&lt;J2673,"TAK","NIE")</f>
        <v>NIE</v>
      </c>
    </row>
    <row r="2674" customFormat="false" ht="15" hidden="false" customHeight="false" outlineLevel="0" collapsed="false">
      <c r="A2674" s="5" t="s">
        <v>566</v>
      </c>
      <c r="B2674" s="5" t="s">
        <v>50</v>
      </c>
      <c r="C2674" s="5" t="n">
        <v>2022</v>
      </c>
      <c r="D2674" s="5" t="s">
        <v>49</v>
      </c>
      <c r="E2674" s="5" t="s">
        <v>75</v>
      </c>
      <c r="F2674" s="5" t="s">
        <v>39</v>
      </c>
      <c r="G2674" s="6" t="n">
        <v>511</v>
      </c>
      <c r="H2674" s="6" t="n">
        <v>296</v>
      </c>
      <c r="I2674" s="7" t="n">
        <f aca="false">(G2674-H2674)/G2674</f>
        <v>0.420743639921722</v>
      </c>
      <c r="J2674" s="15" t="n">
        <v>0.304</v>
      </c>
      <c r="K2674" s="11" t="str">
        <f aca="false">IF(I2674&lt;J2674,"TAK","NIE")</f>
        <v>NIE</v>
      </c>
    </row>
    <row r="2675" customFormat="false" ht="15" hidden="false" customHeight="false" outlineLevel="0" collapsed="false">
      <c r="A2675" s="5" t="s">
        <v>567</v>
      </c>
      <c r="B2675" s="5" t="s">
        <v>50</v>
      </c>
      <c r="C2675" s="5" t="n">
        <v>2022</v>
      </c>
      <c r="D2675" s="5" t="s">
        <v>49</v>
      </c>
      <c r="E2675" s="5" t="s">
        <v>75</v>
      </c>
      <c r="F2675" s="5" t="s">
        <v>39</v>
      </c>
      <c r="G2675" s="6" t="n">
        <v>511</v>
      </c>
      <c r="H2675" s="6" t="n">
        <v>45</v>
      </c>
      <c r="I2675" s="7" t="n">
        <f aca="false">(G2675-H2675)/G2675</f>
        <v>0.911937377690802</v>
      </c>
      <c r="J2675" s="15" t="n">
        <v>0.304</v>
      </c>
      <c r="K2675" s="11" t="str">
        <f aca="false">IF(I2675&lt;J2675,"TAK","NIE")</f>
        <v>NIE</v>
      </c>
    </row>
    <row r="2676" customFormat="false" ht="15" hidden="false" customHeight="false" outlineLevel="0" collapsed="false">
      <c r="A2676" s="5" t="s">
        <v>535</v>
      </c>
      <c r="B2676" s="5" t="s">
        <v>50</v>
      </c>
      <c r="C2676" s="5" t="n">
        <v>2022</v>
      </c>
      <c r="D2676" s="5" t="s">
        <v>49</v>
      </c>
      <c r="E2676" s="5" t="s">
        <v>75</v>
      </c>
      <c r="F2676" s="5" t="s">
        <v>40</v>
      </c>
      <c r="G2676" s="6" t="n">
        <v>695</v>
      </c>
      <c r="H2676" s="6" t="n">
        <v>184</v>
      </c>
      <c r="I2676" s="7" t="n">
        <f aca="false">(G2676-H2676)/G2676</f>
        <v>0.735251798561151</v>
      </c>
      <c r="J2676" s="15" t="n">
        <v>0.143</v>
      </c>
      <c r="K2676" s="11" t="str">
        <f aca="false">IF(I2676&lt;J2676,"TAK","NIE")</f>
        <v>NIE</v>
      </c>
    </row>
    <row r="2677" customFormat="false" ht="15" hidden="false" customHeight="false" outlineLevel="0" collapsed="false">
      <c r="A2677" s="5" t="s">
        <v>536</v>
      </c>
      <c r="B2677" s="5" t="s">
        <v>50</v>
      </c>
      <c r="C2677" s="5" t="n">
        <v>2022</v>
      </c>
      <c r="D2677" s="5" t="s">
        <v>49</v>
      </c>
      <c r="E2677" s="5" t="s">
        <v>75</v>
      </c>
      <c r="F2677" s="5" t="s">
        <v>40</v>
      </c>
      <c r="G2677" s="6" t="n">
        <v>703</v>
      </c>
      <c r="H2677" s="6" t="n">
        <v>414</v>
      </c>
      <c r="I2677" s="7" t="n">
        <f aca="false">(G2677-H2677)/G2677</f>
        <v>0.411095305832148</v>
      </c>
      <c r="J2677" s="15" t="n">
        <v>0.143</v>
      </c>
      <c r="K2677" s="11" t="str">
        <f aca="false">IF(I2677&lt;J2677,"TAK","NIE")</f>
        <v>NIE</v>
      </c>
    </row>
    <row r="2678" customFormat="false" ht="15" hidden="false" customHeight="false" outlineLevel="0" collapsed="false">
      <c r="A2678" s="5" t="s">
        <v>539</v>
      </c>
      <c r="B2678" s="5" t="s">
        <v>50</v>
      </c>
      <c r="C2678" s="5" t="n">
        <v>2022</v>
      </c>
      <c r="D2678" s="5" t="s">
        <v>49</v>
      </c>
      <c r="E2678" s="5" t="s">
        <v>75</v>
      </c>
      <c r="F2678" s="5" t="s">
        <v>40</v>
      </c>
      <c r="G2678" s="6" t="n">
        <v>683</v>
      </c>
      <c r="H2678" s="6" t="n">
        <v>174</v>
      </c>
      <c r="I2678" s="7" t="n">
        <f aca="false">(G2678-H2678)/G2678</f>
        <v>0.745241581259151</v>
      </c>
      <c r="J2678" s="15" t="n">
        <v>0.143</v>
      </c>
      <c r="K2678" s="11" t="str">
        <f aca="false">IF(I2678&lt;J2678,"TAK","NIE")</f>
        <v>NIE</v>
      </c>
    </row>
    <row r="2679" customFormat="false" ht="15" hidden="false" customHeight="false" outlineLevel="0" collapsed="false">
      <c r="A2679" s="5" t="s">
        <v>540</v>
      </c>
      <c r="B2679" s="5" t="s">
        <v>50</v>
      </c>
      <c r="C2679" s="5" t="n">
        <v>2022</v>
      </c>
      <c r="D2679" s="5" t="s">
        <v>49</v>
      </c>
      <c r="E2679" s="5" t="s">
        <v>75</v>
      </c>
      <c r="F2679" s="5" t="s">
        <v>40</v>
      </c>
      <c r="G2679" s="6" t="n">
        <v>695</v>
      </c>
      <c r="H2679" s="6" t="n">
        <v>454</v>
      </c>
      <c r="I2679" s="7" t="n">
        <f aca="false">(G2679-H2679)/G2679</f>
        <v>0.346762589928058</v>
      </c>
      <c r="J2679" s="15" t="n">
        <v>0.143</v>
      </c>
      <c r="K2679" s="11" t="str">
        <f aca="false">IF(I2679&lt;J2679,"TAK","NIE")</f>
        <v>NIE</v>
      </c>
    </row>
    <row r="2680" customFormat="false" ht="15" hidden="false" customHeight="false" outlineLevel="0" collapsed="false">
      <c r="A2680" s="5" t="s">
        <v>541</v>
      </c>
      <c r="B2680" s="5" t="s">
        <v>50</v>
      </c>
      <c r="C2680" s="5" t="n">
        <v>2022</v>
      </c>
      <c r="D2680" s="5" t="s">
        <v>49</v>
      </c>
      <c r="E2680" s="5" t="s">
        <v>75</v>
      </c>
      <c r="F2680" s="5" t="s">
        <v>40</v>
      </c>
      <c r="G2680" s="6" t="n">
        <v>695</v>
      </c>
      <c r="H2680" s="6" t="n">
        <v>326</v>
      </c>
      <c r="I2680" s="7" t="n">
        <f aca="false">(G2680-H2680)/G2680</f>
        <v>0.530935251798561</v>
      </c>
      <c r="J2680" s="15" t="n">
        <v>0.143</v>
      </c>
      <c r="K2680" s="11" t="str">
        <f aca="false">IF(I2680&lt;J2680,"TAK","NIE")</f>
        <v>NIE</v>
      </c>
    </row>
    <row r="2681" customFormat="false" ht="15" hidden="false" customHeight="false" outlineLevel="0" collapsed="false">
      <c r="A2681" s="5" t="s">
        <v>569</v>
      </c>
      <c r="B2681" s="5" t="s">
        <v>50</v>
      </c>
      <c r="C2681" s="5" t="n">
        <v>2022</v>
      </c>
      <c r="D2681" s="5" t="s">
        <v>49</v>
      </c>
      <c r="E2681" s="5" t="s">
        <v>75</v>
      </c>
      <c r="F2681" s="5" t="s">
        <v>40</v>
      </c>
      <c r="G2681" s="6" t="n">
        <v>703</v>
      </c>
      <c r="H2681" s="6" t="n">
        <v>209</v>
      </c>
      <c r="I2681" s="7" t="n">
        <f aca="false">(G2681-H2681)/G2681</f>
        <v>0.702702702702703</v>
      </c>
      <c r="J2681" s="15" t="n">
        <v>0.143</v>
      </c>
      <c r="K2681" s="11" t="str">
        <f aca="false">IF(I2681&lt;J2681,"TAK","NIE")</f>
        <v>NIE</v>
      </c>
    </row>
    <row r="2682" customFormat="false" ht="15" hidden="false" customHeight="false" outlineLevel="0" collapsed="false">
      <c r="A2682" s="5" t="s">
        <v>544</v>
      </c>
      <c r="B2682" s="5" t="s">
        <v>50</v>
      </c>
      <c r="C2682" s="5" t="n">
        <v>2022</v>
      </c>
      <c r="D2682" s="5" t="s">
        <v>49</v>
      </c>
      <c r="E2682" s="5" t="s">
        <v>75</v>
      </c>
      <c r="F2682" s="5" t="s">
        <v>40</v>
      </c>
      <c r="G2682" s="6" t="n">
        <v>683</v>
      </c>
      <c r="H2682" s="6" t="n">
        <v>101</v>
      </c>
      <c r="I2682" s="7" t="n">
        <f aca="false">(G2682-H2682)/G2682</f>
        <v>0.85212298682284</v>
      </c>
      <c r="J2682" s="15" t="n">
        <v>0.143</v>
      </c>
      <c r="K2682" s="11" t="str">
        <f aca="false">IF(I2682&lt;J2682,"TAK","NIE")</f>
        <v>NIE</v>
      </c>
    </row>
    <row r="2683" customFormat="false" ht="15" hidden="false" customHeight="false" outlineLevel="0" collapsed="false">
      <c r="A2683" s="5" t="s">
        <v>568</v>
      </c>
      <c r="B2683" s="5" t="s">
        <v>50</v>
      </c>
      <c r="C2683" s="5" t="n">
        <v>2022</v>
      </c>
      <c r="D2683" s="5" t="s">
        <v>49</v>
      </c>
      <c r="E2683" s="5" t="s">
        <v>75</v>
      </c>
      <c r="F2683" s="5" t="s">
        <v>40</v>
      </c>
      <c r="G2683" s="6" t="n">
        <v>703</v>
      </c>
      <c r="H2683" s="6" t="n">
        <v>180</v>
      </c>
      <c r="I2683" s="7" t="n">
        <f aca="false">(G2683-H2683)/G2683</f>
        <v>0.743954480796586</v>
      </c>
      <c r="J2683" s="15" t="n">
        <v>0.143</v>
      </c>
      <c r="K2683" s="11" t="str">
        <f aca="false">IF(I2683&lt;J2683,"TAK","NIE")</f>
        <v>NIE</v>
      </c>
    </row>
    <row r="2684" customFormat="false" ht="15" hidden="false" customHeight="false" outlineLevel="0" collapsed="false">
      <c r="A2684" s="5" t="s">
        <v>545</v>
      </c>
      <c r="B2684" s="5" t="s">
        <v>50</v>
      </c>
      <c r="C2684" s="5" t="n">
        <v>2022</v>
      </c>
      <c r="D2684" s="5" t="s">
        <v>49</v>
      </c>
      <c r="E2684" s="5" t="s">
        <v>75</v>
      </c>
      <c r="F2684" s="5" t="s">
        <v>40</v>
      </c>
      <c r="G2684" s="6" t="n">
        <v>683</v>
      </c>
      <c r="H2684" s="6" t="n">
        <v>118</v>
      </c>
      <c r="I2684" s="7" t="n">
        <f aca="false">(G2684-H2684)/G2684</f>
        <v>0.827232796486091</v>
      </c>
      <c r="J2684" s="15" t="n">
        <v>0.143</v>
      </c>
      <c r="K2684" s="11" t="str">
        <f aca="false">IF(I2684&lt;J2684,"TAK","NIE")</f>
        <v>NIE</v>
      </c>
    </row>
    <row r="2685" customFormat="false" ht="15" hidden="false" customHeight="false" outlineLevel="0" collapsed="false">
      <c r="A2685" s="5" t="s">
        <v>546</v>
      </c>
      <c r="B2685" s="5" t="s">
        <v>50</v>
      </c>
      <c r="C2685" s="5" t="n">
        <v>2022</v>
      </c>
      <c r="D2685" s="5" t="s">
        <v>49</v>
      </c>
      <c r="E2685" s="5" t="s">
        <v>75</v>
      </c>
      <c r="F2685" s="5" t="s">
        <v>40</v>
      </c>
      <c r="G2685" s="6" t="n">
        <v>582</v>
      </c>
      <c r="H2685" s="6" t="n">
        <v>466</v>
      </c>
      <c r="I2685" s="7" t="n">
        <f aca="false">(G2685-H2685)/G2685</f>
        <v>0.199312714776632</v>
      </c>
      <c r="J2685" s="15" t="n">
        <v>0.143</v>
      </c>
      <c r="K2685" s="11" t="str">
        <f aca="false">IF(I2685&lt;J2685,"TAK","NIE")</f>
        <v>NIE</v>
      </c>
    </row>
    <row r="2686" customFormat="false" ht="15" hidden="false" customHeight="false" outlineLevel="0" collapsed="false">
      <c r="A2686" s="5" t="s">
        <v>547</v>
      </c>
      <c r="B2686" s="5" t="s">
        <v>50</v>
      </c>
      <c r="C2686" s="5" t="n">
        <v>2022</v>
      </c>
      <c r="D2686" s="5" t="s">
        <v>49</v>
      </c>
      <c r="E2686" s="5" t="s">
        <v>75</v>
      </c>
      <c r="F2686" s="5" t="s">
        <v>40</v>
      </c>
      <c r="G2686" s="6" t="n">
        <v>683</v>
      </c>
      <c r="H2686" s="6" t="n">
        <v>410</v>
      </c>
      <c r="I2686" s="7" t="n">
        <f aca="false">(G2686-H2686)/G2686</f>
        <v>0.399707174231332</v>
      </c>
      <c r="J2686" s="15" t="n">
        <v>0.143</v>
      </c>
      <c r="K2686" s="11" t="str">
        <f aca="false">IF(I2686&lt;J2686,"TAK","NIE")</f>
        <v>NIE</v>
      </c>
    </row>
    <row r="2687" customFormat="false" ht="15" hidden="false" customHeight="false" outlineLevel="0" collapsed="false">
      <c r="A2687" s="5" t="s">
        <v>548</v>
      </c>
      <c r="B2687" s="5" t="s">
        <v>50</v>
      </c>
      <c r="C2687" s="5" t="n">
        <v>2022</v>
      </c>
      <c r="D2687" s="5" t="s">
        <v>49</v>
      </c>
      <c r="E2687" s="5" t="s">
        <v>75</v>
      </c>
      <c r="F2687" s="5" t="s">
        <v>40</v>
      </c>
      <c r="G2687" s="6" t="n">
        <v>703</v>
      </c>
      <c r="H2687" s="6" t="n">
        <v>425</v>
      </c>
      <c r="I2687" s="7" t="n">
        <f aca="false">(G2687-H2687)/G2687</f>
        <v>0.395448079658606</v>
      </c>
      <c r="J2687" s="15" t="n">
        <v>0.143</v>
      </c>
      <c r="K2687" s="11" t="str">
        <f aca="false">IF(I2687&lt;J2687,"TAK","NIE")</f>
        <v>NIE</v>
      </c>
    </row>
    <row r="2688" customFormat="false" ht="15" hidden="false" customHeight="false" outlineLevel="0" collapsed="false">
      <c r="A2688" s="5" t="s">
        <v>550</v>
      </c>
      <c r="B2688" s="5" t="s">
        <v>50</v>
      </c>
      <c r="C2688" s="5" t="n">
        <v>2022</v>
      </c>
      <c r="D2688" s="5" t="s">
        <v>49</v>
      </c>
      <c r="E2688" s="5" t="s">
        <v>75</v>
      </c>
      <c r="F2688" s="5" t="s">
        <v>40</v>
      </c>
      <c r="G2688" s="6" t="n">
        <v>703</v>
      </c>
      <c r="H2688" s="6" t="n">
        <v>586</v>
      </c>
      <c r="I2688" s="7" t="n">
        <f aca="false">(G2688-H2688)/G2688</f>
        <v>0.166429587482219</v>
      </c>
      <c r="J2688" s="15" t="n">
        <v>0.143</v>
      </c>
      <c r="K2688" s="11" t="str">
        <f aca="false">IF(I2688&lt;J2688,"TAK","NIE")</f>
        <v>NIE</v>
      </c>
    </row>
    <row r="2689" customFormat="false" ht="15" hidden="false" customHeight="false" outlineLevel="0" collapsed="false">
      <c r="A2689" s="5" t="s">
        <v>551</v>
      </c>
      <c r="B2689" s="5" t="s">
        <v>50</v>
      </c>
      <c r="C2689" s="5" t="n">
        <v>2022</v>
      </c>
      <c r="D2689" s="5" t="s">
        <v>49</v>
      </c>
      <c r="E2689" s="5" t="s">
        <v>75</v>
      </c>
      <c r="F2689" s="5" t="s">
        <v>40</v>
      </c>
      <c r="G2689" s="6" t="n">
        <v>695</v>
      </c>
      <c r="H2689" s="6" t="n">
        <v>335</v>
      </c>
      <c r="I2689" s="7" t="n">
        <f aca="false">(G2689-H2689)/G2689</f>
        <v>0.517985611510791</v>
      </c>
      <c r="J2689" s="15" t="n">
        <v>0.143</v>
      </c>
      <c r="K2689" s="11" t="str">
        <f aca="false">IF(I2689&lt;J2689,"TAK","NIE")</f>
        <v>NIE</v>
      </c>
    </row>
    <row r="2690" customFormat="false" ht="15" hidden="false" customHeight="false" outlineLevel="0" collapsed="false">
      <c r="A2690" s="5" t="s">
        <v>552</v>
      </c>
      <c r="B2690" s="5" t="s">
        <v>50</v>
      </c>
      <c r="C2690" s="5" t="n">
        <v>2022</v>
      </c>
      <c r="D2690" s="5" t="s">
        <v>49</v>
      </c>
      <c r="E2690" s="5" t="s">
        <v>75</v>
      </c>
      <c r="F2690" s="5" t="s">
        <v>40</v>
      </c>
      <c r="G2690" s="6" t="n">
        <v>683</v>
      </c>
      <c r="H2690" s="6" t="n">
        <v>256</v>
      </c>
      <c r="I2690" s="7" t="n">
        <f aca="false">(G2690-H2690)/G2690</f>
        <v>0.625183016105417</v>
      </c>
      <c r="J2690" s="15" t="n">
        <v>0.143</v>
      </c>
      <c r="K2690" s="11" t="str">
        <f aca="false">IF(I2690&lt;J2690,"TAK","NIE")</f>
        <v>NIE</v>
      </c>
    </row>
    <row r="2691" customFormat="false" ht="15" hidden="false" customHeight="false" outlineLevel="0" collapsed="false">
      <c r="A2691" s="5" t="s">
        <v>553</v>
      </c>
      <c r="B2691" s="5" t="s">
        <v>50</v>
      </c>
      <c r="C2691" s="5" t="n">
        <v>2022</v>
      </c>
      <c r="D2691" s="5" t="s">
        <v>49</v>
      </c>
      <c r="E2691" s="5" t="s">
        <v>75</v>
      </c>
      <c r="F2691" s="5" t="s">
        <v>40</v>
      </c>
      <c r="G2691" s="6" t="n">
        <v>683</v>
      </c>
      <c r="H2691" s="6" t="n">
        <v>168</v>
      </c>
      <c r="I2691" s="7" t="n">
        <f aca="false">(G2691-H2691)/G2691</f>
        <v>0.75402635431918</v>
      </c>
      <c r="J2691" s="15" t="n">
        <v>0.143</v>
      </c>
      <c r="K2691" s="11" t="str">
        <f aca="false">IF(I2691&lt;J2691,"TAK","NIE")</f>
        <v>NIE</v>
      </c>
    </row>
    <row r="2692" customFormat="false" ht="15" hidden="false" customHeight="false" outlineLevel="0" collapsed="false">
      <c r="A2692" s="5" t="s">
        <v>554</v>
      </c>
      <c r="B2692" s="5" t="s">
        <v>50</v>
      </c>
      <c r="C2692" s="5" t="n">
        <v>2022</v>
      </c>
      <c r="D2692" s="5" t="s">
        <v>49</v>
      </c>
      <c r="E2692" s="5" t="s">
        <v>75</v>
      </c>
      <c r="F2692" s="5" t="s">
        <v>40</v>
      </c>
      <c r="G2692" s="6" t="n">
        <v>695</v>
      </c>
      <c r="H2692" s="6" t="n">
        <v>359</v>
      </c>
      <c r="I2692" s="7" t="n">
        <f aca="false">(G2692-H2692)/G2692</f>
        <v>0.483453237410072</v>
      </c>
      <c r="J2692" s="15" t="n">
        <v>0.143</v>
      </c>
      <c r="K2692" s="11" t="str">
        <f aca="false">IF(I2692&lt;J2692,"TAK","NIE")</f>
        <v>NIE</v>
      </c>
    </row>
    <row r="2693" customFormat="false" ht="15" hidden="false" customHeight="false" outlineLevel="0" collapsed="false">
      <c r="A2693" s="5" t="s">
        <v>570</v>
      </c>
      <c r="B2693" s="5" t="s">
        <v>50</v>
      </c>
      <c r="C2693" s="5" t="n">
        <v>2022</v>
      </c>
      <c r="D2693" s="5" t="s">
        <v>49</v>
      </c>
      <c r="E2693" s="5" t="s">
        <v>75</v>
      </c>
      <c r="F2693" s="5" t="s">
        <v>40</v>
      </c>
      <c r="G2693" s="6" t="n">
        <v>703</v>
      </c>
      <c r="H2693" s="6" t="n">
        <v>341</v>
      </c>
      <c r="I2693" s="7" t="n">
        <f aca="false">(G2693-H2693)/G2693</f>
        <v>0.514935988620199</v>
      </c>
      <c r="J2693" s="15" t="n">
        <v>0.143</v>
      </c>
      <c r="K2693" s="11" t="str">
        <f aca="false">IF(I2693&lt;J2693,"TAK","NIE")</f>
        <v>NIE</v>
      </c>
    </row>
    <row r="2694" customFormat="false" ht="15" hidden="false" customHeight="false" outlineLevel="0" collapsed="false">
      <c r="A2694" s="5" t="s">
        <v>571</v>
      </c>
      <c r="B2694" s="5" t="s">
        <v>50</v>
      </c>
      <c r="C2694" s="5" t="n">
        <v>2022</v>
      </c>
      <c r="D2694" s="5" t="s">
        <v>49</v>
      </c>
      <c r="E2694" s="5" t="s">
        <v>75</v>
      </c>
      <c r="F2694" s="5" t="s">
        <v>40</v>
      </c>
      <c r="G2694" s="6" t="n">
        <v>683</v>
      </c>
      <c r="H2694" s="6" t="n">
        <v>233</v>
      </c>
      <c r="I2694" s="7" t="n">
        <f aca="false">(G2694-H2694)/G2694</f>
        <v>0.658857979502196</v>
      </c>
      <c r="J2694" s="15" t="n">
        <v>0.143</v>
      </c>
      <c r="K2694" s="11" t="str">
        <f aca="false">IF(I2694&lt;J2694,"TAK","NIE")</f>
        <v>NIE</v>
      </c>
    </row>
    <row r="2695" customFormat="false" ht="15" hidden="false" customHeight="false" outlineLevel="0" collapsed="false">
      <c r="A2695" s="5" t="s">
        <v>555</v>
      </c>
      <c r="B2695" s="5" t="s">
        <v>50</v>
      </c>
      <c r="C2695" s="5" t="n">
        <v>2022</v>
      </c>
      <c r="D2695" s="5" t="s">
        <v>49</v>
      </c>
      <c r="E2695" s="5" t="s">
        <v>75</v>
      </c>
      <c r="F2695" s="5" t="s">
        <v>40</v>
      </c>
      <c r="G2695" s="6" t="n">
        <v>695</v>
      </c>
      <c r="H2695" s="6" t="n">
        <v>341</v>
      </c>
      <c r="I2695" s="7" t="n">
        <f aca="false">(G2695-H2695)/G2695</f>
        <v>0.509352517985612</v>
      </c>
      <c r="J2695" s="15" t="n">
        <v>0.143</v>
      </c>
      <c r="K2695" s="11" t="str">
        <f aca="false">IF(I2695&lt;J2695,"TAK","NIE")</f>
        <v>NIE</v>
      </c>
    </row>
    <row r="2696" customFormat="false" ht="15" hidden="false" customHeight="false" outlineLevel="0" collapsed="false">
      <c r="A2696" s="5" t="s">
        <v>556</v>
      </c>
      <c r="B2696" s="5" t="s">
        <v>50</v>
      </c>
      <c r="C2696" s="5" t="n">
        <v>2022</v>
      </c>
      <c r="D2696" s="5" t="s">
        <v>49</v>
      </c>
      <c r="E2696" s="5" t="s">
        <v>75</v>
      </c>
      <c r="F2696" s="5" t="s">
        <v>40</v>
      </c>
      <c r="G2696" s="6" t="n">
        <v>703</v>
      </c>
      <c r="H2696" s="6" t="n">
        <v>261</v>
      </c>
      <c r="I2696" s="7" t="n">
        <f aca="false">(G2696-H2696)/G2696</f>
        <v>0.62873399715505</v>
      </c>
      <c r="J2696" s="15" t="n">
        <v>0.143</v>
      </c>
      <c r="K2696" s="11" t="str">
        <f aca="false">IF(I2696&lt;J2696,"TAK","NIE")</f>
        <v>NIE</v>
      </c>
    </row>
    <row r="2697" customFormat="false" ht="15" hidden="false" customHeight="false" outlineLevel="0" collapsed="false">
      <c r="A2697" s="5" t="s">
        <v>557</v>
      </c>
      <c r="B2697" s="5" t="s">
        <v>50</v>
      </c>
      <c r="C2697" s="5" t="n">
        <v>2022</v>
      </c>
      <c r="D2697" s="5" t="s">
        <v>49</v>
      </c>
      <c r="E2697" s="5" t="s">
        <v>75</v>
      </c>
      <c r="F2697" s="5" t="s">
        <v>40</v>
      </c>
      <c r="G2697" s="6" t="n">
        <v>683</v>
      </c>
      <c r="H2697" s="6" t="n">
        <v>253</v>
      </c>
      <c r="I2697" s="7" t="n">
        <f aca="false">(G2697-H2697)/G2697</f>
        <v>0.629575402635432</v>
      </c>
      <c r="J2697" s="15" t="n">
        <v>0.143</v>
      </c>
      <c r="K2697" s="11" t="str">
        <f aca="false">IF(I2697&lt;J2697,"TAK","NIE")</f>
        <v>NIE</v>
      </c>
    </row>
    <row r="2698" customFormat="false" ht="15" hidden="false" customHeight="false" outlineLevel="0" collapsed="false">
      <c r="A2698" s="5" t="s">
        <v>558</v>
      </c>
      <c r="B2698" s="5" t="s">
        <v>50</v>
      </c>
      <c r="C2698" s="5" t="n">
        <v>2022</v>
      </c>
      <c r="D2698" s="5" t="s">
        <v>49</v>
      </c>
      <c r="E2698" s="5" t="s">
        <v>75</v>
      </c>
      <c r="F2698" s="5" t="s">
        <v>40</v>
      </c>
      <c r="G2698" s="6" t="n">
        <v>703</v>
      </c>
      <c r="H2698" s="6" t="n">
        <v>284</v>
      </c>
      <c r="I2698" s="7" t="n">
        <f aca="false">(G2698-H2698)/G2698</f>
        <v>0.59601706970128</v>
      </c>
      <c r="J2698" s="15" t="n">
        <v>0.143</v>
      </c>
      <c r="K2698" s="11" t="str">
        <f aca="false">IF(I2698&lt;J2698,"TAK","NIE")</f>
        <v>NIE</v>
      </c>
    </row>
    <row r="2699" customFormat="false" ht="15" hidden="false" customHeight="false" outlineLevel="0" collapsed="false">
      <c r="A2699" s="5" t="s">
        <v>559</v>
      </c>
      <c r="B2699" s="5" t="s">
        <v>50</v>
      </c>
      <c r="C2699" s="5" t="n">
        <v>2022</v>
      </c>
      <c r="D2699" s="5" t="s">
        <v>49</v>
      </c>
      <c r="E2699" s="5" t="s">
        <v>75</v>
      </c>
      <c r="F2699" s="5" t="s">
        <v>40</v>
      </c>
      <c r="G2699" s="6" t="n">
        <v>703</v>
      </c>
      <c r="H2699" s="6" t="n">
        <v>246</v>
      </c>
      <c r="I2699" s="7" t="n">
        <f aca="false">(G2699-H2699)/G2699</f>
        <v>0.650071123755334</v>
      </c>
      <c r="J2699" s="15" t="n">
        <v>0.143</v>
      </c>
      <c r="K2699" s="11" t="str">
        <f aca="false">IF(I2699&lt;J2699,"TAK","NIE")</f>
        <v>NIE</v>
      </c>
    </row>
    <row r="2700" customFormat="false" ht="15" hidden="false" customHeight="false" outlineLevel="0" collapsed="false">
      <c r="A2700" s="5" t="s">
        <v>560</v>
      </c>
      <c r="B2700" s="5" t="s">
        <v>50</v>
      </c>
      <c r="C2700" s="5" t="n">
        <v>2022</v>
      </c>
      <c r="D2700" s="5" t="s">
        <v>49</v>
      </c>
      <c r="E2700" s="5" t="s">
        <v>75</v>
      </c>
      <c r="F2700" s="5" t="s">
        <v>40</v>
      </c>
      <c r="G2700" s="6" t="n">
        <v>683</v>
      </c>
      <c r="H2700" s="6" t="n">
        <v>286</v>
      </c>
      <c r="I2700" s="7" t="n">
        <f aca="false">(G2700-H2700)/G2700</f>
        <v>0.581259150805271</v>
      </c>
      <c r="J2700" s="15" t="n">
        <v>0.143</v>
      </c>
      <c r="K2700" s="11" t="str">
        <f aca="false">IF(I2700&lt;J2700,"TAK","NIE")</f>
        <v>NIE</v>
      </c>
    </row>
    <row r="2701" customFormat="false" ht="15" hidden="false" customHeight="false" outlineLevel="0" collapsed="false">
      <c r="A2701" s="5" t="s">
        <v>561</v>
      </c>
      <c r="B2701" s="5" t="s">
        <v>50</v>
      </c>
      <c r="C2701" s="5" t="n">
        <v>2022</v>
      </c>
      <c r="D2701" s="5" t="s">
        <v>49</v>
      </c>
      <c r="E2701" s="5" t="s">
        <v>75</v>
      </c>
      <c r="F2701" s="5" t="s">
        <v>40</v>
      </c>
      <c r="G2701" s="6" t="n">
        <v>695</v>
      </c>
      <c r="H2701" s="6" t="n">
        <v>363</v>
      </c>
      <c r="I2701" s="7" t="n">
        <f aca="false">(G2701-H2701)/G2701</f>
        <v>0.477697841726619</v>
      </c>
      <c r="J2701" s="15" t="n">
        <v>0.143</v>
      </c>
      <c r="K2701" s="11" t="str">
        <f aca="false">IF(I2701&lt;J2701,"TAK","NIE")</f>
        <v>NIE</v>
      </c>
    </row>
    <row r="2702" customFormat="false" ht="15" hidden="false" customHeight="false" outlineLevel="0" collapsed="false">
      <c r="A2702" s="5" t="s">
        <v>562</v>
      </c>
      <c r="B2702" s="5" t="s">
        <v>50</v>
      </c>
      <c r="C2702" s="5" t="n">
        <v>2022</v>
      </c>
      <c r="D2702" s="5" t="s">
        <v>49</v>
      </c>
      <c r="E2702" s="5" t="s">
        <v>75</v>
      </c>
      <c r="F2702" s="5" t="s">
        <v>40</v>
      </c>
      <c r="G2702" s="6" t="n">
        <v>695</v>
      </c>
      <c r="H2702" s="6" t="n">
        <v>203</v>
      </c>
      <c r="I2702" s="7" t="n">
        <f aca="false">(G2702-H2702)/G2702</f>
        <v>0.707913669064748</v>
      </c>
      <c r="J2702" s="15" t="n">
        <v>0.143</v>
      </c>
      <c r="K2702" s="11" t="str">
        <f aca="false">IF(I2702&lt;J2702,"TAK","NIE")</f>
        <v>NIE</v>
      </c>
    </row>
    <row r="2703" customFormat="false" ht="15" hidden="false" customHeight="false" outlineLevel="0" collapsed="false">
      <c r="A2703" s="5" t="s">
        <v>565</v>
      </c>
      <c r="B2703" s="5" t="s">
        <v>50</v>
      </c>
      <c r="C2703" s="5" t="n">
        <v>2022</v>
      </c>
      <c r="D2703" s="5" t="s">
        <v>49</v>
      </c>
      <c r="E2703" s="5" t="s">
        <v>75</v>
      </c>
      <c r="F2703" s="5" t="s">
        <v>40</v>
      </c>
      <c r="G2703" s="6" t="n">
        <v>695</v>
      </c>
      <c r="H2703" s="6" t="n">
        <v>302</v>
      </c>
      <c r="I2703" s="7" t="n">
        <f aca="false">(G2703-H2703)/G2703</f>
        <v>0.565467625899281</v>
      </c>
      <c r="J2703" s="15" t="n">
        <v>0.143</v>
      </c>
      <c r="K2703" s="11" t="str">
        <f aca="false">IF(I2703&lt;J2703,"TAK","NIE")</f>
        <v>NIE</v>
      </c>
    </row>
    <row r="2704" customFormat="false" ht="15" hidden="false" customHeight="false" outlineLevel="0" collapsed="false">
      <c r="A2704" s="5" t="s">
        <v>566</v>
      </c>
      <c r="B2704" s="5" t="s">
        <v>50</v>
      </c>
      <c r="C2704" s="5" t="n">
        <v>2022</v>
      </c>
      <c r="D2704" s="5" t="s">
        <v>49</v>
      </c>
      <c r="E2704" s="5" t="s">
        <v>75</v>
      </c>
      <c r="F2704" s="5" t="s">
        <v>40</v>
      </c>
      <c r="G2704" s="6" t="n">
        <v>695</v>
      </c>
      <c r="H2704" s="6" t="n">
        <v>461</v>
      </c>
      <c r="I2704" s="7" t="n">
        <f aca="false">(G2704-H2704)/G2704</f>
        <v>0.336690647482014</v>
      </c>
      <c r="J2704" s="15" t="n">
        <v>0.143</v>
      </c>
      <c r="K2704" s="11" t="str">
        <f aca="false">IF(I2704&lt;J2704,"TAK","NIE")</f>
        <v>NIE</v>
      </c>
    </row>
    <row r="2705" customFormat="false" ht="15" hidden="false" customHeight="false" outlineLevel="0" collapsed="false">
      <c r="A2705" s="5" t="s">
        <v>567</v>
      </c>
      <c r="B2705" s="5" t="s">
        <v>50</v>
      </c>
      <c r="C2705" s="5" t="n">
        <v>2022</v>
      </c>
      <c r="D2705" s="5" t="s">
        <v>49</v>
      </c>
      <c r="E2705" s="5" t="s">
        <v>75</v>
      </c>
      <c r="F2705" s="5" t="s">
        <v>40</v>
      </c>
      <c r="G2705" s="6" t="n">
        <v>695</v>
      </c>
      <c r="H2705" s="6" t="n">
        <v>166</v>
      </c>
      <c r="I2705" s="7" t="n">
        <f aca="false">(G2705-H2705)/G2705</f>
        <v>0.761151079136691</v>
      </c>
      <c r="J2705" s="15" t="n">
        <v>0.143</v>
      </c>
      <c r="K2705" s="11" t="str">
        <f aca="false">IF(I2705&lt;J2705,"TAK","NIE")</f>
        <v>NIE</v>
      </c>
    </row>
    <row r="2706" customFormat="false" ht="15" hidden="false" customHeight="false" outlineLevel="0" collapsed="false">
      <c r="A2706" s="5" t="s">
        <v>572</v>
      </c>
      <c r="B2706" s="5" t="s">
        <v>50</v>
      </c>
      <c r="C2706" s="5" t="n">
        <v>2022</v>
      </c>
      <c r="D2706" s="5" t="s">
        <v>49</v>
      </c>
      <c r="E2706" s="5" t="s">
        <v>75</v>
      </c>
      <c r="F2706" s="5" t="s">
        <v>40</v>
      </c>
      <c r="G2706" s="6" t="n">
        <v>408</v>
      </c>
      <c r="H2706" s="6" t="n">
        <v>206</v>
      </c>
      <c r="I2706" s="7" t="n">
        <f aca="false">(G2706-H2706)/G2706</f>
        <v>0.495098039215686</v>
      </c>
      <c r="J2706" s="15" t="n">
        <v>0.143</v>
      </c>
      <c r="K2706" s="11" t="str">
        <f aca="false">IF(I2706&lt;J2706,"TAK","NIE")</f>
        <v>NIE</v>
      </c>
    </row>
    <row r="2707" customFormat="false" ht="15" hidden="false" customHeight="false" outlineLevel="0" collapsed="false">
      <c r="A2707" s="5" t="s">
        <v>573</v>
      </c>
      <c r="B2707" s="5" t="s">
        <v>74</v>
      </c>
      <c r="C2707" s="5" t="n">
        <v>2022</v>
      </c>
      <c r="D2707" s="5" t="s">
        <v>59</v>
      </c>
      <c r="E2707" s="5" t="s">
        <v>55</v>
      </c>
      <c r="F2707" s="5" t="s">
        <v>39</v>
      </c>
      <c r="G2707" s="6" t="n">
        <v>752</v>
      </c>
      <c r="H2707" s="6" t="n">
        <v>128</v>
      </c>
      <c r="I2707" s="7" t="n">
        <f aca="false">(G2707-H2707)/G2707</f>
        <v>0.829787234042553</v>
      </c>
      <c r="J2707" s="15" t="n">
        <v>0.7247</v>
      </c>
      <c r="K2707" s="11" t="str">
        <f aca="false">IF(I2707&lt;J2707,"TAK","NIE")</f>
        <v>NIE</v>
      </c>
    </row>
    <row r="2708" customFormat="false" ht="15" hidden="false" customHeight="false" outlineLevel="0" collapsed="false">
      <c r="A2708" s="5" t="s">
        <v>574</v>
      </c>
      <c r="B2708" s="5" t="s">
        <v>74</v>
      </c>
      <c r="C2708" s="5" t="n">
        <v>2022</v>
      </c>
      <c r="D2708" s="5" t="s">
        <v>59</v>
      </c>
      <c r="E2708" s="5" t="s">
        <v>55</v>
      </c>
      <c r="F2708" s="5" t="s">
        <v>39</v>
      </c>
      <c r="G2708" s="6" t="n">
        <v>753</v>
      </c>
      <c r="H2708" s="6" t="n">
        <v>90</v>
      </c>
      <c r="I2708" s="7" t="n">
        <f aca="false">(G2708-H2708)/G2708</f>
        <v>0.880478087649402</v>
      </c>
      <c r="J2708" s="15" t="n">
        <v>0.7247</v>
      </c>
      <c r="K2708" s="11" t="str">
        <f aca="false">IF(I2708&lt;J2708,"TAK","NIE")</f>
        <v>NIE</v>
      </c>
    </row>
    <row r="2709" customFormat="false" ht="15" hidden="false" customHeight="false" outlineLevel="0" collapsed="false">
      <c r="A2709" s="5" t="s">
        <v>575</v>
      </c>
      <c r="B2709" s="5" t="s">
        <v>74</v>
      </c>
      <c r="C2709" s="5" t="n">
        <v>2022</v>
      </c>
      <c r="D2709" s="5" t="s">
        <v>59</v>
      </c>
      <c r="E2709" s="5" t="s">
        <v>55</v>
      </c>
      <c r="F2709" s="5" t="s">
        <v>39</v>
      </c>
      <c r="G2709" s="6" t="n">
        <v>753</v>
      </c>
      <c r="H2709" s="6" t="n">
        <v>131</v>
      </c>
      <c r="I2709" s="7" t="n">
        <f aca="false">(G2709-H2709)/G2709</f>
        <v>0.826029216467464</v>
      </c>
      <c r="J2709" s="15" t="n">
        <v>0.7247</v>
      </c>
      <c r="K2709" s="11" t="str">
        <f aca="false">IF(I2709&lt;J2709,"TAK","NIE")</f>
        <v>NIE</v>
      </c>
    </row>
    <row r="2710" customFormat="false" ht="15" hidden="false" customHeight="false" outlineLevel="0" collapsed="false">
      <c r="A2710" s="5" t="s">
        <v>576</v>
      </c>
      <c r="B2710" s="5" t="s">
        <v>74</v>
      </c>
      <c r="C2710" s="5" t="n">
        <v>2022</v>
      </c>
      <c r="D2710" s="5" t="s">
        <v>59</v>
      </c>
      <c r="E2710" s="5" t="s">
        <v>55</v>
      </c>
      <c r="F2710" s="5" t="s">
        <v>39</v>
      </c>
      <c r="G2710" s="6" t="n">
        <v>753</v>
      </c>
      <c r="H2710" s="6" t="n">
        <v>123</v>
      </c>
      <c r="I2710" s="7" t="n">
        <f aca="false">(G2710-H2710)/G2710</f>
        <v>0.836653386454183</v>
      </c>
      <c r="J2710" s="15" t="n">
        <v>0.7247</v>
      </c>
      <c r="K2710" s="11" t="str">
        <f aca="false">IF(I2710&lt;J2710,"TAK","NIE")</f>
        <v>NIE</v>
      </c>
    </row>
    <row r="2711" customFormat="false" ht="15" hidden="false" customHeight="false" outlineLevel="0" collapsed="false">
      <c r="A2711" s="5" t="s">
        <v>577</v>
      </c>
      <c r="B2711" s="5" t="s">
        <v>74</v>
      </c>
      <c r="C2711" s="5" t="n">
        <v>2022</v>
      </c>
      <c r="D2711" s="5" t="s">
        <v>59</v>
      </c>
      <c r="E2711" s="5" t="s">
        <v>55</v>
      </c>
      <c r="F2711" s="5" t="s">
        <v>39</v>
      </c>
      <c r="G2711" s="6" t="n">
        <v>753</v>
      </c>
      <c r="H2711" s="6" t="n">
        <v>115</v>
      </c>
      <c r="I2711" s="7" t="n">
        <f aca="false">(G2711-H2711)/G2711</f>
        <v>0.847277556440903</v>
      </c>
      <c r="J2711" s="15" t="n">
        <v>0.7247</v>
      </c>
      <c r="K2711" s="11" t="str">
        <f aca="false">IF(I2711&lt;J2711,"TAK","NIE")</f>
        <v>NIE</v>
      </c>
    </row>
    <row r="2712" customFormat="false" ht="15" hidden="false" customHeight="false" outlineLevel="0" collapsed="false">
      <c r="A2712" s="5" t="s">
        <v>578</v>
      </c>
      <c r="B2712" s="5" t="s">
        <v>74</v>
      </c>
      <c r="C2712" s="5" t="n">
        <v>2022</v>
      </c>
      <c r="D2712" s="5" t="s">
        <v>59</v>
      </c>
      <c r="E2712" s="5" t="s">
        <v>55</v>
      </c>
      <c r="F2712" s="5" t="s">
        <v>39</v>
      </c>
      <c r="G2712" s="6" t="n">
        <v>753</v>
      </c>
      <c r="H2712" s="6" t="n">
        <v>146</v>
      </c>
      <c r="I2712" s="7" t="n">
        <f aca="false">(G2712-H2712)/G2712</f>
        <v>0.806108897742364</v>
      </c>
      <c r="J2712" s="15" t="n">
        <v>0.7247</v>
      </c>
      <c r="K2712" s="11" t="str">
        <f aca="false">IF(I2712&lt;J2712,"TAK","NIE")</f>
        <v>NIE</v>
      </c>
    </row>
    <row r="2713" customFormat="false" ht="15" hidden="false" customHeight="false" outlineLevel="0" collapsed="false">
      <c r="A2713" s="5" t="s">
        <v>579</v>
      </c>
      <c r="B2713" s="5" t="s">
        <v>74</v>
      </c>
      <c r="C2713" s="5" t="n">
        <v>2022</v>
      </c>
      <c r="D2713" s="5" t="s">
        <v>59</v>
      </c>
      <c r="E2713" s="5" t="s">
        <v>55</v>
      </c>
      <c r="F2713" s="5" t="s">
        <v>39</v>
      </c>
      <c r="G2713" s="6" t="n">
        <v>752</v>
      </c>
      <c r="H2713" s="6" t="n">
        <v>81</v>
      </c>
      <c r="I2713" s="7" t="n">
        <f aca="false">(G2713-H2713)/G2713</f>
        <v>0.892287234042553</v>
      </c>
      <c r="J2713" s="15" t="n">
        <v>0.7247</v>
      </c>
      <c r="K2713" s="11" t="str">
        <f aca="false">IF(I2713&lt;J2713,"TAK","NIE")</f>
        <v>NIE</v>
      </c>
    </row>
    <row r="2714" customFormat="false" ht="15" hidden="false" customHeight="false" outlineLevel="0" collapsed="false">
      <c r="A2714" s="5" t="s">
        <v>580</v>
      </c>
      <c r="B2714" s="5" t="s">
        <v>74</v>
      </c>
      <c r="C2714" s="5" t="n">
        <v>2022</v>
      </c>
      <c r="D2714" s="5" t="s">
        <v>59</v>
      </c>
      <c r="E2714" s="5" t="s">
        <v>55</v>
      </c>
      <c r="F2714" s="5" t="s">
        <v>39</v>
      </c>
      <c r="G2714" s="6" t="n">
        <v>752</v>
      </c>
      <c r="H2714" s="6" t="n">
        <v>95</v>
      </c>
      <c r="I2714" s="7" t="n">
        <f aca="false">(G2714-H2714)/G2714</f>
        <v>0.873670212765958</v>
      </c>
      <c r="J2714" s="15" t="n">
        <v>0.7247</v>
      </c>
      <c r="K2714" s="11" t="str">
        <f aca="false">IF(I2714&lt;J2714,"TAK","NIE")</f>
        <v>NIE</v>
      </c>
    </row>
    <row r="2715" customFormat="false" ht="15" hidden="false" customHeight="false" outlineLevel="0" collapsed="false">
      <c r="A2715" s="5" t="s">
        <v>581</v>
      </c>
      <c r="B2715" s="5" t="s">
        <v>74</v>
      </c>
      <c r="C2715" s="5" t="n">
        <v>2022</v>
      </c>
      <c r="D2715" s="5" t="s">
        <v>59</v>
      </c>
      <c r="E2715" s="5" t="s">
        <v>55</v>
      </c>
      <c r="F2715" s="5" t="s">
        <v>39</v>
      </c>
      <c r="G2715" s="6" t="n">
        <v>228</v>
      </c>
      <c r="H2715" s="6" t="n">
        <v>61</v>
      </c>
      <c r="I2715" s="7" t="n">
        <f aca="false">(G2715-H2715)/G2715</f>
        <v>0.732456140350877</v>
      </c>
      <c r="J2715" s="15" t="n">
        <v>0.7247</v>
      </c>
      <c r="K2715" s="11" t="str">
        <f aca="false">IF(I2715&lt;J2715,"TAK","NIE")</f>
        <v>NIE</v>
      </c>
    </row>
    <row r="2716" customFormat="false" ht="15" hidden="false" customHeight="false" outlineLevel="0" collapsed="false">
      <c r="A2716" s="5" t="s">
        <v>582</v>
      </c>
      <c r="B2716" s="5" t="s">
        <v>74</v>
      </c>
      <c r="C2716" s="5" t="n">
        <v>2022</v>
      </c>
      <c r="D2716" s="5" t="s">
        <v>59</v>
      </c>
      <c r="E2716" s="5" t="s">
        <v>55</v>
      </c>
      <c r="F2716" s="5" t="s">
        <v>39</v>
      </c>
      <c r="G2716" s="6" t="n">
        <v>753</v>
      </c>
      <c r="H2716" s="6" t="n">
        <v>88</v>
      </c>
      <c r="I2716" s="7" t="n">
        <f aca="false">(G2716-H2716)/G2716</f>
        <v>0.883134130146082</v>
      </c>
      <c r="J2716" s="15" t="n">
        <v>0.7247</v>
      </c>
      <c r="K2716" s="11" t="str">
        <f aca="false">IF(I2716&lt;J2716,"TAK","NIE")</f>
        <v>NIE</v>
      </c>
    </row>
    <row r="2717" customFormat="false" ht="15" hidden="false" customHeight="false" outlineLevel="0" collapsed="false">
      <c r="A2717" s="5" t="s">
        <v>583</v>
      </c>
      <c r="B2717" s="5" t="s">
        <v>74</v>
      </c>
      <c r="C2717" s="5" t="n">
        <v>2022</v>
      </c>
      <c r="D2717" s="5" t="s">
        <v>59</v>
      </c>
      <c r="E2717" s="5" t="s">
        <v>55</v>
      </c>
      <c r="F2717" s="5" t="s">
        <v>39</v>
      </c>
      <c r="G2717" s="6" t="n">
        <v>753</v>
      </c>
      <c r="H2717" s="6" t="n">
        <v>108</v>
      </c>
      <c r="I2717" s="7" t="n">
        <f aca="false">(G2717-H2717)/G2717</f>
        <v>0.856573705179283</v>
      </c>
      <c r="J2717" s="15" t="n">
        <v>0.7247</v>
      </c>
      <c r="K2717" s="11" t="str">
        <f aca="false">IF(I2717&lt;J2717,"TAK","NIE")</f>
        <v>NIE</v>
      </c>
    </row>
    <row r="2718" customFormat="false" ht="15" hidden="false" customHeight="false" outlineLevel="0" collapsed="false">
      <c r="A2718" s="5" t="s">
        <v>584</v>
      </c>
      <c r="B2718" s="5" t="s">
        <v>74</v>
      </c>
      <c r="C2718" s="5" t="n">
        <v>2022</v>
      </c>
      <c r="D2718" s="5" t="s">
        <v>59</v>
      </c>
      <c r="E2718" s="5" t="s">
        <v>55</v>
      </c>
      <c r="F2718" s="5" t="s">
        <v>39</v>
      </c>
      <c r="G2718" s="6" t="n">
        <v>753</v>
      </c>
      <c r="H2718" s="6" t="n">
        <v>127</v>
      </c>
      <c r="I2718" s="7" t="n">
        <f aca="false">(G2718-H2718)/G2718</f>
        <v>0.831341301460823</v>
      </c>
      <c r="J2718" s="15" t="n">
        <v>0.7247</v>
      </c>
      <c r="K2718" s="11" t="str">
        <f aca="false">IF(I2718&lt;J2718,"TAK","NIE")</f>
        <v>NIE</v>
      </c>
    </row>
    <row r="2719" customFormat="false" ht="15" hidden="false" customHeight="false" outlineLevel="0" collapsed="false">
      <c r="A2719" s="5" t="s">
        <v>585</v>
      </c>
      <c r="B2719" s="5" t="s">
        <v>74</v>
      </c>
      <c r="C2719" s="5" t="n">
        <v>2022</v>
      </c>
      <c r="D2719" s="5" t="s">
        <v>59</v>
      </c>
      <c r="E2719" s="5" t="s">
        <v>55</v>
      </c>
      <c r="F2719" s="5" t="s">
        <v>39</v>
      </c>
      <c r="G2719" s="6" t="n">
        <v>752</v>
      </c>
      <c r="H2719" s="6" t="n">
        <v>65</v>
      </c>
      <c r="I2719" s="7" t="n">
        <f aca="false">(G2719-H2719)/G2719</f>
        <v>0.913563829787234</v>
      </c>
      <c r="J2719" s="15" t="n">
        <v>0.7247</v>
      </c>
      <c r="K2719" s="11" t="str">
        <f aca="false">IF(I2719&lt;J2719,"TAK","NIE")</f>
        <v>NIE</v>
      </c>
    </row>
    <row r="2720" customFormat="false" ht="15" hidden="false" customHeight="false" outlineLevel="0" collapsed="false">
      <c r="A2720" s="5" t="s">
        <v>586</v>
      </c>
      <c r="B2720" s="5" t="s">
        <v>74</v>
      </c>
      <c r="C2720" s="5" t="n">
        <v>2022</v>
      </c>
      <c r="D2720" s="5" t="s">
        <v>59</v>
      </c>
      <c r="E2720" s="5" t="s">
        <v>55</v>
      </c>
      <c r="F2720" s="5" t="s">
        <v>39</v>
      </c>
      <c r="G2720" s="6" t="n">
        <v>752</v>
      </c>
      <c r="H2720" s="6" t="n">
        <v>160</v>
      </c>
      <c r="I2720" s="7" t="n">
        <f aca="false">(G2720-H2720)/G2720</f>
        <v>0.787234042553192</v>
      </c>
      <c r="J2720" s="15" t="n">
        <v>0.7247</v>
      </c>
      <c r="K2720" s="11" t="str">
        <f aca="false">IF(I2720&lt;J2720,"TAK","NIE")</f>
        <v>NIE</v>
      </c>
    </row>
    <row r="2721" customFormat="false" ht="15" hidden="false" customHeight="false" outlineLevel="0" collapsed="false">
      <c r="A2721" s="5" t="s">
        <v>587</v>
      </c>
      <c r="B2721" s="5" t="s">
        <v>74</v>
      </c>
      <c r="C2721" s="5" t="n">
        <v>2022</v>
      </c>
      <c r="D2721" s="5" t="s">
        <v>59</v>
      </c>
      <c r="E2721" s="5" t="s">
        <v>55</v>
      </c>
      <c r="F2721" s="5" t="s">
        <v>39</v>
      </c>
      <c r="G2721" s="6" t="n">
        <v>752</v>
      </c>
      <c r="H2721" s="6" t="n">
        <v>177</v>
      </c>
      <c r="I2721" s="7" t="n">
        <f aca="false">(G2721-H2721)/G2721</f>
        <v>0.764627659574468</v>
      </c>
      <c r="J2721" s="15" t="n">
        <v>0.7247</v>
      </c>
      <c r="K2721" s="11" t="str">
        <f aca="false">IF(I2721&lt;J2721,"TAK","NIE")</f>
        <v>NIE</v>
      </c>
    </row>
    <row r="2722" customFormat="false" ht="15" hidden="false" customHeight="false" outlineLevel="0" collapsed="false">
      <c r="A2722" s="5" t="s">
        <v>588</v>
      </c>
      <c r="B2722" s="5" t="s">
        <v>74</v>
      </c>
      <c r="C2722" s="5" t="n">
        <v>2022</v>
      </c>
      <c r="D2722" s="5" t="s">
        <v>59</v>
      </c>
      <c r="E2722" s="5" t="s">
        <v>55</v>
      </c>
      <c r="F2722" s="5" t="s">
        <v>39</v>
      </c>
      <c r="G2722" s="6" t="n">
        <v>752</v>
      </c>
      <c r="H2722" s="6" t="n">
        <v>127</v>
      </c>
      <c r="I2722" s="7" t="n">
        <f aca="false">(G2722-H2722)/G2722</f>
        <v>0.831117021276596</v>
      </c>
      <c r="J2722" s="15" t="n">
        <v>0.7247</v>
      </c>
      <c r="K2722" s="11" t="str">
        <f aca="false">IF(I2722&lt;J2722,"TAK","NIE")</f>
        <v>NIE</v>
      </c>
    </row>
    <row r="2723" customFormat="false" ht="15" hidden="false" customHeight="false" outlineLevel="0" collapsed="false">
      <c r="A2723" s="5" t="s">
        <v>589</v>
      </c>
      <c r="B2723" s="5" t="s">
        <v>74</v>
      </c>
      <c r="C2723" s="5" t="n">
        <v>2022</v>
      </c>
      <c r="D2723" s="5" t="s">
        <v>59</v>
      </c>
      <c r="E2723" s="5" t="s">
        <v>55</v>
      </c>
      <c r="F2723" s="5" t="s">
        <v>39</v>
      </c>
      <c r="G2723" s="6" t="n">
        <v>753</v>
      </c>
      <c r="H2723" s="6" t="n">
        <v>98</v>
      </c>
      <c r="I2723" s="7" t="n">
        <f aca="false">(G2723-H2723)/G2723</f>
        <v>0.869853917662683</v>
      </c>
      <c r="J2723" s="15" t="n">
        <v>0.7247</v>
      </c>
      <c r="K2723" s="11" t="str">
        <f aca="false">IF(I2723&lt;J2723,"TAK","NIE")</f>
        <v>NIE</v>
      </c>
    </row>
    <row r="2724" customFormat="false" ht="15" hidden="false" customHeight="false" outlineLevel="0" collapsed="false">
      <c r="A2724" s="5" t="s">
        <v>590</v>
      </c>
      <c r="B2724" s="5" t="s">
        <v>74</v>
      </c>
      <c r="C2724" s="5" t="n">
        <v>2022</v>
      </c>
      <c r="D2724" s="5" t="s">
        <v>59</v>
      </c>
      <c r="E2724" s="5" t="s">
        <v>55</v>
      </c>
      <c r="F2724" s="5" t="s">
        <v>39</v>
      </c>
      <c r="G2724" s="6" t="n">
        <v>752</v>
      </c>
      <c r="H2724" s="6" t="n">
        <v>19</v>
      </c>
      <c r="I2724" s="7" t="n">
        <f aca="false">(G2724-H2724)/G2724</f>
        <v>0.974734042553192</v>
      </c>
      <c r="J2724" s="15" t="n">
        <v>0.7247</v>
      </c>
      <c r="K2724" s="11" t="str">
        <f aca="false">IF(I2724&lt;J2724,"TAK","NIE")</f>
        <v>NIE</v>
      </c>
    </row>
    <row r="2725" customFormat="false" ht="15" hidden="false" customHeight="false" outlineLevel="0" collapsed="false">
      <c r="A2725" s="5" t="s">
        <v>591</v>
      </c>
      <c r="B2725" s="5" t="s">
        <v>74</v>
      </c>
      <c r="C2725" s="5" t="n">
        <v>2022</v>
      </c>
      <c r="D2725" s="5" t="s">
        <v>59</v>
      </c>
      <c r="E2725" s="5" t="s">
        <v>55</v>
      </c>
      <c r="F2725" s="5" t="s">
        <v>39</v>
      </c>
      <c r="G2725" s="6" t="n">
        <v>1506</v>
      </c>
      <c r="H2725" s="6" t="n">
        <v>113</v>
      </c>
      <c r="I2725" s="7" t="n">
        <f aca="false">(G2725-H2725)/G2725</f>
        <v>0.924966799468792</v>
      </c>
      <c r="J2725" s="15" t="n">
        <v>0.7247</v>
      </c>
      <c r="K2725" s="11" t="str">
        <f aca="false">IF(I2725&lt;J2725,"TAK","NIE")</f>
        <v>NIE</v>
      </c>
    </row>
    <row r="2726" customFormat="false" ht="15" hidden="false" customHeight="false" outlineLevel="0" collapsed="false">
      <c r="A2726" s="5" t="s">
        <v>592</v>
      </c>
      <c r="B2726" s="5" t="s">
        <v>74</v>
      </c>
      <c r="C2726" s="5" t="n">
        <v>2022</v>
      </c>
      <c r="D2726" s="5" t="s">
        <v>59</v>
      </c>
      <c r="E2726" s="5" t="s">
        <v>55</v>
      </c>
      <c r="F2726" s="5" t="s">
        <v>39</v>
      </c>
      <c r="G2726" s="6" t="n">
        <v>752</v>
      </c>
      <c r="H2726" s="6" t="n">
        <v>27</v>
      </c>
      <c r="I2726" s="7" t="n">
        <f aca="false">(G2726-H2726)/G2726</f>
        <v>0.964095744680851</v>
      </c>
      <c r="J2726" s="15" t="n">
        <v>0.7247</v>
      </c>
      <c r="K2726" s="11" t="str">
        <f aca="false">IF(I2726&lt;J2726,"TAK","NIE")</f>
        <v>NIE</v>
      </c>
    </row>
    <row r="2727" customFormat="false" ht="15" hidden="false" customHeight="false" outlineLevel="0" collapsed="false">
      <c r="A2727" s="5" t="s">
        <v>593</v>
      </c>
      <c r="B2727" s="5" t="s">
        <v>74</v>
      </c>
      <c r="C2727" s="5" t="n">
        <v>2022</v>
      </c>
      <c r="D2727" s="5" t="s">
        <v>59</v>
      </c>
      <c r="E2727" s="5" t="s">
        <v>55</v>
      </c>
      <c r="F2727" s="5" t="s">
        <v>39</v>
      </c>
      <c r="G2727" s="6" t="n">
        <v>753</v>
      </c>
      <c r="H2727" s="6" t="n">
        <v>100</v>
      </c>
      <c r="I2727" s="7" t="n">
        <f aca="false">(G2727-H2727)/G2727</f>
        <v>0.867197875166003</v>
      </c>
      <c r="J2727" s="15" t="n">
        <v>0.7247</v>
      </c>
      <c r="K2727" s="11" t="str">
        <f aca="false">IF(I2727&lt;J2727,"TAK","NIE")</f>
        <v>NIE</v>
      </c>
    </row>
    <row r="2728" customFormat="false" ht="15" hidden="false" customHeight="false" outlineLevel="0" collapsed="false">
      <c r="A2728" s="5" t="s">
        <v>594</v>
      </c>
      <c r="B2728" s="5" t="s">
        <v>74</v>
      </c>
      <c r="C2728" s="5" t="n">
        <v>2022</v>
      </c>
      <c r="D2728" s="5" t="s">
        <v>59</v>
      </c>
      <c r="E2728" s="5" t="s">
        <v>55</v>
      </c>
      <c r="F2728" s="5" t="s">
        <v>39</v>
      </c>
      <c r="G2728" s="6" t="n">
        <v>752</v>
      </c>
      <c r="H2728" s="6" t="n">
        <v>27</v>
      </c>
      <c r="I2728" s="7" t="n">
        <f aca="false">(G2728-H2728)/G2728</f>
        <v>0.964095744680851</v>
      </c>
      <c r="J2728" s="15" t="n">
        <v>0.7247</v>
      </c>
      <c r="K2728" s="11" t="str">
        <f aca="false">IF(I2728&lt;J2728,"TAK","NIE")</f>
        <v>NIE</v>
      </c>
    </row>
    <row r="2729" customFormat="false" ht="15" hidden="false" customHeight="false" outlineLevel="0" collapsed="false">
      <c r="A2729" s="5" t="s">
        <v>595</v>
      </c>
      <c r="B2729" s="5" t="s">
        <v>74</v>
      </c>
      <c r="C2729" s="5" t="n">
        <v>2022</v>
      </c>
      <c r="D2729" s="5" t="s">
        <v>59</v>
      </c>
      <c r="E2729" s="5" t="s">
        <v>55</v>
      </c>
      <c r="F2729" s="5" t="s">
        <v>39</v>
      </c>
      <c r="G2729" s="6" t="n">
        <v>752</v>
      </c>
      <c r="H2729" s="6" t="n">
        <v>68</v>
      </c>
      <c r="I2729" s="7" t="n">
        <f aca="false">(G2729-H2729)/G2729</f>
        <v>0.909574468085106</v>
      </c>
      <c r="J2729" s="15" t="n">
        <v>0.7247</v>
      </c>
      <c r="K2729" s="11" t="str">
        <f aca="false">IF(I2729&lt;J2729,"TAK","NIE")</f>
        <v>NIE</v>
      </c>
    </row>
    <row r="2730" customFormat="false" ht="15" hidden="false" customHeight="false" outlineLevel="0" collapsed="false">
      <c r="A2730" s="5" t="s">
        <v>573</v>
      </c>
      <c r="B2730" s="5" t="s">
        <v>74</v>
      </c>
      <c r="C2730" s="5" t="n">
        <v>2022</v>
      </c>
      <c r="D2730" s="5" t="s">
        <v>59</v>
      </c>
      <c r="E2730" s="5" t="s">
        <v>55</v>
      </c>
      <c r="F2730" s="5" t="s">
        <v>40</v>
      </c>
      <c r="G2730" s="6" t="n">
        <v>511</v>
      </c>
      <c r="H2730" s="6" t="n">
        <v>127</v>
      </c>
      <c r="I2730" s="7" t="n">
        <f aca="false">(G2730-H2730)/G2730</f>
        <v>0.75146771037182</v>
      </c>
      <c r="J2730" s="15" t="n">
        <v>0.515</v>
      </c>
      <c r="K2730" s="11" t="str">
        <f aca="false">IF(I2730&lt;J2730,"TAK","NIE")</f>
        <v>NIE</v>
      </c>
    </row>
    <row r="2731" customFormat="false" ht="15" hidden="false" customHeight="false" outlineLevel="0" collapsed="false">
      <c r="A2731" s="5" t="s">
        <v>574</v>
      </c>
      <c r="B2731" s="5" t="s">
        <v>74</v>
      </c>
      <c r="C2731" s="5" t="n">
        <v>2022</v>
      </c>
      <c r="D2731" s="5" t="s">
        <v>59</v>
      </c>
      <c r="E2731" s="5" t="s">
        <v>55</v>
      </c>
      <c r="F2731" s="5" t="s">
        <v>40</v>
      </c>
      <c r="G2731" s="6" t="n">
        <v>510</v>
      </c>
      <c r="H2731" s="6" t="n">
        <v>160</v>
      </c>
      <c r="I2731" s="7" t="n">
        <f aca="false">(G2731-H2731)/G2731</f>
        <v>0.686274509803922</v>
      </c>
      <c r="J2731" s="15" t="n">
        <v>0.515</v>
      </c>
      <c r="K2731" s="11" t="str">
        <f aca="false">IF(I2731&lt;J2731,"TAK","NIE")</f>
        <v>NIE</v>
      </c>
    </row>
    <row r="2732" customFormat="false" ht="15" hidden="false" customHeight="false" outlineLevel="0" collapsed="false">
      <c r="A2732" s="5" t="s">
        <v>575</v>
      </c>
      <c r="B2732" s="5" t="s">
        <v>74</v>
      </c>
      <c r="C2732" s="5" t="n">
        <v>2022</v>
      </c>
      <c r="D2732" s="5" t="s">
        <v>59</v>
      </c>
      <c r="E2732" s="5" t="s">
        <v>55</v>
      </c>
      <c r="F2732" s="5" t="s">
        <v>40</v>
      </c>
      <c r="G2732" s="6" t="n">
        <v>510</v>
      </c>
      <c r="H2732" s="6" t="n">
        <v>170</v>
      </c>
      <c r="I2732" s="7" t="n">
        <f aca="false">(G2732-H2732)/G2732</f>
        <v>0.666666666666667</v>
      </c>
      <c r="J2732" s="15" t="n">
        <v>0.515</v>
      </c>
      <c r="K2732" s="11" t="str">
        <f aca="false">IF(I2732&lt;J2732,"TAK","NIE")</f>
        <v>NIE</v>
      </c>
    </row>
    <row r="2733" customFormat="false" ht="15" hidden="false" customHeight="false" outlineLevel="0" collapsed="false">
      <c r="A2733" s="5" t="s">
        <v>576</v>
      </c>
      <c r="B2733" s="5" t="s">
        <v>74</v>
      </c>
      <c r="C2733" s="5" t="n">
        <v>2022</v>
      </c>
      <c r="D2733" s="5" t="s">
        <v>59</v>
      </c>
      <c r="E2733" s="5" t="s">
        <v>55</v>
      </c>
      <c r="F2733" s="5" t="s">
        <v>40</v>
      </c>
      <c r="G2733" s="6" t="n">
        <v>510</v>
      </c>
      <c r="H2733" s="6" t="n">
        <v>133</v>
      </c>
      <c r="I2733" s="7" t="n">
        <f aca="false">(G2733-H2733)/G2733</f>
        <v>0.73921568627451</v>
      </c>
      <c r="J2733" s="15" t="n">
        <v>0.515</v>
      </c>
      <c r="K2733" s="11" t="str">
        <f aca="false">IF(I2733&lt;J2733,"TAK","NIE")</f>
        <v>NIE</v>
      </c>
    </row>
    <row r="2734" customFormat="false" ht="15" hidden="false" customHeight="false" outlineLevel="0" collapsed="false">
      <c r="A2734" s="5" t="s">
        <v>577</v>
      </c>
      <c r="B2734" s="5" t="s">
        <v>74</v>
      </c>
      <c r="C2734" s="5" t="n">
        <v>2022</v>
      </c>
      <c r="D2734" s="5" t="s">
        <v>59</v>
      </c>
      <c r="E2734" s="5" t="s">
        <v>55</v>
      </c>
      <c r="F2734" s="5" t="s">
        <v>40</v>
      </c>
      <c r="G2734" s="6" t="n">
        <v>403</v>
      </c>
      <c r="H2734" s="6" t="n">
        <v>117</v>
      </c>
      <c r="I2734" s="7" t="n">
        <f aca="false">(G2734-H2734)/G2734</f>
        <v>0.709677419354839</v>
      </c>
      <c r="J2734" s="15" t="n">
        <v>0.515</v>
      </c>
      <c r="K2734" s="11" t="str">
        <f aca="false">IF(I2734&lt;J2734,"TAK","NIE")</f>
        <v>NIE</v>
      </c>
    </row>
    <row r="2735" customFormat="false" ht="15" hidden="false" customHeight="false" outlineLevel="0" collapsed="false">
      <c r="A2735" s="5" t="s">
        <v>578</v>
      </c>
      <c r="B2735" s="5" t="s">
        <v>74</v>
      </c>
      <c r="C2735" s="5" t="n">
        <v>2022</v>
      </c>
      <c r="D2735" s="5" t="s">
        <v>59</v>
      </c>
      <c r="E2735" s="5" t="s">
        <v>55</v>
      </c>
      <c r="F2735" s="5" t="s">
        <v>40</v>
      </c>
      <c r="G2735" s="6" t="n">
        <v>510</v>
      </c>
      <c r="H2735" s="6" t="n">
        <v>172</v>
      </c>
      <c r="I2735" s="7" t="n">
        <f aca="false">(G2735-H2735)/G2735</f>
        <v>0.662745098039216</v>
      </c>
      <c r="J2735" s="15" t="n">
        <v>0.515</v>
      </c>
      <c r="K2735" s="11" t="str">
        <f aca="false">IF(I2735&lt;J2735,"TAK","NIE")</f>
        <v>NIE</v>
      </c>
    </row>
    <row r="2736" customFormat="false" ht="15" hidden="false" customHeight="false" outlineLevel="0" collapsed="false">
      <c r="A2736" s="5" t="s">
        <v>579</v>
      </c>
      <c r="B2736" s="5" t="s">
        <v>74</v>
      </c>
      <c r="C2736" s="5" t="n">
        <v>2022</v>
      </c>
      <c r="D2736" s="5" t="s">
        <v>59</v>
      </c>
      <c r="E2736" s="5" t="s">
        <v>55</v>
      </c>
      <c r="F2736" s="5" t="s">
        <v>40</v>
      </c>
      <c r="G2736" s="6" t="n">
        <v>511</v>
      </c>
      <c r="H2736" s="6" t="n">
        <v>122</v>
      </c>
      <c r="I2736" s="7" t="n">
        <f aca="false">(G2736-H2736)/G2736</f>
        <v>0.761252446183953</v>
      </c>
      <c r="J2736" s="15" t="n">
        <v>0.515</v>
      </c>
      <c r="K2736" s="11" t="str">
        <f aca="false">IF(I2736&lt;J2736,"TAK","NIE")</f>
        <v>NIE</v>
      </c>
    </row>
    <row r="2737" customFormat="false" ht="15" hidden="false" customHeight="false" outlineLevel="0" collapsed="false">
      <c r="A2737" s="5" t="s">
        <v>580</v>
      </c>
      <c r="B2737" s="5" t="s">
        <v>74</v>
      </c>
      <c r="C2737" s="5" t="n">
        <v>2022</v>
      </c>
      <c r="D2737" s="5" t="s">
        <v>59</v>
      </c>
      <c r="E2737" s="5" t="s">
        <v>55</v>
      </c>
      <c r="F2737" s="5" t="s">
        <v>40</v>
      </c>
      <c r="G2737" s="6" t="n">
        <v>511</v>
      </c>
      <c r="H2737" s="6" t="n">
        <v>158</v>
      </c>
      <c r="I2737" s="7" t="n">
        <f aca="false">(G2737-H2737)/G2737</f>
        <v>0.690802348336595</v>
      </c>
      <c r="J2737" s="15" t="n">
        <v>0.515</v>
      </c>
      <c r="K2737" s="11" t="str">
        <f aca="false">IF(I2737&lt;J2737,"TAK","NIE")</f>
        <v>NIE</v>
      </c>
    </row>
    <row r="2738" customFormat="false" ht="15" hidden="false" customHeight="false" outlineLevel="0" collapsed="false">
      <c r="A2738" s="5" t="s">
        <v>581</v>
      </c>
      <c r="B2738" s="5" t="s">
        <v>74</v>
      </c>
      <c r="C2738" s="5" t="n">
        <v>2022</v>
      </c>
      <c r="D2738" s="5" t="s">
        <v>59</v>
      </c>
      <c r="E2738" s="5" t="s">
        <v>55</v>
      </c>
      <c r="F2738" s="5" t="s">
        <v>40</v>
      </c>
      <c r="G2738" s="6" t="n">
        <v>511</v>
      </c>
      <c r="H2738" s="6" t="n">
        <v>99</v>
      </c>
      <c r="I2738" s="7" t="n">
        <f aca="false">(G2738-H2738)/G2738</f>
        <v>0.806262230919765</v>
      </c>
      <c r="J2738" s="15" t="n">
        <v>0.515</v>
      </c>
      <c r="K2738" s="11" t="str">
        <f aca="false">IF(I2738&lt;J2738,"TAK","NIE")</f>
        <v>NIE</v>
      </c>
    </row>
    <row r="2739" customFormat="false" ht="15" hidden="false" customHeight="false" outlineLevel="0" collapsed="false">
      <c r="A2739" s="5" t="s">
        <v>582</v>
      </c>
      <c r="B2739" s="5" t="s">
        <v>74</v>
      </c>
      <c r="C2739" s="5" t="n">
        <v>2022</v>
      </c>
      <c r="D2739" s="5" t="s">
        <v>59</v>
      </c>
      <c r="E2739" s="5" t="s">
        <v>55</v>
      </c>
      <c r="F2739" s="5" t="s">
        <v>40</v>
      </c>
      <c r="G2739" s="6" t="n">
        <v>510</v>
      </c>
      <c r="H2739" s="6" t="n">
        <v>105</v>
      </c>
      <c r="I2739" s="7" t="n">
        <f aca="false">(G2739-H2739)/G2739</f>
        <v>0.794117647058824</v>
      </c>
      <c r="J2739" s="15" t="n">
        <v>0.515</v>
      </c>
      <c r="K2739" s="11" t="str">
        <f aca="false">IF(I2739&lt;J2739,"TAK","NIE")</f>
        <v>NIE</v>
      </c>
    </row>
    <row r="2740" customFormat="false" ht="15" hidden="false" customHeight="false" outlineLevel="0" collapsed="false">
      <c r="A2740" s="5" t="s">
        <v>583</v>
      </c>
      <c r="B2740" s="5" t="s">
        <v>74</v>
      </c>
      <c r="C2740" s="5" t="n">
        <v>2022</v>
      </c>
      <c r="D2740" s="5" t="s">
        <v>59</v>
      </c>
      <c r="E2740" s="5" t="s">
        <v>55</v>
      </c>
      <c r="F2740" s="5" t="s">
        <v>40</v>
      </c>
      <c r="G2740" s="6" t="n">
        <v>510</v>
      </c>
      <c r="H2740" s="6" t="n">
        <v>141</v>
      </c>
      <c r="I2740" s="7" t="n">
        <f aca="false">(G2740-H2740)/G2740</f>
        <v>0.723529411764706</v>
      </c>
      <c r="J2740" s="15" t="n">
        <v>0.515</v>
      </c>
      <c r="K2740" s="11" t="str">
        <f aca="false">IF(I2740&lt;J2740,"TAK","NIE")</f>
        <v>NIE</v>
      </c>
    </row>
    <row r="2741" customFormat="false" ht="15" hidden="false" customHeight="false" outlineLevel="0" collapsed="false">
      <c r="A2741" s="5" t="s">
        <v>584</v>
      </c>
      <c r="B2741" s="5" t="s">
        <v>74</v>
      </c>
      <c r="C2741" s="5" t="n">
        <v>2022</v>
      </c>
      <c r="D2741" s="5" t="s">
        <v>59</v>
      </c>
      <c r="E2741" s="5" t="s">
        <v>55</v>
      </c>
      <c r="F2741" s="5" t="s">
        <v>40</v>
      </c>
      <c r="G2741" s="6" t="n">
        <v>510</v>
      </c>
      <c r="H2741" s="6" t="n">
        <v>134</v>
      </c>
      <c r="I2741" s="7" t="n">
        <f aca="false">(G2741-H2741)/G2741</f>
        <v>0.737254901960784</v>
      </c>
      <c r="J2741" s="15" t="n">
        <v>0.515</v>
      </c>
      <c r="K2741" s="11" t="str">
        <f aca="false">IF(I2741&lt;J2741,"TAK","NIE")</f>
        <v>NIE</v>
      </c>
    </row>
    <row r="2742" customFormat="false" ht="15" hidden="false" customHeight="false" outlineLevel="0" collapsed="false">
      <c r="A2742" s="5" t="s">
        <v>585</v>
      </c>
      <c r="B2742" s="5" t="s">
        <v>74</v>
      </c>
      <c r="C2742" s="5" t="n">
        <v>2022</v>
      </c>
      <c r="D2742" s="5" t="s">
        <v>59</v>
      </c>
      <c r="E2742" s="5" t="s">
        <v>55</v>
      </c>
      <c r="F2742" s="5" t="s">
        <v>40</v>
      </c>
      <c r="G2742" s="6" t="n">
        <v>511</v>
      </c>
      <c r="H2742" s="6" t="n">
        <v>95</v>
      </c>
      <c r="I2742" s="7" t="n">
        <f aca="false">(G2742-H2742)/G2742</f>
        <v>0.814090019569472</v>
      </c>
      <c r="J2742" s="15" t="n">
        <v>0.515</v>
      </c>
      <c r="K2742" s="11" t="str">
        <f aca="false">IF(I2742&lt;J2742,"TAK","NIE")</f>
        <v>NIE</v>
      </c>
    </row>
    <row r="2743" customFormat="false" ht="15" hidden="false" customHeight="false" outlineLevel="0" collapsed="false">
      <c r="A2743" s="5" t="s">
        <v>586</v>
      </c>
      <c r="B2743" s="5" t="s">
        <v>74</v>
      </c>
      <c r="C2743" s="5" t="n">
        <v>2022</v>
      </c>
      <c r="D2743" s="5" t="s">
        <v>59</v>
      </c>
      <c r="E2743" s="5" t="s">
        <v>55</v>
      </c>
      <c r="F2743" s="5" t="s">
        <v>40</v>
      </c>
      <c r="G2743" s="6" t="n">
        <v>511</v>
      </c>
      <c r="H2743" s="6" t="n">
        <v>133</v>
      </c>
      <c r="I2743" s="7" t="n">
        <f aca="false">(G2743-H2743)/G2743</f>
        <v>0.73972602739726</v>
      </c>
      <c r="J2743" s="15" t="n">
        <v>0.515</v>
      </c>
      <c r="K2743" s="11" t="str">
        <f aca="false">IF(I2743&lt;J2743,"TAK","NIE")</f>
        <v>NIE</v>
      </c>
    </row>
    <row r="2744" customFormat="false" ht="15" hidden="false" customHeight="false" outlineLevel="0" collapsed="false">
      <c r="A2744" s="5" t="s">
        <v>587</v>
      </c>
      <c r="B2744" s="5" t="s">
        <v>74</v>
      </c>
      <c r="C2744" s="5" t="n">
        <v>2022</v>
      </c>
      <c r="D2744" s="5" t="s">
        <v>59</v>
      </c>
      <c r="E2744" s="5" t="s">
        <v>55</v>
      </c>
      <c r="F2744" s="5" t="s">
        <v>40</v>
      </c>
      <c r="G2744" s="6" t="n">
        <v>511</v>
      </c>
      <c r="H2744" s="6" t="n">
        <v>157</v>
      </c>
      <c r="I2744" s="7" t="n">
        <f aca="false">(G2744-H2744)/G2744</f>
        <v>0.692759295499022</v>
      </c>
      <c r="J2744" s="15" t="n">
        <v>0.515</v>
      </c>
      <c r="K2744" s="11" t="str">
        <f aca="false">IF(I2744&lt;J2744,"TAK","NIE")</f>
        <v>NIE</v>
      </c>
    </row>
    <row r="2745" customFormat="false" ht="15" hidden="false" customHeight="false" outlineLevel="0" collapsed="false">
      <c r="A2745" s="5" t="s">
        <v>588</v>
      </c>
      <c r="B2745" s="5" t="s">
        <v>74</v>
      </c>
      <c r="C2745" s="5" t="n">
        <v>2022</v>
      </c>
      <c r="D2745" s="5" t="s">
        <v>59</v>
      </c>
      <c r="E2745" s="5" t="s">
        <v>55</v>
      </c>
      <c r="F2745" s="5" t="s">
        <v>40</v>
      </c>
      <c r="G2745" s="6" t="n">
        <v>511</v>
      </c>
      <c r="H2745" s="6" t="n">
        <v>216</v>
      </c>
      <c r="I2745" s="7" t="n">
        <f aca="false">(G2745-H2745)/G2745</f>
        <v>0.577299412915851</v>
      </c>
      <c r="J2745" s="15" t="n">
        <v>0.515</v>
      </c>
      <c r="K2745" s="11" t="str">
        <f aca="false">IF(I2745&lt;J2745,"TAK","NIE")</f>
        <v>NIE</v>
      </c>
    </row>
    <row r="2746" customFormat="false" ht="15" hidden="false" customHeight="false" outlineLevel="0" collapsed="false">
      <c r="A2746" s="5" t="s">
        <v>589</v>
      </c>
      <c r="B2746" s="5" t="s">
        <v>74</v>
      </c>
      <c r="C2746" s="5" t="n">
        <v>2022</v>
      </c>
      <c r="D2746" s="5" t="s">
        <v>59</v>
      </c>
      <c r="E2746" s="5" t="s">
        <v>55</v>
      </c>
      <c r="F2746" s="5" t="s">
        <v>40</v>
      </c>
      <c r="G2746" s="6" t="n">
        <v>510</v>
      </c>
      <c r="H2746" s="6" t="n">
        <v>76</v>
      </c>
      <c r="I2746" s="7" t="n">
        <f aca="false">(G2746-H2746)/G2746</f>
        <v>0.850980392156863</v>
      </c>
      <c r="J2746" s="15" t="n">
        <v>0.515</v>
      </c>
      <c r="K2746" s="11" t="str">
        <f aca="false">IF(I2746&lt;J2746,"TAK","NIE")</f>
        <v>NIE</v>
      </c>
    </row>
    <row r="2747" customFormat="false" ht="15" hidden="false" customHeight="false" outlineLevel="0" collapsed="false">
      <c r="A2747" s="5" t="s">
        <v>590</v>
      </c>
      <c r="B2747" s="5" t="s">
        <v>74</v>
      </c>
      <c r="C2747" s="5" t="n">
        <v>2022</v>
      </c>
      <c r="D2747" s="5" t="s">
        <v>59</v>
      </c>
      <c r="E2747" s="5" t="s">
        <v>55</v>
      </c>
      <c r="F2747" s="5" t="s">
        <v>40</v>
      </c>
      <c r="G2747" s="6" t="n">
        <v>511</v>
      </c>
      <c r="H2747" s="6" t="n">
        <v>50</v>
      </c>
      <c r="I2747" s="7" t="n">
        <f aca="false">(G2747-H2747)/G2747</f>
        <v>0.902152641878669</v>
      </c>
      <c r="J2747" s="15" t="n">
        <v>0.515</v>
      </c>
      <c r="K2747" s="11" t="str">
        <f aca="false">IF(I2747&lt;J2747,"TAK","NIE")</f>
        <v>NIE</v>
      </c>
    </row>
    <row r="2748" customFormat="false" ht="15" hidden="false" customHeight="false" outlineLevel="0" collapsed="false">
      <c r="A2748" s="5" t="s">
        <v>591</v>
      </c>
      <c r="B2748" s="5" t="s">
        <v>74</v>
      </c>
      <c r="C2748" s="5" t="n">
        <v>2022</v>
      </c>
      <c r="D2748" s="5" t="s">
        <v>59</v>
      </c>
      <c r="E2748" s="5" t="s">
        <v>55</v>
      </c>
      <c r="F2748" s="5" t="s">
        <v>40</v>
      </c>
      <c r="G2748" s="6" t="n">
        <v>1020</v>
      </c>
      <c r="H2748" s="6" t="n">
        <v>177</v>
      </c>
      <c r="I2748" s="7" t="n">
        <f aca="false">(G2748-H2748)/G2748</f>
        <v>0.826470588235294</v>
      </c>
      <c r="J2748" s="15" t="n">
        <v>0.515</v>
      </c>
      <c r="K2748" s="11" t="str">
        <f aca="false">IF(I2748&lt;J2748,"TAK","NIE")</f>
        <v>NIE</v>
      </c>
    </row>
    <row r="2749" customFormat="false" ht="15" hidden="false" customHeight="false" outlineLevel="0" collapsed="false">
      <c r="A2749" s="5" t="s">
        <v>592</v>
      </c>
      <c r="B2749" s="5" t="s">
        <v>74</v>
      </c>
      <c r="C2749" s="5" t="n">
        <v>2022</v>
      </c>
      <c r="D2749" s="5" t="s">
        <v>59</v>
      </c>
      <c r="E2749" s="5" t="s">
        <v>55</v>
      </c>
      <c r="F2749" s="5" t="s">
        <v>40</v>
      </c>
      <c r="G2749" s="6" t="n">
        <v>511</v>
      </c>
      <c r="H2749" s="6" t="n">
        <v>129</v>
      </c>
      <c r="I2749" s="7" t="n">
        <f aca="false">(G2749-H2749)/G2749</f>
        <v>0.747553816046967</v>
      </c>
      <c r="J2749" s="15" t="n">
        <v>0.515</v>
      </c>
      <c r="K2749" s="11" t="str">
        <f aca="false">IF(I2749&lt;J2749,"TAK","NIE")</f>
        <v>NIE</v>
      </c>
    </row>
    <row r="2750" customFormat="false" ht="15" hidden="false" customHeight="false" outlineLevel="0" collapsed="false">
      <c r="A2750" s="5" t="s">
        <v>593</v>
      </c>
      <c r="B2750" s="5" t="s">
        <v>74</v>
      </c>
      <c r="C2750" s="5" t="n">
        <v>2022</v>
      </c>
      <c r="D2750" s="5" t="s">
        <v>59</v>
      </c>
      <c r="E2750" s="5" t="s">
        <v>55</v>
      </c>
      <c r="F2750" s="5" t="s">
        <v>40</v>
      </c>
      <c r="G2750" s="6" t="n">
        <v>510</v>
      </c>
      <c r="H2750" s="6" t="n">
        <v>186</v>
      </c>
      <c r="I2750" s="7" t="n">
        <f aca="false">(G2750-H2750)/G2750</f>
        <v>0.635294117647059</v>
      </c>
      <c r="J2750" s="15" t="n">
        <v>0.515</v>
      </c>
      <c r="K2750" s="11" t="str">
        <f aca="false">IF(I2750&lt;J2750,"TAK","NIE")</f>
        <v>NIE</v>
      </c>
    </row>
    <row r="2751" customFormat="false" ht="15" hidden="false" customHeight="false" outlineLevel="0" collapsed="false">
      <c r="A2751" s="5" t="s">
        <v>594</v>
      </c>
      <c r="B2751" s="5" t="s">
        <v>74</v>
      </c>
      <c r="C2751" s="5" t="n">
        <v>2022</v>
      </c>
      <c r="D2751" s="5" t="s">
        <v>59</v>
      </c>
      <c r="E2751" s="5" t="s">
        <v>55</v>
      </c>
      <c r="F2751" s="5" t="s">
        <v>40</v>
      </c>
      <c r="G2751" s="6" t="n">
        <v>511</v>
      </c>
      <c r="H2751" s="6" t="n">
        <v>66</v>
      </c>
      <c r="I2751" s="7" t="n">
        <f aca="false">(G2751-H2751)/G2751</f>
        <v>0.870841487279844</v>
      </c>
      <c r="J2751" s="15" t="n">
        <v>0.515</v>
      </c>
      <c r="K2751" s="11" t="str">
        <f aca="false">IF(I2751&lt;J2751,"TAK","NIE")</f>
        <v>NIE</v>
      </c>
    </row>
    <row r="2752" customFormat="false" ht="15" hidden="false" customHeight="false" outlineLevel="0" collapsed="false">
      <c r="A2752" s="5" t="s">
        <v>595</v>
      </c>
      <c r="B2752" s="5" t="s">
        <v>74</v>
      </c>
      <c r="C2752" s="5" t="n">
        <v>2022</v>
      </c>
      <c r="D2752" s="5" t="s">
        <v>59</v>
      </c>
      <c r="E2752" s="5" t="s">
        <v>55</v>
      </c>
      <c r="F2752" s="5" t="s">
        <v>40</v>
      </c>
      <c r="G2752" s="6" t="n">
        <v>511</v>
      </c>
      <c r="H2752" s="6" t="n">
        <v>56</v>
      </c>
      <c r="I2752" s="7" t="n">
        <f aca="false">(G2752-H2752)/G2752</f>
        <v>0.89041095890411</v>
      </c>
      <c r="J2752" s="15" t="n">
        <v>0.515</v>
      </c>
      <c r="K2752" s="11" t="str">
        <f aca="false">IF(I2752&lt;J2752,"TAK","NIE")</f>
        <v>NIE</v>
      </c>
    </row>
    <row r="2753" customFormat="false" ht="15" hidden="false" customHeight="false" outlineLevel="0" collapsed="false">
      <c r="A2753" s="5" t="s">
        <v>573</v>
      </c>
      <c r="B2753" s="5" t="s">
        <v>58</v>
      </c>
      <c r="C2753" s="5" t="n">
        <v>2022</v>
      </c>
      <c r="D2753" s="5" t="s">
        <v>59</v>
      </c>
      <c r="E2753" s="5" t="s">
        <v>57</v>
      </c>
      <c r="F2753" s="5" t="s">
        <v>39</v>
      </c>
      <c r="G2753" s="6" t="n">
        <v>652</v>
      </c>
      <c r="H2753" s="6" t="n">
        <v>151</v>
      </c>
      <c r="I2753" s="7" t="n">
        <f aca="false">(G2753-H2753)/G2753</f>
        <v>0.76840490797546</v>
      </c>
      <c r="J2753" s="15" t="n">
        <v>0.5091</v>
      </c>
      <c r="K2753" s="11" t="str">
        <f aca="false">IF(I2753&lt;J2753,"TAK","NIE")</f>
        <v>NIE</v>
      </c>
    </row>
    <row r="2754" customFormat="false" ht="15" hidden="false" customHeight="false" outlineLevel="0" collapsed="false">
      <c r="A2754" s="5" t="s">
        <v>574</v>
      </c>
      <c r="B2754" s="5" t="s">
        <v>58</v>
      </c>
      <c r="C2754" s="5" t="n">
        <v>2022</v>
      </c>
      <c r="D2754" s="5" t="s">
        <v>59</v>
      </c>
      <c r="E2754" s="5" t="s">
        <v>57</v>
      </c>
      <c r="F2754" s="5" t="s">
        <v>39</v>
      </c>
      <c r="G2754" s="6" t="n">
        <v>652</v>
      </c>
      <c r="H2754" s="6" t="n">
        <v>217</v>
      </c>
      <c r="I2754" s="7" t="n">
        <f aca="false">(G2754-H2754)/G2754</f>
        <v>0.66717791411043</v>
      </c>
      <c r="J2754" s="15" t="n">
        <v>0.5091</v>
      </c>
      <c r="K2754" s="11" t="str">
        <f aca="false">IF(I2754&lt;J2754,"TAK","NIE")</f>
        <v>NIE</v>
      </c>
    </row>
    <row r="2755" customFormat="false" ht="15" hidden="false" customHeight="false" outlineLevel="0" collapsed="false">
      <c r="A2755" s="5" t="s">
        <v>575</v>
      </c>
      <c r="B2755" s="5" t="s">
        <v>58</v>
      </c>
      <c r="C2755" s="5" t="n">
        <v>2022</v>
      </c>
      <c r="D2755" s="5" t="s">
        <v>59</v>
      </c>
      <c r="E2755" s="5" t="s">
        <v>57</v>
      </c>
      <c r="F2755" s="5" t="s">
        <v>39</v>
      </c>
      <c r="G2755" s="6" t="n">
        <v>652</v>
      </c>
      <c r="H2755" s="6" t="n">
        <v>207</v>
      </c>
      <c r="I2755" s="7" t="n">
        <f aca="false">(G2755-H2755)/G2755</f>
        <v>0.682515337423313</v>
      </c>
      <c r="J2755" s="15" t="n">
        <v>0.5091</v>
      </c>
      <c r="K2755" s="11" t="str">
        <f aca="false">IF(I2755&lt;J2755,"TAK","NIE")</f>
        <v>NIE</v>
      </c>
    </row>
    <row r="2756" customFormat="false" ht="15" hidden="false" customHeight="false" outlineLevel="0" collapsed="false">
      <c r="A2756" s="5" t="s">
        <v>576</v>
      </c>
      <c r="B2756" s="5" t="s">
        <v>58</v>
      </c>
      <c r="C2756" s="5" t="n">
        <v>2022</v>
      </c>
      <c r="D2756" s="5" t="s">
        <v>59</v>
      </c>
      <c r="E2756" s="5" t="s">
        <v>57</v>
      </c>
      <c r="F2756" s="5" t="s">
        <v>39</v>
      </c>
      <c r="G2756" s="6" t="n">
        <v>652</v>
      </c>
      <c r="H2756" s="6" t="n">
        <v>190</v>
      </c>
      <c r="I2756" s="7" t="n">
        <f aca="false">(G2756-H2756)/G2756</f>
        <v>0.708588957055215</v>
      </c>
      <c r="J2756" s="15" t="n">
        <v>0.5091</v>
      </c>
      <c r="K2756" s="11" t="str">
        <f aca="false">IF(I2756&lt;J2756,"TAK","NIE")</f>
        <v>NIE</v>
      </c>
    </row>
    <row r="2757" customFormat="false" ht="15" hidden="false" customHeight="false" outlineLevel="0" collapsed="false">
      <c r="A2757" s="5" t="s">
        <v>578</v>
      </c>
      <c r="B2757" s="5" t="s">
        <v>58</v>
      </c>
      <c r="C2757" s="5" t="n">
        <v>2022</v>
      </c>
      <c r="D2757" s="5" t="s">
        <v>59</v>
      </c>
      <c r="E2757" s="5" t="s">
        <v>57</v>
      </c>
      <c r="F2757" s="5" t="s">
        <v>39</v>
      </c>
      <c r="G2757" s="6" t="n">
        <v>652</v>
      </c>
      <c r="H2757" s="6" t="n">
        <v>150</v>
      </c>
      <c r="I2757" s="7" t="n">
        <f aca="false">(G2757-H2757)/G2757</f>
        <v>0.769938650306749</v>
      </c>
      <c r="J2757" s="15" t="n">
        <v>0.5091</v>
      </c>
      <c r="K2757" s="11" t="str">
        <f aca="false">IF(I2757&lt;J2757,"TAK","NIE")</f>
        <v>NIE</v>
      </c>
    </row>
    <row r="2758" customFormat="false" ht="15" hidden="false" customHeight="false" outlineLevel="0" collapsed="false">
      <c r="A2758" s="5" t="s">
        <v>579</v>
      </c>
      <c r="B2758" s="5" t="s">
        <v>58</v>
      </c>
      <c r="C2758" s="5" t="n">
        <v>2022</v>
      </c>
      <c r="D2758" s="5" t="s">
        <v>59</v>
      </c>
      <c r="E2758" s="5" t="s">
        <v>57</v>
      </c>
      <c r="F2758" s="5" t="s">
        <v>39</v>
      </c>
      <c r="G2758" s="6" t="n">
        <v>653</v>
      </c>
      <c r="H2758" s="6" t="n">
        <v>126</v>
      </c>
      <c r="I2758" s="7" t="n">
        <f aca="false">(G2758-H2758)/G2758</f>
        <v>0.807044410413476</v>
      </c>
      <c r="J2758" s="15" t="n">
        <v>0.5091</v>
      </c>
      <c r="K2758" s="11" t="str">
        <f aca="false">IF(I2758&lt;J2758,"TAK","NIE")</f>
        <v>NIE</v>
      </c>
    </row>
    <row r="2759" customFormat="false" ht="15" hidden="false" customHeight="false" outlineLevel="0" collapsed="false">
      <c r="A2759" s="5" t="s">
        <v>580</v>
      </c>
      <c r="B2759" s="5" t="s">
        <v>58</v>
      </c>
      <c r="C2759" s="5" t="n">
        <v>2022</v>
      </c>
      <c r="D2759" s="5" t="s">
        <v>59</v>
      </c>
      <c r="E2759" s="5" t="s">
        <v>57</v>
      </c>
      <c r="F2759" s="5" t="s">
        <v>39</v>
      </c>
      <c r="G2759" s="6" t="n">
        <v>652</v>
      </c>
      <c r="H2759" s="6" t="n">
        <v>175</v>
      </c>
      <c r="I2759" s="7" t="n">
        <f aca="false">(G2759-H2759)/G2759</f>
        <v>0.73159509202454</v>
      </c>
      <c r="J2759" s="15" t="n">
        <v>0.5091</v>
      </c>
      <c r="K2759" s="11" t="str">
        <f aca="false">IF(I2759&lt;J2759,"TAK","NIE")</f>
        <v>NIE</v>
      </c>
    </row>
    <row r="2760" customFormat="false" ht="15" hidden="false" customHeight="false" outlineLevel="0" collapsed="false">
      <c r="A2760" s="5" t="s">
        <v>581</v>
      </c>
      <c r="B2760" s="5" t="s">
        <v>58</v>
      </c>
      <c r="C2760" s="5" t="n">
        <v>2022</v>
      </c>
      <c r="D2760" s="5" t="s">
        <v>59</v>
      </c>
      <c r="E2760" s="5" t="s">
        <v>57</v>
      </c>
      <c r="F2760" s="5" t="s">
        <v>39</v>
      </c>
      <c r="G2760" s="6" t="n">
        <v>652</v>
      </c>
      <c r="H2760" s="6" t="n">
        <v>228</v>
      </c>
      <c r="I2760" s="7" t="n">
        <f aca="false">(G2760-H2760)/G2760</f>
        <v>0.650306748466258</v>
      </c>
      <c r="J2760" s="15" t="n">
        <v>0.5091</v>
      </c>
      <c r="K2760" s="11" t="str">
        <f aca="false">IF(I2760&lt;J2760,"TAK","NIE")</f>
        <v>NIE</v>
      </c>
    </row>
    <row r="2761" customFormat="false" ht="15" hidden="false" customHeight="false" outlineLevel="0" collapsed="false">
      <c r="A2761" s="5" t="s">
        <v>582</v>
      </c>
      <c r="B2761" s="5" t="s">
        <v>58</v>
      </c>
      <c r="C2761" s="5" t="n">
        <v>2022</v>
      </c>
      <c r="D2761" s="5" t="s">
        <v>59</v>
      </c>
      <c r="E2761" s="5" t="s">
        <v>57</v>
      </c>
      <c r="F2761" s="5" t="s">
        <v>39</v>
      </c>
      <c r="G2761" s="6" t="n">
        <v>11</v>
      </c>
      <c r="H2761" s="6" t="n">
        <v>1</v>
      </c>
      <c r="I2761" s="7" t="n">
        <f aca="false">(G2761-H2761)/G2761</f>
        <v>0.909090909090909</v>
      </c>
      <c r="J2761" s="15" t="n">
        <v>0.5091</v>
      </c>
      <c r="K2761" s="11" t="str">
        <f aca="false">IF(I2761&lt;J2761,"TAK","NIE")</f>
        <v>NIE</v>
      </c>
    </row>
    <row r="2762" customFormat="false" ht="15" hidden="false" customHeight="false" outlineLevel="0" collapsed="false">
      <c r="A2762" s="5" t="s">
        <v>583</v>
      </c>
      <c r="B2762" s="5" t="s">
        <v>58</v>
      </c>
      <c r="C2762" s="5" t="n">
        <v>2022</v>
      </c>
      <c r="D2762" s="5" t="s">
        <v>59</v>
      </c>
      <c r="E2762" s="5" t="s">
        <v>57</v>
      </c>
      <c r="F2762" s="5" t="s">
        <v>39</v>
      </c>
      <c r="G2762" s="6" t="n">
        <v>652</v>
      </c>
      <c r="H2762" s="6" t="n">
        <v>107</v>
      </c>
      <c r="I2762" s="7" t="n">
        <f aca="false">(G2762-H2762)/G2762</f>
        <v>0.835889570552147</v>
      </c>
      <c r="J2762" s="15" t="n">
        <v>0.5091</v>
      </c>
      <c r="K2762" s="11" t="str">
        <f aca="false">IF(I2762&lt;J2762,"TAK","NIE")</f>
        <v>NIE</v>
      </c>
    </row>
    <row r="2763" customFormat="false" ht="15" hidden="false" customHeight="false" outlineLevel="0" collapsed="false">
      <c r="A2763" s="5" t="s">
        <v>584</v>
      </c>
      <c r="B2763" s="5" t="s">
        <v>58</v>
      </c>
      <c r="C2763" s="5" t="n">
        <v>2022</v>
      </c>
      <c r="D2763" s="5" t="s">
        <v>59</v>
      </c>
      <c r="E2763" s="5" t="s">
        <v>57</v>
      </c>
      <c r="F2763" s="5" t="s">
        <v>39</v>
      </c>
      <c r="G2763" s="6" t="n">
        <v>652</v>
      </c>
      <c r="H2763" s="6" t="n">
        <v>160</v>
      </c>
      <c r="I2763" s="7" t="n">
        <f aca="false">(G2763-H2763)/G2763</f>
        <v>0.754601226993865</v>
      </c>
      <c r="J2763" s="15" t="n">
        <v>0.5091</v>
      </c>
      <c r="K2763" s="11" t="str">
        <f aca="false">IF(I2763&lt;J2763,"TAK","NIE")</f>
        <v>NIE</v>
      </c>
    </row>
    <row r="2764" customFormat="false" ht="15" hidden="false" customHeight="false" outlineLevel="0" collapsed="false">
      <c r="A2764" s="5" t="s">
        <v>585</v>
      </c>
      <c r="B2764" s="5" t="s">
        <v>58</v>
      </c>
      <c r="C2764" s="5" t="n">
        <v>2022</v>
      </c>
      <c r="D2764" s="5" t="s">
        <v>59</v>
      </c>
      <c r="E2764" s="5" t="s">
        <v>57</v>
      </c>
      <c r="F2764" s="5" t="s">
        <v>39</v>
      </c>
      <c r="G2764" s="6" t="n">
        <v>652</v>
      </c>
      <c r="H2764" s="6" t="n">
        <v>94</v>
      </c>
      <c r="I2764" s="7" t="n">
        <f aca="false">(G2764-H2764)/G2764</f>
        <v>0.855828220858896</v>
      </c>
      <c r="J2764" s="15" t="n">
        <v>0.5091</v>
      </c>
      <c r="K2764" s="11" t="str">
        <f aca="false">IF(I2764&lt;J2764,"TAK","NIE")</f>
        <v>NIE</v>
      </c>
    </row>
    <row r="2765" customFormat="false" ht="15" hidden="false" customHeight="false" outlineLevel="0" collapsed="false">
      <c r="A2765" s="5" t="s">
        <v>586</v>
      </c>
      <c r="B2765" s="5" t="s">
        <v>58</v>
      </c>
      <c r="C2765" s="5" t="n">
        <v>2022</v>
      </c>
      <c r="D2765" s="5" t="s">
        <v>59</v>
      </c>
      <c r="E2765" s="5" t="s">
        <v>57</v>
      </c>
      <c r="F2765" s="5" t="s">
        <v>39</v>
      </c>
      <c r="G2765" s="6" t="n">
        <v>652</v>
      </c>
      <c r="H2765" s="6" t="n">
        <v>176</v>
      </c>
      <c r="I2765" s="7" t="n">
        <f aca="false">(G2765-H2765)/G2765</f>
        <v>0.730061349693252</v>
      </c>
      <c r="J2765" s="15" t="n">
        <v>0.5091</v>
      </c>
      <c r="K2765" s="11" t="str">
        <f aca="false">IF(I2765&lt;J2765,"TAK","NIE")</f>
        <v>NIE</v>
      </c>
    </row>
    <row r="2766" customFormat="false" ht="15" hidden="false" customHeight="false" outlineLevel="0" collapsed="false">
      <c r="A2766" s="5" t="s">
        <v>587</v>
      </c>
      <c r="B2766" s="5" t="s">
        <v>58</v>
      </c>
      <c r="C2766" s="5" t="n">
        <v>2022</v>
      </c>
      <c r="D2766" s="5" t="s">
        <v>59</v>
      </c>
      <c r="E2766" s="5" t="s">
        <v>57</v>
      </c>
      <c r="F2766" s="5" t="s">
        <v>39</v>
      </c>
      <c r="G2766" s="6" t="n">
        <v>652</v>
      </c>
      <c r="H2766" s="6" t="n">
        <v>171</v>
      </c>
      <c r="I2766" s="7" t="n">
        <f aca="false">(G2766-H2766)/G2766</f>
        <v>0.737730061349693</v>
      </c>
      <c r="J2766" s="15" t="n">
        <v>0.5091</v>
      </c>
      <c r="K2766" s="11" t="str">
        <f aca="false">IF(I2766&lt;J2766,"TAK","NIE")</f>
        <v>NIE</v>
      </c>
    </row>
    <row r="2767" customFormat="false" ht="15" hidden="false" customHeight="false" outlineLevel="0" collapsed="false">
      <c r="A2767" s="5" t="s">
        <v>588</v>
      </c>
      <c r="B2767" s="5" t="s">
        <v>58</v>
      </c>
      <c r="C2767" s="5" t="n">
        <v>2022</v>
      </c>
      <c r="D2767" s="5" t="s">
        <v>59</v>
      </c>
      <c r="E2767" s="5" t="s">
        <v>57</v>
      </c>
      <c r="F2767" s="5" t="s">
        <v>39</v>
      </c>
      <c r="G2767" s="6" t="n">
        <v>652</v>
      </c>
      <c r="H2767" s="6" t="n">
        <v>275</v>
      </c>
      <c r="I2767" s="7" t="n">
        <f aca="false">(G2767-H2767)/G2767</f>
        <v>0.578220858895706</v>
      </c>
      <c r="J2767" s="15" t="n">
        <v>0.5091</v>
      </c>
      <c r="K2767" s="11" t="str">
        <f aca="false">IF(I2767&lt;J2767,"TAK","NIE")</f>
        <v>NIE</v>
      </c>
    </row>
    <row r="2768" customFormat="false" ht="15" hidden="false" customHeight="false" outlineLevel="0" collapsed="false">
      <c r="A2768" s="5" t="s">
        <v>589</v>
      </c>
      <c r="B2768" s="5" t="s">
        <v>58</v>
      </c>
      <c r="C2768" s="5" t="n">
        <v>2022</v>
      </c>
      <c r="D2768" s="5" t="s">
        <v>59</v>
      </c>
      <c r="E2768" s="5" t="s">
        <v>57</v>
      </c>
      <c r="F2768" s="5" t="s">
        <v>39</v>
      </c>
      <c r="G2768" s="6" t="n">
        <v>652</v>
      </c>
      <c r="H2768" s="6" t="n">
        <v>206</v>
      </c>
      <c r="I2768" s="7" t="n">
        <f aca="false">(G2768-H2768)/G2768</f>
        <v>0.684049079754601</v>
      </c>
      <c r="J2768" s="15" t="n">
        <v>0.5091</v>
      </c>
      <c r="K2768" s="11" t="str">
        <f aca="false">IF(I2768&lt;J2768,"TAK","NIE")</f>
        <v>NIE</v>
      </c>
    </row>
    <row r="2769" customFormat="false" ht="15" hidden="false" customHeight="false" outlineLevel="0" collapsed="false">
      <c r="A2769" s="5" t="s">
        <v>590</v>
      </c>
      <c r="B2769" s="5" t="s">
        <v>58</v>
      </c>
      <c r="C2769" s="5" t="n">
        <v>2022</v>
      </c>
      <c r="D2769" s="5" t="s">
        <v>59</v>
      </c>
      <c r="E2769" s="5" t="s">
        <v>57</v>
      </c>
      <c r="F2769" s="5" t="s">
        <v>39</v>
      </c>
      <c r="G2769" s="6" t="n">
        <v>652</v>
      </c>
      <c r="H2769" s="6" t="n">
        <v>26</v>
      </c>
      <c r="I2769" s="7" t="n">
        <f aca="false">(G2769-H2769)/G2769</f>
        <v>0.960122699386503</v>
      </c>
      <c r="J2769" s="15" t="n">
        <v>0.5091</v>
      </c>
      <c r="K2769" s="11" t="str">
        <f aca="false">IF(I2769&lt;J2769,"TAK","NIE")</f>
        <v>NIE</v>
      </c>
    </row>
    <row r="2770" customFormat="false" ht="15" hidden="false" customHeight="false" outlineLevel="0" collapsed="false">
      <c r="A2770" s="5" t="s">
        <v>591</v>
      </c>
      <c r="B2770" s="5" t="s">
        <v>58</v>
      </c>
      <c r="C2770" s="5" t="n">
        <v>2022</v>
      </c>
      <c r="D2770" s="5" t="s">
        <v>59</v>
      </c>
      <c r="E2770" s="5" t="s">
        <v>57</v>
      </c>
      <c r="F2770" s="5" t="s">
        <v>39</v>
      </c>
      <c r="G2770" s="6" t="n">
        <v>1304</v>
      </c>
      <c r="H2770" s="6" t="n">
        <v>251</v>
      </c>
      <c r="I2770" s="7" t="n">
        <f aca="false">(G2770-H2770)/G2770</f>
        <v>0.807515337423313</v>
      </c>
      <c r="J2770" s="15" t="n">
        <v>0.5091</v>
      </c>
      <c r="K2770" s="11" t="str">
        <f aca="false">IF(I2770&lt;J2770,"TAK","NIE")</f>
        <v>NIE</v>
      </c>
    </row>
    <row r="2771" customFormat="false" ht="15" hidden="false" customHeight="false" outlineLevel="0" collapsed="false">
      <c r="A2771" s="5" t="s">
        <v>592</v>
      </c>
      <c r="B2771" s="5" t="s">
        <v>58</v>
      </c>
      <c r="C2771" s="5" t="n">
        <v>2022</v>
      </c>
      <c r="D2771" s="5" t="s">
        <v>59</v>
      </c>
      <c r="E2771" s="5" t="s">
        <v>57</v>
      </c>
      <c r="F2771" s="5" t="s">
        <v>39</v>
      </c>
      <c r="G2771" s="6" t="n">
        <v>653</v>
      </c>
      <c r="H2771" s="6" t="n">
        <v>72</v>
      </c>
      <c r="I2771" s="7" t="n">
        <f aca="false">(G2771-H2771)/G2771</f>
        <v>0.889739663093415</v>
      </c>
      <c r="J2771" s="15" t="n">
        <v>0.5091</v>
      </c>
      <c r="K2771" s="11" t="str">
        <f aca="false">IF(I2771&lt;J2771,"TAK","NIE")</f>
        <v>NIE</v>
      </c>
    </row>
    <row r="2772" customFormat="false" ht="15" hidden="false" customHeight="false" outlineLevel="0" collapsed="false">
      <c r="A2772" s="5" t="s">
        <v>593</v>
      </c>
      <c r="B2772" s="5" t="s">
        <v>58</v>
      </c>
      <c r="C2772" s="5" t="n">
        <v>2022</v>
      </c>
      <c r="D2772" s="5" t="s">
        <v>59</v>
      </c>
      <c r="E2772" s="5" t="s">
        <v>57</v>
      </c>
      <c r="F2772" s="5" t="s">
        <v>39</v>
      </c>
      <c r="G2772" s="6" t="n">
        <v>652</v>
      </c>
      <c r="H2772" s="6" t="n">
        <v>119</v>
      </c>
      <c r="I2772" s="7" t="n">
        <f aca="false">(G2772-H2772)/G2772</f>
        <v>0.817484662576687</v>
      </c>
      <c r="J2772" s="15" t="n">
        <v>0.5091</v>
      </c>
      <c r="K2772" s="11" t="str">
        <f aca="false">IF(I2772&lt;J2772,"TAK","NIE")</f>
        <v>NIE</v>
      </c>
    </row>
    <row r="2773" customFormat="false" ht="15" hidden="false" customHeight="false" outlineLevel="0" collapsed="false">
      <c r="A2773" s="5" t="s">
        <v>594</v>
      </c>
      <c r="B2773" s="5" t="s">
        <v>58</v>
      </c>
      <c r="C2773" s="5" t="n">
        <v>2022</v>
      </c>
      <c r="D2773" s="5" t="s">
        <v>59</v>
      </c>
      <c r="E2773" s="5" t="s">
        <v>57</v>
      </c>
      <c r="F2773" s="5" t="s">
        <v>39</v>
      </c>
      <c r="G2773" s="6" t="n">
        <v>652</v>
      </c>
      <c r="H2773" s="6" t="n">
        <v>40</v>
      </c>
      <c r="I2773" s="7" t="n">
        <f aca="false">(G2773-H2773)/G2773</f>
        <v>0.938650306748466</v>
      </c>
      <c r="J2773" s="15" t="n">
        <v>0.5091</v>
      </c>
      <c r="K2773" s="11" t="str">
        <f aca="false">IF(I2773&lt;J2773,"TAK","NIE")</f>
        <v>NIE</v>
      </c>
    </row>
    <row r="2774" customFormat="false" ht="15" hidden="false" customHeight="false" outlineLevel="0" collapsed="false">
      <c r="A2774" s="5" t="s">
        <v>595</v>
      </c>
      <c r="B2774" s="5" t="s">
        <v>58</v>
      </c>
      <c r="C2774" s="5" t="n">
        <v>2022</v>
      </c>
      <c r="D2774" s="5" t="s">
        <v>59</v>
      </c>
      <c r="E2774" s="5" t="s">
        <v>57</v>
      </c>
      <c r="F2774" s="5" t="s">
        <v>39</v>
      </c>
      <c r="G2774" s="6" t="n">
        <v>652</v>
      </c>
      <c r="H2774" s="6" t="n">
        <v>84</v>
      </c>
      <c r="I2774" s="7" t="n">
        <f aca="false">(G2774-H2774)/G2774</f>
        <v>0.871165644171779</v>
      </c>
      <c r="J2774" s="15" t="n">
        <v>0.5091</v>
      </c>
      <c r="K2774" s="11" t="str">
        <f aca="false">IF(I2774&lt;J2774,"TAK","NIE")</f>
        <v>NIE</v>
      </c>
    </row>
    <row r="2775" customFormat="false" ht="15" hidden="false" customHeight="false" outlineLevel="0" collapsed="false">
      <c r="A2775" s="5" t="s">
        <v>573</v>
      </c>
      <c r="B2775" s="5" t="s">
        <v>58</v>
      </c>
      <c r="C2775" s="5" t="n">
        <v>2022</v>
      </c>
      <c r="D2775" s="5" t="s">
        <v>59</v>
      </c>
      <c r="E2775" s="5" t="s">
        <v>57</v>
      </c>
      <c r="F2775" s="5" t="s">
        <v>40</v>
      </c>
      <c r="G2775" s="6" t="n">
        <v>606</v>
      </c>
      <c r="H2775" s="6" t="n">
        <v>201</v>
      </c>
      <c r="I2775" s="7" t="n">
        <f aca="false">(G2775-H2775)/G2775</f>
        <v>0.668316831683168</v>
      </c>
      <c r="J2775" s="15" t="n">
        <v>0.3425</v>
      </c>
      <c r="K2775" s="11" t="str">
        <f aca="false">IF(I2775&lt;J2775,"TAK","NIE")</f>
        <v>NIE</v>
      </c>
    </row>
    <row r="2776" customFormat="false" ht="15" hidden="false" customHeight="false" outlineLevel="0" collapsed="false">
      <c r="A2776" s="5" t="s">
        <v>574</v>
      </c>
      <c r="B2776" s="5" t="s">
        <v>58</v>
      </c>
      <c r="C2776" s="5" t="n">
        <v>2022</v>
      </c>
      <c r="D2776" s="5" t="s">
        <v>59</v>
      </c>
      <c r="E2776" s="5" t="s">
        <v>57</v>
      </c>
      <c r="F2776" s="5" t="s">
        <v>40</v>
      </c>
      <c r="G2776" s="6" t="n">
        <v>548</v>
      </c>
      <c r="H2776" s="6" t="n">
        <v>218</v>
      </c>
      <c r="I2776" s="7" t="n">
        <f aca="false">(G2776-H2776)/G2776</f>
        <v>0.602189781021898</v>
      </c>
      <c r="J2776" s="15" t="n">
        <v>0.3425</v>
      </c>
      <c r="K2776" s="11" t="str">
        <f aca="false">IF(I2776&lt;J2776,"TAK","NIE")</f>
        <v>NIE</v>
      </c>
    </row>
    <row r="2777" customFormat="false" ht="15" hidden="false" customHeight="false" outlineLevel="0" collapsed="false">
      <c r="A2777" s="5" t="s">
        <v>575</v>
      </c>
      <c r="B2777" s="5" t="s">
        <v>58</v>
      </c>
      <c r="C2777" s="5" t="n">
        <v>2022</v>
      </c>
      <c r="D2777" s="5" t="s">
        <v>59</v>
      </c>
      <c r="E2777" s="5" t="s">
        <v>57</v>
      </c>
      <c r="F2777" s="5" t="s">
        <v>40</v>
      </c>
      <c r="G2777" s="6" t="n">
        <v>607</v>
      </c>
      <c r="H2777" s="6" t="n">
        <v>243</v>
      </c>
      <c r="I2777" s="7" t="n">
        <f aca="false">(G2777-H2777)/G2777</f>
        <v>0.599670510708402</v>
      </c>
      <c r="J2777" s="15" t="n">
        <v>0.3425</v>
      </c>
      <c r="K2777" s="11" t="str">
        <f aca="false">IF(I2777&lt;J2777,"TAK","NIE")</f>
        <v>NIE</v>
      </c>
    </row>
    <row r="2778" customFormat="false" ht="15" hidden="false" customHeight="false" outlineLevel="0" collapsed="false">
      <c r="A2778" s="5" t="s">
        <v>576</v>
      </c>
      <c r="B2778" s="5" t="s">
        <v>58</v>
      </c>
      <c r="C2778" s="5" t="n">
        <v>2022</v>
      </c>
      <c r="D2778" s="5" t="s">
        <v>59</v>
      </c>
      <c r="E2778" s="5" t="s">
        <v>57</v>
      </c>
      <c r="F2778" s="5" t="s">
        <v>40</v>
      </c>
      <c r="G2778" s="6" t="n">
        <v>592</v>
      </c>
      <c r="H2778" s="6" t="n">
        <v>178</v>
      </c>
      <c r="I2778" s="7" t="n">
        <f aca="false">(G2778-H2778)/G2778</f>
        <v>0.699324324324324</v>
      </c>
      <c r="J2778" s="15" t="n">
        <v>0.3425</v>
      </c>
      <c r="K2778" s="11" t="str">
        <f aca="false">IF(I2778&lt;J2778,"TAK","NIE")</f>
        <v>NIE</v>
      </c>
    </row>
    <row r="2779" customFormat="false" ht="15" hidden="false" customHeight="false" outlineLevel="0" collapsed="false">
      <c r="A2779" s="5" t="s">
        <v>578</v>
      </c>
      <c r="B2779" s="5" t="s">
        <v>58</v>
      </c>
      <c r="C2779" s="5" t="n">
        <v>2022</v>
      </c>
      <c r="D2779" s="5" t="s">
        <v>59</v>
      </c>
      <c r="E2779" s="5" t="s">
        <v>57</v>
      </c>
      <c r="F2779" s="5" t="s">
        <v>40</v>
      </c>
      <c r="G2779" s="6" t="n">
        <v>607</v>
      </c>
      <c r="H2779" s="6" t="n">
        <v>222</v>
      </c>
      <c r="I2779" s="7" t="n">
        <f aca="false">(G2779-H2779)/G2779</f>
        <v>0.634266886326194</v>
      </c>
      <c r="J2779" s="15" t="n">
        <v>0.3425</v>
      </c>
      <c r="K2779" s="11" t="str">
        <f aca="false">IF(I2779&lt;J2779,"TAK","NIE")</f>
        <v>NIE</v>
      </c>
    </row>
    <row r="2780" customFormat="false" ht="15" hidden="false" customHeight="false" outlineLevel="0" collapsed="false">
      <c r="A2780" s="5" t="s">
        <v>579</v>
      </c>
      <c r="B2780" s="5" t="s">
        <v>58</v>
      </c>
      <c r="C2780" s="5" t="n">
        <v>2022</v>
      </c>
      <c r="D2780" s="5" t="s">
        <v>59</v>
      </c>
      <c r="E2780" s="5" t="s">
        <v>57</v>
      </c>
      <c r="F2780" s="5" t="s">
        <v>40</v>
      </c>
      <c r="G2780" s="6" t="n">
        <v>606</v>
      </c>
      <c r="H2780" s="6" t="n">
        <v>254</v>
      </c>
      <c r="I2780" s="7" t="n">
        <f aca="false">(G2780-H2780)/G2780</f>
        <v>0.580858085808581</v>
      </c>
      <c r="J2780" s="15" t="n">
        <v>0.3425</v>
      </c>
      <c r="K2780" s="11" t="str">
        <f aca="false">IF(I2780&lt;J2780,"TAK","NIE")</f>
        <v>NIE</v>
      </c>
    </row>
    <row r="2781" customFormat="false" ht="15" hidden="false" customHeight="false" outlineLevel="0" collapsed="false">
      <c r="A2781" s="5" t="s">
        <v>580</v>
      </c>
      <c r="B2781" s="5" t="s">
        <v>58</v>
      </c>
      <c r="C2781" s="5" t="n">
        <v>2022</v>
      </c>
      <c r="D2781" s="5" t="s">
        <v>59</v>
      </c>
      <c r="E2781" s="5" t="s">
        <v>57</v>
      </c>
      <c r="F2781" s="5" t="s">
        <v>40</v>
      </c>
      <c r="G2781" s="6" t="n">
        <v>606</v>
      </c>
      <c r="H2781" s="6" t="n">
        <v>264</v>
      </c>
      <c r="I2781" s="7" t="n">
        <f aca="false">(G2781-H2781)/G2781</f>
        <v>0.564356435643564</v>
      </c>
      <c r="J2781" s="15" t="n">
        <v>0.3425</v>
      </c>
      <c r="K2781" s="11" t="str">
        <f aca="false">IF(I2781&lt;J2781,"TAK","NIE")</f>
        <v>NIE</v>
      </c>
    </row>
    <row r="2782" customFormat="false" ht="15" hidden="false" customHeight="false" outlineLevel="0" collapsed="false">
      <c r="A2782" s="5" t="s">
        <v>581</v>
      </c>
      <c r="B2782" s="5" t="s">
        <v>58</v>
      </c>
      <c r="C2782" s="5" t="n">
        <v>2022</v>
      </c>
      <c r="D2782" s="5" t="s">
        <v>59</v>
      </c>
      <c r="E2782" s="5" t="s">
        <v>57</v>
      </c>
      <c r="F2782" s="5" t="s">
        <v>40</v>
      </c>
      <c r="G2782" s="6" t="n">
        <v>606</v>
      </c>
      <c r="H2782" s="6" t="n">
        <v>252</v>
      </c>
      <c r="I2782" s="7" t="n">
        <f aca="false">(G2782-H2782)/G2782</f>
        <v>0.584158415841584</v>
      </c>
      <c r="J2782" s="15" t="n">
        <v>0.3425</v>
      </c>
      <c r="K2782" s="11" t="str">
        <f aca="false">IF(I2782&lt;J2782,"TAK","NIE")</f>
        <v>NIE</v>
      </c>
    </row>
    <row r="2783" customFormat="false" ht="15" hidden="false" customHeight="false" outlineLevel="0" collapsed="false">
      <c r="A2783" s="5" t="s">
        <v>583</v>
      </c>
      <c r="B2783" s="5" t="s">
        <v>58</v>
      </c>
      <c r="C2783" s="5" t="n">
        <v>2022</v>
      </c>
      <c r="D2783" s="5" t="s">
        <v>59</v>
      </c>
      <c r="E2783" s="5" t="s">
        <v>57</v>
      </c>
      <c r="F2783" s="5" t="s">
        <v>40</v>
      </c>
      <c r="G2783" s="6" t="n">
        <v>607</v>
      </c>
      <c r="H2783" s="6" t="n">
        <v>206</v>
      </c>
      <c r="I2783" s="7" t="n">
        <f aca="false">(G2783-H2783)/G2783</f>
        <v>0.660626029654036</v>
      </c>
      <c r="J2783" s="15" t="n">
        <v>0.3425</v>
      </c>
      <c r="K2783" s="11" t="str">
        <f aca="false">IF(I2783&lt;J2783,"TAK","NIE")</f>
        <v>NIE</v>
      </c>
    </row>
    <row r="2784" customFormat="false" ht="15" hidden="false" customHeight="false" outlineLevel="0" collapsed="false">
      <c r="A2784" s="5" t="s">
        <v>584</v>
      </c>
      <c r="B2784" s="5" t="s">
        <v>58</v>
      </c>
      <c r="C2784" s="5" t="n">
        <v>2022</v>
      </c>
      <c r="D2784" s="5" t="s">
        <v>59</v>
      </c>
      <c r="E2784" s="5" t="s">
        <v>57</v>
      </c>
      <c r="F2784" s="5" t="s">
        <v>40</v>
      </c>
      <c r="G2784" s="6" t="n">
        <v>592</v>
      </c>
      <c r="H2784" s="6" t="n">
        <v>133</v>
      </c>
      <c r="I2784" s="7" t="n">
        <f aca="false">(G2784-H2784)/G2784</f>
        <v>0.775337837837838</v>
      </c>
      <c r="J2784" s="15" t="n">
        <v>0.3425</v>
      </c>
      <c r="K2784" s="11" t="str">
        <f aca="false">IF(I2784&lt;J2784,"TAK","NIE")</f>
        <v>NIE</v>
      </c>
    </row>
    <row r="2785" customFormat="false" ht="15" hidden="false" customHeight="false" outlineLevel="0" collapsed="false">
      <c r="A2785" s="5" t="s">
        <v>585</v>
      </c>
      <c r="B2785" s="5" t="s">
        <v>58</v>
      </c>
      <c r="C2785" s="5" t="n">
        <v>2022</v>
      </c>
      <c r="D2785" s="5" t="s">
        <v>59</v>
      </c>
      <c r="E2785" s="5" t="s">
        <v>57</v>
      </c>
      <c r="F2785" s="5" t="s">
        <v>40</v>
      </c>
      <c r="G2785" s="6" t="n">
        <v>591</v>
      </c>
      <c r="H2785" s="6" t="n">
        <v>127</v>
      </c>
      <c r="I2785" s="7" t="n">
        <f aca="false">(G2785-H2785)/G2785</f>
        <v>0.785109983079526</v>
      </c>
      <c r="J2785" s="15" t="n">
        <v>0.3425</v>
      </c>
      <c r="K2785" s="11" t="str">
        <f aca="false">IF(I2785&lt;J2785,"TAK","NIE")</f>
        <v>NIE</v>
      </c>
    </row>
    <row r="2786" customFormat="false" ht="15" hidden="false" customHeight="false" outlineLevel="0" collapsed="false">
      <c r="A2786" s="5" t="s">
        <v>586</v>
      </c>
      <c r="B2786" s="5" t="s">
        <v>58</v>
      </c>
      <c r="C2786" s="5" t="n">
        <v>2022</v>
      </c>
      <c r="D2786" s="5" t="s">
        <v>59</v>
      </c>
      <c r="E2786" s="5" t="s">
        <v>57</v>
      </c>
      <c r="F2786" s="5" t="s">
        <v>40</v>
      </c>
      <c r="G2786" s="6" t="n">
        <v>606</v>
      </c>
      <c r="H2786" s="6" t="n">
        <v>229</v>
      </c>
      <c r="I2786" s="7" t="n">
        <f aca="false">(G2786-H2786)/G2786</f>
        <v>0.622112211221122</v>
      </c>
      <c r="J2786" s="15" t="n">
        <v>0.3425</v>
      </c>
      <c r="K2786" s="11" t="str">
        <f aca="false">IF(I2786&lt;J2786,"TAK","NIE")</f>
        <v>NIE</v>
      </c>
    </row>
    <row r="2787" customFormat="false" ht="15" hidden="false" customHeight="false" outlineLevel="0" collapsed="false">
      <c r="A2787" s="5" t="s">
        <v>587</v>
      </c>
      <c r="B2787" s="5" t="s">
        <v>58</v>
      </c>
      <c r="C2787" s="5" t="n">
        <v>2022</v>
      </c>
      <c r="D2787" s="5" t="s">
        <v>59</v>
      </c>
      <c r="E2787" s="5" t="s">
        <v>57</v>
      </c>
      <c r="F2787" s="5" t="s">
        <v>40</v>
      </c>
      <c r="G2787" s="6" t="n">
        <v>591</v>
      </c>
      <c r="H2787" s="6" t="n">
        <v>199</v>
      </c>
      <c r="I2787" s="7" t="n">
        <f aca="false">(G2787-H2787)/G2787</f>
        <v>0.663282571912014</v>
      </c>
      <c r="J2787" s="15" t="n">
        <v>0.3425</v>
      </c>
      <c r="K2787" s="11" t="str">
        <f aca="false">IF(I2787&lt;J2787,"TAK","NIE")</f>
        <v>NIE</v>
      </c>
    </row>
    <row r="2788" customFormat="false" ht="15" hidden="false" customHeight="false" outlineLevel="0" collapsed="false">
      <c r="A2788" s="5" t="s">
        <v>588</v>
      </c>
      <c r="B2788" s="5" t="s">
        <v>58</v>
      </c>
      <c r="C2788" s="5" t="n">
        <v>2022</v>
      </c>
      <c r="D2788" s="5" t="s">
        <v>59</v>
      </c>
      <c r="E2788" s="5" t="s">
        <v>57</v>
      </c>
      <c r="F2788" s="5" t="s">
        <v>40</v>
      </c>
      <c r="G2788" s="6" t="n">
        <v>606</v>
      </c>
      <c r="H2788" s="6" t="n">
        <v>268</v>
      </c>
      <c r="I2788" s="7" t="n">
        <f aca="false">(G2788-H2788)/G2788</f>
        <v>0.557755775577558</v>
      </c>
      <c r="J2788" s="15" t="n">
        <v>0.3425</v>
      </c>
      <c r="K2788" s="11" t="str">
        <f aca="false">IF(I2788&lt;J2788,"TAK","NIE")</f>
        <v>NIE</v>
      </c>
    </row>
    <row r="2789" customFormat="false" ht="15" hidden="false" customHeight="false" outlineLevel="0" collapsed="false">
      <c r="A2789" s="5" t="s">
        <v>589</v>
      </c>
      <c r="B2789" s="5" t="s">
        <v>58</v>
      </c>
      <c r="C2789" s="5" t="n">
        <v>2022</v>
      </c>
      <c r="D2789" s="5" t="s">
        <v>59</v>
      </c>
      <c r="E2789" s="5" t="s">
        <v>57</v>
      </c>
      <c r="F2789" s="5" t="s">
        <v>40</v>
      </c>
      <c r="G2789" s="6" t="n">
        <v>607</v>
      </c>
      <c r="H2789" s="6" t="n">
        <v>210</v>
      </c>
      <c r="I2789" s="7" t="n">
        <f aca="false">(G2789-H2789)/G2789</f>
        <v>0.654036243822076</v>
      </c>
      <c r="J2789" s="15" t="n">
        <v>0.3425</v>
      </c>
      <c r="K2789" s="11" t="str">
        <f aca="false">IF(I2789&lt;J2789,"TAK","NIE")</f>
        <v>NIE</v>
      </c>
    </row>
    <row r="2790" customFormat="false" ht="15" hidden="false" customHeight="false" outlineLevel="0" collapsed="false">
      <c r="A2790" s="5" t="s">
        <v>590</v>
      </c>
      <c r="B2790" s="5" t="s">
        <v>58</v>
      </c>
      <c r="C2790" s="5" t="n">
        <v>2022</v>
      </c>
      <c r="D2790" s="5" t="s">
        <v>59</v>
      </c>
      <c r="E2790" s="5" t="s">
        <v>57</v>
      </c>
      <c r="F2790" s="5" t="s">
        <v>40</v>
      </c>
      <c r="G2790" s="6" t="n">
        <v>606</v>
      </c>
      <c r="H2790" s="6" t="n">
        <v>107</v>
      </c>
      <c r="I2790" s="7" t="n">
        <f aca="false">(G2790-H2790)/G2790</f>
        <v>0.823432343234324</v>
      </c>
      <c r="J2790" s="15" t="n">
        <v>0.3425</v>
      </c>
      <c r="K2790" s="11" t="str">
        <f aca="false">IF(I2790&lt;J2790,"TAK","NIE")</f>
        <v>NIE</v>
      </c>
    </row>
    <row r="2791" customFormat="false" ht="15" hidden="false" customHeight="false" outlineLevel="0" collapsed="false">
      <c r="A2791" s="5" t="s">
        <v>591</v>
      </c>
      <c r="B2791" s="5" t="s">
        <v>58</v>
      </c>
      <c r="C2791" s="5" t="n">
        <v>2022</v>
      </c>
      <c r="D2791" s="5" t="s">
        <v>59</v>
      </c>
      <c r="E2791" s="5" t="s">
        <v>57</v>
      </c>
      <c r="F2791" s="5" t="s">
        <v>40</v>
      </c>
      <c r="G2791" s="6" t="n">
        <v>1199</v>
      </c>
      <c r="H2791" s="6" t="n">
        <v>363</v>
      </c>
      <c r="I2791" s="7" t="n">
        <f aca="false">(G2791-H2791)/G2791</f>
        <v>0.697247706422018</v>
      </c>
      <c r="J2791" s="15" t="n">
        <v>0.3425</v>
      </c>
      <c r="K2791" s="11" t="str">
        <f aca="false">IF(I2791&lt;J2791,"TAK","NIE")</f>
        <v>NIE</v>
      </c>
    </row>
    <row r="2792" customFormat="false" ht="15" hidden="false" customHeight="false" outlineLevel="0" collapsed="false">
      <c r="A2792" s="5" t="s">
        <v>592</v>
      </c>
      <c r="B2792" s="5" t="s">
        <v>58</v>
      </c>
      <c r="C2792" s="5" t="n">
        <v>2022</v>
      </c>
      <c r="D2792" s="5" t="s">
        <v>59</v>
      </c>
      <c r="E2792" s="5" t="s">
        <v>57</v>
      </c>
      <c r="F2792" s="5" t="s">
        <v>40</v>
      </c>
      <c r="G2792" s="6" t="n">
        <v>606</v>
      </c>
      <c r="H2792" s="6" t="n">
        <v>136</v>
      </c>
      <c r="I2792" s="7" t="n">
        <f aca="false">(G2792-H2792)/G2792</f>
        <v>0.775577557755776</v>
      </c>
      <c r="J2792" s="15" t="n">
        <v>0.3425</v>
      </c>
      <c r="K2792" s="11" t="str">
        <f aca="false">IF(I2792&lt;J2792,"TAK","NIE")</f>
        <v>NIE</v>
      </c>
    </row>
    <row r="2793" customFormat="false" ht="15" hidden="false" customHeight="false" outlineLevel="0" collapsed="false">
      <c r="A2793" s="5" t="s">
        <v>593</v>
      </c>
      <c r="B2793" s="5" t="s">
        <v>58</v>
      </c>
      <c r="C2793" s="5" t="n">
        <v>2022</v>
      </c>
      <c r="D2793" s="5" t="s">
        <v>59</v>
      </c>
      <c r="E2793" s="5" t="s">
        <v>57</v>
      </c>
      <c r="F2793" s="5" t="s">
        <v>40</v>
      </c>
      <c r="G2793" s="6" t="n">
        <v>607</v>
      </c>
      <c r="H2793" s="6" t="n">
        <v>142</v>
      </c>
      <c r="I2793" s="7" t="n">
        <f aca="false">(G2793-H2793)/G2793</f>
        <v>0.766062602965404</v>
      </c>
      <c r="J2793" s="15" t="n">
        <v>0.3425</v>
      </c>
      <c r="K2793" s="11" t="str">
        <f aca="false">IF(I2793&lt;J2793,"TAK","NIE")</f>
        <v>NIE</v>
      </c>
    </row>
    <row r="2794" customFormat="false" ht="15" hidden="false" customHeight="false" outlineLevel="0" collapsed="false">
      <c r="A2794" s="5" t="s">
        <v>594</v>
      </c>
      <c r="B2794" s="5" t="s">
        <v>58</v>
      </c>
      <c r="C2794" s="5" t="n">
        <v>2022</v>
      </c>
      <c r="D2794" s="5" t="s">
        <v>59</v>
      </c>
      <c r="E2794" s="5" t="s">
        <v>57</v>
      </c>
      <c r="F2794" s="5" t="s">
        <v>40</v>
      </c>
      <c r="G2794" s="6" t="n">
        <v>606</v>
      </c>
      <c r="H2794" s="6" t="n">
        <v>115</v>
      </c>
      <c r="I2794" s="7" t="n">
        <f aca="false">(G2794-H2794)/G2794</f>
        <v>0.81023102310231</v>
      </c>
      <c r="J2794" s="15" t="n">
        <v>0.3425</v>
      </c>
      <c r="K2794" s="11" t="str">
        <f aca="false">IF(I2794&lt;J2794,"TAK","NIE")</f>
        <v>NIE</v>
      </c>
    </row>
    <row r="2795" customFormat="false" ht="15" hidden="false" customHeight="false" outlineLevel="0" collapsed="false">
      <c r="A2795" s="5" t="s">
        <v>595</v>
      </c>
      <c r="B2795" s="5" t="s">
        <v>58</v>
      </c>
      <c r="C2795" s="5" t="n">
        <v>2022</v>
      </c>
      <c r="D2795" s="5" t="s">
        <v>59</v>
      </c>
      <c r="E2795" s="5" t="s">
        <v>57</v>
      </c>
      <c r="F2795" s="5" t="s">
        <v>40</v>
      </c>
      <c r="G2795" s="6" t="n">
        <v>591</v>
      </c>
      <c r="H2795" s="6" t="n">
        <v>112</v>
      </c>
      <c r="I2795" s="7" t="n">
        <f aca="false">(G2795-H2795)/G2795</f>
        <v>0.810490693739425</v>
      </c>
      <c r="J2795" s="15" t="n">
        <v>0.3425</v>
      </c>
      <c r="K2795" s="11" t="str">
        <f aca="false">IF(I2795&lt;J2795,"TAK","NIE")</f>
        <v>NIE</v>
      </c>
    </row>
    <row r="2796" customFormat="false" ht="15" hidden="false" customHeight="false" outlineLevel="0" collapsed="false">
      <c r="A2796" s="5" t="s">
        <v>573</v>
      </c>
      <c r="B2796" s="5" t="s">
        <v>60</v>
      </c>
      <c r="C2796" s="5" t="n">
        <v>2022</v>
      </c>
      <c r="D2796" s="5" t="s">
        <v>59</v>
      </c>
      <c r="E2796" s="5" t="s">
        <v>75</v>
      </c>
      <c r="F2796" s="5" t="s">
        <v>39</v>
      </c>
      <c r="G2796" s="6" t="n">
        <v>568</v>
      </c>
      <c r="H2796" s="6" t="n">
        <v>154</v>
      </c>
      <c r="I2796" s="7" t="n">
        <f aca="false">(G2796-H2796)/G2796</f>
        <v>0.72887323943662</v>
      </c>
      <c r="J2796" s="15" t="n">
        <v>0.4773</v>
      </c>
      <c r="K2796" s="11" t="str">
        <f aca="false">IF(I2796&lt;J2796,"TAK","NIE")</f>
        <v>NIE</v>
      </c>
    </row>
    <row r="2797" customFormat="false" ht="15" hidden="false" customHeight="false" outlineLevel="0" collapsed="false">
      <c r="A2797" s="5" t="s">
        <v>575</v>
      </c>
      <c r="B2797" s="5" t="s">
        <v>60</v>
      </c>
      <c r="C2797" s="5" t="n">
        <v>2022</v>
      </c>
      <c r="D2797" s="5" t="s">
        <v>59</v>
      </c>
      <c r="E2797" s="5" t="s">
        <v>75</v>
      </c>
      <c r="F2797" s="5" t="s">
        <v>39</v>
      </c>
      <c r="G2797" s="6" t="n">
        <v>568</v>
      </c>
      <c r="H2797" s="6" t="n">
        <v>166</v>
      </c>
      <c r="I2797" s="7" t="n">
        <f aca="false">(G2797-H2797)/G2797</f>
        <v>0.707746478873239</v>
      </c>
      <c r="J2797" s="15" t="n">
        <v>0.4773</v>
      </c>
      <c r="K2797" s="11" t="str">
        <f aca="false">IF(I2797&lt;J2797,"TAK","NIE")</f>
        <v>NIE</v>
      </c>
    </row>
    <row r="2798" customFormat="false" ht="15" hidden="false" customHeight="false" outlineLevel="0" collapsed="false">
      <c r="A2798" s="5" t="s">
        <v>576</v>
      </c>
      <c r="B2798" s="5" t="s">
        <v>60</v>
      </c>
      <c r="C2798" s="5" t="n">
        <v>2022</v>
      </c>
      <c r="D2798" s="5" t="s">
        <v>59</v>
      </c>
      <c r="E2798" s="5" t="s">
        <v>75</v>
      </c>
      <c r="F2798" s="5" t="s">
        <v>39</v>
      </c>
      <c r="G2798" s="6" t="n">
        <v>568</v>
      </c>
      <c r="H2798" s="6" t="n">
        <v>125</v>
      </c>
      <c r="I2798" s="7" t="n">
        <f aca="false">(G2798-H2798)/G2798</f>
        <v>0.779929577464789</v>
      </c>
      <c r="J2798" s="15" t="n">
        <v>0.4773</v>
      </c>
      <c r="K2798" s="11" t="str">
        <f aca="false">IF(I2798&lt;J2798,"TAK","NIE")</f>
        <v>NIE</v>
      </c>
    </row>
    <row r="2799" customFormat="false" ht="15" hidden="false" customHeight="false" outlineLevel="0" collapsed="false">
      <c r="A2799" s="5" t="s">
        <v>578</v>
      </c>
      <c r="B2799" s="5" t="s">
        <v>60</v>
      </c>
      <c r="C2799" s="5" t="n">
        <v>2022</v>
      </c>
      <c r="D2799" s="5" t="s">
        <v>59</v>
      </c>
      <c r="E2799" s="5" t="s">
        <v>75</v>
      </c>
      <c r="F2799" s="5" t="s">
        <v>39</v>
      </c>
      <c r="G2799" s="6" t="n">
        <v>568</v>
      </c>
      <c r="H2799" s="6" t="n">
        <v>260</v>
      </c>
      <c r="I2799" s="7" t="n">
        <f aca="false">(G2799-H2799)/G2799</f>
        <v>0.542253521126761</v>
      </c>
      <c r="J2799" s="15" t="n">
        <v>0.4773</v>
      </c>
      <c r="K2799" s="11" t="str">
        <f aca="false">IF(I2799&lt;J2799,"TAK","NIE")</f>
        <v>NIE</v>
      </c>
    </row>
    <row r="2800" customFormat="false" ht="15" hidden="false" customHeight="false" outlineLevel="0" collapsed="false">
      <c r="A2800" s="5" t="s">
        <v>579</v>
      </c>
      <c r="B2800" s="5" t="s">
        <v>60</v>
      </c>
      <c r="C2800" s="5" t="n">
        <v>2022</v>
      </c>
      <c r="D2800" s="5" t="s">
        <v>59</v>
      </c>
      <c r="E2800" s="5" t="s">
        <v>75</v>
      </c>
      <c r="F2800" s="5" t="s">
        <v>39</v>
      </c>
      <c r="G2800" s="6" t="n">
        <v>568</v>
      </c>
      <c r="H2800" s="6" t="n">
        <v>118</v>
      </c>
      <c r="I2800" s="7" t="n">
        <f aca="false">(G2800-H2800)/G2800</f>
        <v>0.792253521126761</v>
      </c>
      <c r="J2800" s="15" t="n">
        <v>0.4773</v>
      </c>
      <c r="K2800" s="11" t="str">
        <f aca="false">IF(I2800&lt;J2800,"TAK","NIE")</f>
        <v>NIE</v>
      </c>
    </row>
    <row r="2801" customFormat="false" ht="15" hidden="false" customHeight="false" outlineLevel="0" collapsed="false">
      <c r="A2801" s="5" t="s">
        <v>580</v>
      </c>
      <c r="B2801" s="5" t="s">
        <v>60</v>
      </c>
      <c r="C2801" s="5" t="n">
        <v>2022</v>
      </c>
      <c r="D2801" s="5" t="s">
        <v>59</v>
      </c>
      <c r="E2801" s="5" t="s">
        <v>75</v>
      </c>
      <c r="F2801" s="5" t="s">
        <v>39</v>
      </c>
      <c r="G2801" s="6" t="n">
        <v>568</v>
      </c>
      <c r="H2801" s="6" t="n">
        <v>270</v>
      </c>
      <c r="I2801" s="7" t="n">
        <f aca="false">(G2801-H2801)/G2801</f>
        <v>0.524647887323944</v>
      </c>
      <c r="J2801" s="15" t="n">
        <v>0.4773</v>
      </c>
      <c r="K2801" s="11" t="str">
        <f aca="false">IF(I2801&lt;J2801,"TAK","NIE")</f>
        <v>NIE</v>
      </c>
    </row>
    <row r="2802" customFormat="false" ht="15" hidden="false" customHeight="false" outlineLevel="0" collapsed="false">
      <c r="A2802" s="5" t="s">
        <v>583</v>
      </c>
      <c r="B2802" s="5" t="s">
        <v>60</v>
      </c>
      <c r="C2802" s="5" t="n">
        <v>2022</v>
      </c>
      <c r="D2802" s="5" t="s">
        <v>59</v>
      </c>
      <c r="E2802" s="5" t="s">
        <v>75</v>
      </c>
      <c r="F2802" s="5" t="s">
        <v>39</v>
      </c>
      <c r="G2802" s="6" t="n">
        <v>568</v>
      </c>
      <c r="H2802" s="6" t="n">
        <v>91</v>
      </c>
      <c r="I2802" s="7" t="n">
        <f aca="false">(G2802-H2802)/G2802</f>
        <v>0.839788732394366</v>
      </c>
      <c r="J2802" s="15" t="n">
        <v>0.4773</v>
      </c>
      <c r="K2802" s="11" t="str">
        <f aca="false">IF(I2802&lt;J2802,"TAK","NIE")</f>
        <v>NIE</v>
      </c>
    </row>
    <row r="2803" customFormat="false" ht="15" hidden="false" customHeight="false" outlineLevel="0" collapsed="false">
      <c r="A2803" s="5" t="s">
        <v>584</v>
      </c>
      <c r="B2803" s="5" t="s">
        <v>60</v>
      </c>
      <c r="C2803" s="5" t="n">
        <v>2022</v>
      </c>
      <c r="D2803" s="5" t="s">
        <v>59</v>
      </c>
      <c r="E2803" s="5" t="s">
        <v>75</v>
      </c>
      <c r="F2803" s="5" t="s">
        <v>39</v>
      </c>
      <c r="G2803" s="6" t="n">
        <v>568</v>
      </c>
      <c r="H2803" s="6" t="n">
        <v>65</v>
      </c>
      <c r="I2803" s="7" t="n">
        <f aca="false">(G2803-H2803)/G2803</f>
        <v>0.88556338028169</v>
      </c>
      <c r="J2803" s="15" t="n">
        <v>0.4773</v>
      </c>
      <c r="K2803" s="11" t="str">
        <f aca="false">IF(I2803&lt;J2803,"TAK","NIE")</f>
        <v>NIE</v>
      </c>
    </row>
    <row r="2804" customFormat="false" ht="15" hidden="false" customHeight="false" outlineLevel="0" collapsed="false">
      <c r="A2804" s="5" t="s">
        <v>585</v>
      </c>
      <c r="B2804" s="5" t="s">
        <v>60</v>
      </c>
      <c r="C2804" s="5" t="n">
        <v>2022</v>
      </c>
      <c r="D2804" s="5" t="s">
        <v>59</v>
      </c>
      <c r="E2804" s="5" t="s">
        <v>75</v>
      </c>
      <c r="F2804" s="5" t="s">
        <v>39</v>
      </c>
      <c r="G2804" s="6" t="n">
        <v>568</v>
      </c>
      <c r="H2804" s="6" t="n">
        <v>71</v>
      </c>
      <c r="I2804" s="7" t="n">
        <f aca="false">(G2804-H2804)/G2804</f>
        <v>0.875</v>
      </c>
      <c r="J2804" s="15" t="n">
        <v>0.4773</v>
      </c>
      <c r="K2804" s="11" t="str">
        <f aca="false">IF(I2804&lt;J2804,"TAK","NIE")</f>
        <v>NIE</v>
      </c>
    </row>
    <row r="2805" customFormat="false" ht="15" hidden="false" customHeight="false" outlineLevel="0" collapsed="false">
      <c r="A2805" s="5" t="s">
        <v>586</v>
      </c>
      <c r="B2805" s="5" t="s">
        <v>60</v>
      </c>
      <c r="C2805" s="5" t="n">
        <v>2022</v>
      </c>
      <c r="D2805" s="5" t="s">
        <v>59</v>
      </c>
      <c r="E2805" s="5" t="s">
        <v>75</v>
      </c>
      <c r="F2805" s="5" t="s">
        <v>39</v>
      </c>
      <c r="G2805" s="6" t="n">
        <v>568</v>
      </c>
      <c r="H2805" s="6" t="n">
        <v>148</v>
      </c>
      <c r="I2805" s="7" t="n">
        <f aca="false">(G2805-H2805)/G2805</f>
        <v>0.73943661971831</v>
      </c>
      <c r="J2805" s="15" t="n">
        <v>0.4773</v>
      </c>
      <c r="K2805" s="11" t="str">
        <f aca="false">IF(I2805&lt;J2805,"TAK","NIE")</f>
        <v>NIE</v>
      </c>
    </row>
    <row r="2806" customFormat="false" ht="15" hidden="false" customHeight="false" outlineLevel="0" collapsed="false">
      <c r="A2806" s="5" t="s">
        <v>587</v>
      </c>
      <c r="B2806" s="5" t="s">
        <v>60</v>
      </c>
      <c r="C2806" s="5" t="n">
        <v>2022</v>
      </c>
      <c r="D2806" s="5" t="s">
        <v>59</v>
      </c>
      <c r="E2806" s="5" t="s">
        <v>75</v>
      </c>
      <c r="F2806" s="5" t="s">
        <v>39</v>
      </c>
      <c r="G2806" s="6" t="n">
        <v>568</v>
      </c>
      <c r="H2806" s="6" t="n">
        <v>202</v>
      </c>
      <c r="I2806" s="7" t="n">
        <f aca="false">(G2806-H2806)/G2806</f>
        <v>0.644366197183099</v>
      </c>
      <c r="J2806" s="15" t="n">
        <v>0.4773</v>
      </c>
      <c r="K2806" s="11" t="str">
        <f aca="false">IF(I2806&lt;J2806,"TAK","NIE")</f>
        <v>NIE</v>
      </c>
    </row>
    <row r="2807" customFormat="false" ht="15" hidden="false" customHeight="false" outlineLevel="0" collapsed="false">
      <c r="A2807" s="5" t="s">
        <v>588</v>
      </c>
      <c r="B2807" s="5" t="s">
        <v>60</v>
      </c>
      <c r="C2807" s="5" t="n">
        <v>2022</v>
      </c>
      <c r="D2807" s="5" t="s">
        <v>59</v>
      </c>
      <c r="E2807" s="5" t="s">
        <v>75</v>
      </c>
      <c r="F2807" s="5" t="s">
        <v>39</v>
      </c>
      <c r="G2807" s="6" t="n">
        <v>568</v>
      </c>
      <c r="H2807" s="6" t="n">
        <v>171</v>
      </c>
      <c r="I2807" s="7" t="n">
        <f aca="false">(G2807-H2807)/G2807</f>
        <v>0.698943661971831</v>
      </c>
      <c r="J2807" s="15" t="n">
        <v>0.4773</v>
      </c>
      <c r="K2807" s="11" t="str">
        <f aca="false">IF(I2807&lt;J2807,"TAK","NIE")</f>
        <v>NIE</v>
      </c>
    </row>
    <row r="2808" customFormat="false" ht="15" hidden="false" customHeight="false" outlineLevel="0" collapsed="false">
      <c r="A2808" s="5" t="s">
        <v>589</v>
      </c>
      <c r="B2808" s="5" t="s">
        <v>60</v>
      </c>
      <c r="C2808" s="5" t="n">
        <v>2022</v>
      </c>
      <c r="D2808" s="5" t="s">
        <v>59</v>
      </c>
      <c r="E2808" s="5" t="s">
        <v>75</v>
      </c>
      <c r="F2808" s="5" t="s">
        <v>39</v>
      </c>
      <c r="G2808" s="6" t="n">
        <v>568</v>
      </c>
      <c r="H2808" s="6" t="n">
        <v>192</v>
      </c>
      <c r="I2808" s="7" t="n">
        <f aca="false">(G2808-H2808)/G2808</f>
        <v>0.661971830985916</v>
      </c>
      <c r="J2808" s="15" t="n">
        <v>0.4773</v>
      </c>
      <c r="K2808" s="11" t="str">
        <f aca="false">IF(I2808&lt;J2808,"TAK","NIE")</f>
        <v>NIE</v>
      </c>
    </row>
    <row r="2809" customFormat="false" ht="15" hidden="false" customHeight="false" outlineLevel="0" collapsed="false">
      <c r="A2809" s="5" t="s">
        <v>590</v>
      </c>
      <c r="B2809" s="5" t="s">
        <v>60</v>
      </c>
      <c r="C2809" s="5" t="n">
        <v>2022</v>
      </c>
      <c r="D2809" s="5" t="s">
        <v>59</v>
      </c>
      <c r="E2809" s="5" t="s">
        <v>75</v>
      </c>
      <c r="F2809" s="5" t="s">
        <v>39</v>
      </c>
      <c r="G2809" s="6" t="n">
        <v>568</v>
      </c>
      <c r="H2809" s="6" t="n">
        <v>38</v>
      </c>
      <c r="I2809" s="7" t="n">
        <f aca="false">(G2809-H2809)/G2809</f>
        <v>0.933098591549296</v>
      </c>
      <c r="J2809" s="15" t="n">
        <v>0.4773</v>
      </c>
      <c r="K2809" s="11" t="str">
        <f aca="false">IF(I2809&lt;J2809,"TAK","NIE")</f>
        <v>NIE</v>
      </c>
    </row>
    <row r="2810" customFormat="false" ht="15" hidden="false" customHeight="false" outlineLevel="0" collapsed="false">
      <c r="A2810" s="5" t="s">
        <v>591</v>
      </c>
      <c r="B2810" s="5" t="s">
        <v>60</v>
      </c>
      <c r="C2810" s="5" t="n">
        <v>2022</v>
      </c>
      <c r="D2810" s="5" t="s">
        <v>59</v>
      </c>
      <c r="E2810" s="5" t="s">
        <v>75</v>
      </c>
      <c r="F2810" s="5" t="s">
        <v>39</v>
      </c>
      <c r="G2810" s="6" t="n">
        <v>1136</v>
      </c>
      <c r="H2810" s="6" t="n">
        <v>307</v>
      </c>
      <c r="I2810" s="7" t="n">
        <f aca="false">(G2810-H2810)/G2810</f>
        <v>0.729753521126761</v>
      </c>
      <c r="J2810" s="15" t="n">
        <v>0.4773</v>
      </c>
      <c r="K2810" s="11" t="str">
        <f aca="false">IF(I2810&lt;J2810,"TAK","NIE")</f>
        <v>NIE</v>
      </c>
    </row>
    <row r="2811" customFormat="false" ht="15" hidden="false" customHeight="false" outlineLevel="0" collapsed="false">
      <c r="A2811" s="5" t="s">
        <v>592</v>
      </c>
      <c r="B2811" s="5" t="s">
        <v>60</v>
      </c>
      <c r="C2811" s="5" t="n">
        <v>2022</v>
      </c>
      <c r="D2811" s="5" t="s">
        <v>59</v>
      </c>
      <c r="E2811" s="5" t="s">
        <v>75</v>
      </c>
      <c r="F2811" s="5" t="s">
        <v>39</v>
      </c>
      <c r="G2811" s="6" t="n">
        <v>568</v>
      </c>
      <c r="H2811" s="6" t="n">
        <v>124</v>
      </c>
      <c r="I2811" s="7" t="n">
        <f aca="false">(G2811-H2811)/G2811</f>
        <v>0.78169014084507</v>
      </c>
      <c r="J2811" s="15" t="n">
        <v>0.4773</v>
      </c>
      <c r="K2811" s="11" t="str">
        <f aca="false">IF(I2811&lt;J2811,"TAK","NIE")</f>
        <v>NIE</v>
      </c>
    </row>
    <row r="2812" customFormat="false" ht="15" hidden="false" customHeight="false" outlineLevel="0" collapsed="false">
      <c r="A2812" s="5" t="s">
        <v>593</v>
      </c>
      <c r="B2812" s="5" t="s">
        <v>60</v>
      </c>
      <c r="C2812" s="5" t="n">
        <v>2022</v>
      </c>
      <c r="D2812" s="5" t="s">
        <v>59</v>
      </c>
      <c r="E2812" s="5" t="s">
        <v>75</v>
      </c>
      <c r="F2812" s="5" t="s">
        <v>39</v>
      </c>
      <c r="G2812" s="6" t="n">
        <v>568</v>
      </c>
      <c r="H2812" s="6" t="n">
        <v>197</v>
      </c>
      <c r="I2812" s="7" t="n">
        <f aca="false">(G2812-H2812)/G2812</f>
        <v>0.653169014084507</v>
      </c>
      <c r="J2812" s="15" t="n">
        <v>0.4773</v>
      </c>
      <c r="K2812" s="11" t="str">
        <f aca="false">IF(I2812&lt;J2812,"TAK","NIE")</f>
        <v>NIE</v>
      </c>
    </row>
    <row r="2813" customFormat="false" ht="15" hidden="false" customHeight="false" outlineLevel="0" collapsed="false">
      <c r="A2813" s="5" t="s">
        <v>594</v>
      </c>
      <c r="B2813" s="5" t="s">
        <v>60</v>
      </c>
      <c r="C2813" s="5" t="n">
        <v>2022</v>
      </c>
      <c r="D2813" s="5" t="s">
        <v>59</v>
      </c>
      <c r="E2813" s="5" t="s">
        <v>75</v>
      </c>
      <c r="F2813" s="5" t="s">
        <v>39</v>
      </c>
      <c r="G2813" s="6" t="n">
        <v>568</v>
      </c>
      <c r="H2813" s="6" t="n">
        <v>91</v>
      </c>
      <c r="I2813" s="7" t="n">
        <f aca="false">(G2813-H2813)/G2813</f>
        <v>0.839788732394366</v>
      </c>
      <c r="J2813" s="15" t="n">
        <v>0.4773</v>
      </c>
      <c r="K2813" s="11" t="str">
        <f aca="false">IF(I2813&lt;J2813,"TAK","NIE")</f>
        <v>NIE</v>
      </c>
    </row>
    <row r="2814" customFormat="false" ht="15" hidden="false" customHeight="false" outlineLevel="0" collapsed="false">
      <c r="A2814" s="5" t="s">
        <v>595</v>
      </c>
      <c r="B2814" s="5" t="s">
        <v>60</v>
      </c>
      <c r="C2814" s="5" t="n">
        <v>2022</v>
      </c>
      <c r="D2814" s="5" t="s">
        <v>59</v>
      </c>
      <c r="E2814" s="5" t="s">
        <v>75</v>
      </c>
      <c r="F2814" s="5" t="s">
        <v>39</v>
      </c>
      <c r="G2814" s="6" t="n">
        <v>568</v>
      </c>
      <c r="H2814" s="6" t="n">
        <v>165</v>
      </c>
      <c r="I2814" s="7" t="n">
        <f aca="false">(G2814-H2814)/G2814</f>
        <v>0.709507042253521</v>
      </c>
      <c r="J2814" s="15" t="n">
        <v>0.4773</v>
      </c>
      <c r="K2814" s="11" t="str">
        <f aca="false">IF(I2814&lt;J2814,"TAK","NIE")</f>
        <v>NIE</v>
      </c>
    </row>
    <row r="2815" customFormat="false" ht="15" hidden="false" customHeight="false" outlineLevel="0" collapsed="false">
      <c r="A2815" s="5" t="s">
        <v>573</v>
      </c>
      <c r="B2815" s="5" t="s">
        <v>60</v>
      </c>
      <c r="C2815" s="5" t="n">
        <v>2022</v>
      </c>
      <c r="D2815" s="5" t="s">
        <v>59</v>
      </c>
      <c r="E2815" s="5" t="s">
        <v>75</v>
      </c>
      <c r="F2815" s="5" t="s">
        <v>40</v>
      </c>
      <c r="G2815" s="6" t="n">
        <v>717</v>
      </c>
      <c r="H2815" s="6" t="n">
        <v>338</v>
      </c>
      <c r="I2815" s="7" t="n">
        <f aca="false">(G2815-H2815)/G2815</f>
        <v>0.528591352859135</v>
      </c>
      <c r="J2815" s="15" t="n">
        <v>0.3077</v>
      </c>
      <c r="K2815" s="11" t="str">
        <f aca="false">IF(I2815&lt;J2815,"TAK","NIE")</f>
        <v>NIE</v>
      </c>
    </row>
    <row r="2816" customFormat="false" ht="15" hidden="false" customHeight="false" outlineLevel="0" collapsed="false">
      <c r="A2816" s="5" t="s">
        <v>575</v>
      </c>
      <c r="B2816" s="5" t="s">
        <v>60</v>
      </c>
      <c r="C2816" s="5" t="n">
        <v>2022</v>
      </c>
      <c r="D2816" s="5" t="s">
        <v>59</v>
      </c>
      <c r="E2816" s="5" t="s">
        <v>75</v>
      </c>
      <c r="F2816" s="5" t="s">
        <v>40</v>
      </c>
      <c r="G2816" s="6" t="n">
        <v>717</v>
      </c>
      <c r="H2816" s="6" t="n">
        <v>434</v>
      </c>
      <c r="I2816" s="7" t="n">
        <f aca="false">(G2816-H2816)/G2816</f>
        <v>0.394700139470014</v>
      </c>
      <c r="J2816" s="15" t="n">
        <v>0.3077</v>
      </c>
      <c r="K2816" s="11" t="str">
        <f aca="false">IF(I2816&lt;J2816,"TAK","NIE")</f>
        <v>NIE</v>
      </c>
    </row>
    <row r="2817" customFormat="false" ht="15" hidden="false" customHeight="false" outlineLevel="0" collapsed="false">
      <c r="A2817" s="5" t="s">
        <v>576</v>
      </c>
      <c r="B2817" s="5" t="s">
        <v>60</v>
      </c>
      <c r="C2817" s="5" t="n">
        <v>2022</v>
      </c>
      <c r="D2817" s="5" t="s">
        <v>59</v>
      </c>
      <c r="E2817" s="5" t="s">
        <v>75</v>
      </c>
      <c r="F2817" s="5" t="s">
        <v>40</v>
      </c>
      <c r="G2817" s="6" t="n">
        <v>717</v>
      </c>
      <c r="H2817" s="6" t="n">
        <v>347</v>
      </c>
      <c r="I2817" s="7" t="n">
        <f aca="false">(G2817-H2817)/G2817</f>
        <v>0.516039051603905</v>
      </c>
      <c r="J2817" s="15" t="n">
        <v>0.3077</v>
      </c>
      <c r="K2817" s="11" t="str">
        <f aca="false">IF(I2817&lt;J2817,"TAK","NIE")</f>
        <v>NIE</v>
      </c>
    </row>
    <row r="2818" customFormat="false" ht="15" hidden="false" customHeight="false" outlineLevel="0" collapsed="false">
      <c r="A2818" s="5" t="s">
        <v>578</v>
      </c>
      <c r="B2818" s="5" t="s">
        <v>60</v>
      </c>
      <c r="C2818" s="5" t="n">
        <v>2022</v>
      </c>
      <c r="D2818" s="5" t="s">
        <v>59</v>
      </c>
      <c r="E2818" s="5" t="s">
        <v>75</v>
      </c>
      <c r="F2818" s="5" t="s">
        <v>40</v>
      </c>
      <c r="G2818" s="6" t="n">
        <v>717</v>
      </c>
      <c r="H2818" s="6" t="n">
        <v>432</v>
      </c>
      <c r="I2818" s="7" t="n">
        <f aca="false">(G2818-H2818)/G2818</f>
        <v>0.397489539748954</v>
      </c>
      <c r="J2818" s="15" t="n">
        <v>0.3077</v>
      </c>
      <c r="K2818" s="11" t="str">
        <f aca="false">IF(I2818&lt;J2818,"TAK","NIE")</f>
        <v>NIE</v>
      </c>
    </row>
    <row r="2819" customFormat="false" ht="15" hidden="false" customHeight="false" outlineLevel="0" collapsed="false">
      <c r="A2819" s="5" t="s">
        <v>579</v>
      </c>
      <c r="B2819" s="5" t="s">
        <v>60</v>
      </c>
      <c r="C2819" s="5" t="n">
        <v>2022</v>
      </c>
      <c r="D2819" s="5" t="s">
        <v>59</v>
      </c>
      <c r="E2819" s="5" t="s">
        <v>75</v>
      </c>
      <c r="F2819" s="5" t="s">
        <v>40</v>
      </c>
      <c r="G2819" s="6" t="n">
        <v>717</v>
      </c>
      <c r="H2819" s="6" t="n">
        <v>354</v>
      </c>
      <c r="I2819" s="7" t="n">
        <f aca="false">(G2819-H2819)/G2819</f>
        <v>0.506276150627615</v>
      </c>
      <c r="J2819" s="15" t="n">
        <v>0.3077</v>
      </c>
      <c r="K2819" s="11" t="str">
        <f aca="false">IF(I2819&lt;J2819,"TAK","NIE")</f>
        <v>NIE</v>
      </c>
    </row>
    <row r="2820" customFormat="false" ht="15" hidden="false" customHeight="false" outlineLevel="0" collapsed="false">
      <c r="A2820" s="5" t="s">
        <v>580</v>
      </c>
      <c r="B2820" s="5" t="s">
        <v>60</v>
      </c>
      <c r="C2820" s="5" t="n">
        <v>2022</v>
      </c>
      <c r="D2820" s="5" t="s">
        <v>59</v>
      </c>
      <c r="E2820" s="5" t="s">
        <v>75</v>
      </c>
      <c r="F2820" s="5" t="s">
        <v>40</v>
      </c>
      <c r="G2820" s="6" t="n">
        <v>717</v>
      </c>
      <c r="H2820" s="6" t="n">
        <v>351</v>
      </c>
      <c r="I2820" s="7" t="n">
        <f aca="false">(G2820-H2820)/G2820</f>
        <v>0.510460251046025</v>
      </c>
      <c r="J2820" s="15" t="n">
        <v>0.3077</v>
      </c>
      <c r="K2820" s="11" t="str">
        <f aca="false">IF(I2820&lt;J2820,"TAK","NIE")</f>
        <v>NIE</v>
      </c>
    </row>
    <row r="2821" customFormat="false" ht="15" hidden="false" customHeight="false" outlineLevel="0" collapsed="false">
      <c r="A2821" s="5" t="s">
        <v>583</v>
      </c>
      <c r="B2821" s="5" t="s">
        <v>60</v>
      </c>
      <c r="C2821" s="5" t="n">
        <v>2022</v>
      </c>
      <c r="D2821" s="5" t="s">
        <v>59</v>
      </c>
      <c r="E2821" s="5" t="s">
        <v>75</v>
      </c>
      <c r="F2821" s="5" t="s">
        <v>40</v>
      </c>
      <c r="G2821" s="6" t="n">
        <v>717</v>
      </c>
      <c r="H2821" s="6" t="n">
        <v>321</v>
      </c>
      <c r="I2821" s="7" t="n">
        <f aca="false">(G2821-H2821)/G2821</f>
        <v>0.552301255230126</v>
      </c>
      <c r="J2821" s="15" t="n">
        <v>0.3077</v>
      </c>
      <c r="K2821" s="11" t="str">
        <f aca="false">IF(I2821&lt;J2821,"TAK","NIE")</f>
        <v>NIE</v>
      </c>
    </row>
    <row r="2822" customFormat="false" ht="15" hidden="false" customHeight="false" outlineLevel="0" collapsed="false">
      <c r="A2822" s="5" t="s">
        <v>584</v>
      </c>
      <c r="B2822" s="5" t="s">
        <v>60</v>
      </c>
      <c r="C2822" s="5" t="n">
        <v>2022</v>
      </c>
      <c r="D2822" s="5" t="s">
        <v>59</v>
      </c>
      <c r="E2822" s="5" t="s">
        <v>75</v>
      </c>
      <c r="F2822" s="5" t="s">
        <v>40</v>
      </c>
      <c r="G2822" s="6" t="n">
        <v>717</v>
      </c>
      <c r="H2822" s="6" t="n">
        <v>258</v>
      </c>
      <c r="I2822" s="7" t="n">
        <f aca="false">(G2822-H2822)/G2822</f>
        <v>0.640167364016736</v>
      </c>
      <c r="J2822" s="15" t="n">
        <v>0.3077</v>
      </c>
      <c r="K2822" s="11" t="str">
        <f aca="false">IF(I2822&lt;J2822,"TAK","NIE")</f>
        <v>NIE</v>
      </c>
    </row>
    <row r="2823" customFormat="false" ht="15" hidden="false" customHeight="false" outlineLevel="0" collapsed="false">
      <c r="A2823" s="5" t="s">
        <v>585</v>
      </c>
      <c r="B2823" s="5" t="s">
        <v>60</v>
      </c>
      <c r="C2823" s="5" t="n">
        <v>2022</v>
      </c>
      <c r="D2823" s="5" t="s">
        <v>59</v>
      </c>
      <c r="E2823" s="5" t="s">
        <v>75</v>
      </c>
      <c r="F2823" s="5" t="s">
        <v>40</v>
      </c>
      <c r="G2823" s="6" t="n">
        <v>717</v>
      </c>
      <c r="H2823" s="6" t="n">
        <v>256</v>
      </c>
      <c r="I2823" s="7" t="n">
        <f aca="false">(G2823-H2823)/G2823</f>
        <v>0.642956764295676</v>
      </c>
      <c r="J2823" s="15" t="n">
        <v>0.3077</v>
      </c>
      <c r="K2823" s="11" t="str">
        <f aca="false">IF(I2823&lt;J2823,"TAK","NIE")</f>
        <v>NIE</v>
      </c>
    </row>
    <row r="2824" customFormat="false" ht="15" hidden="false" customHeight="false" outlineLevel="0" collapsed="false">
      <c r="A2824" s="5" t="s">
        <v>586</v>
      </c>
      <c r="B2824" s="5" t="s">
        <v>60</v>
      </c>
      <c r="C2824" s="5" t="n">
        <v>2022</v>
      </c>
      <c r="D2824" s="5" t="s">
        <v>59</v>
      </c>
      <c r="E2824" s="5" t="s">
        <v>75</v>
      </c>
      <c r="F2824" s="5" t="s">
        <v>40</v>
      </c>
      <c r="G2824" s="6" t="n">
        <v>717</v>
      </c>
      <c r="H2824" s="6" t="n">
        <v>244</v>
      </c>
      <c r="I2824" s="7" t="n">
        <f aca="false">(G2824-H2824)/G2824</f>
        <v>0.659693165969317</v>
      </c>
      <c r="J2824" s="15" t="n">
        <v>0.3077</v>
      </c>
      <c r="K2824" s="11" t="str">
        <f aca="false">IF(I2824&lt;J2824,"TAK","NIE")</f>
        <v>NIE</v>
      </c>
    </row>
    <row r="2825" customFormat="false" ht="15" hidden="false" customHeight="false" outlineLevel="0" collapsed="false">
      <c r="A2825" s="5" t="s">
        <v>587</v>
      </c>
      <c r="B2825" s="5" t="s">
        <v>60</v>
      </c>
      <c r="C2825" s="5" t="n">
        <v>2022</v>
      </c>
      <c r="D2825" s="5" t="s">
        <v>59</v>
      </c>
      <c r="E2825" s="5" t="s">
        <v>75</v>
      </c>
      <c r="F2825" s="5" t="s">
        <v>40</v>
      </c>
      <c r="G2825" s="6" t="n">
        <v>717</v>
      </c>
      <c r="H2825" s="6" t="n">
        <v>357</v>
      </c>
      <c r="I2825" s="7" t="n">
        <f aca="false">(G2825-H2825)/G2825</f>
        <v>0.502092050209205</v>
      </c>
      <c r="J2825" s="15" t="n">
        <v>0.3077</v>
      </c>
      <c r="K2825" s="11" t="str">
        <f aca="false">IF(I2825&lt;J2825,"TAK","NIE")</f>
        <v>NIE</v>
      </c>
    </row>
    <row r="2826" customFormat="false" ht="15" hidden="false" customHeight="false" outlineLevel="0" collapsed="false">
      <c r="A2826" s="5" t="s">
        <v>588</v>
      </c>
      <c r="B2826" s="5" t="s">
        <v>60</v>
      </c>
      <c r="C2826" s="5" t="n">
        <v>2022</v>
      </c>
      <c r="D2826" s="5" t="s">
        <v>59</v>
      </c>
      <c r="E2826" s="5" t="s">
        <v>75</v>
      </c>
      <c r="F2826" s="5" t="s">
        <v>40</v>
      </c>
      <c r="G2826" s="6" t="n">
        <v>717</v>
      </c>
      <c r="H2826" s="6" t="n">
        <v>359</v>
      </c>
      <c r="I2826" s="7" t="n">
        <f aca="false">(G2826-H2826)/G2826</f>
        <v>0.499302649930265</v>
      </c>
      <c r="J2826" s="15" t="n">
        <v>0.3077</v>
      </c>
      <c r="K2826" s="11" t="str">
        <f aca="false">IF(I2826&lt;J2826,"TAK","NIE")</f>
        <v>NIE</v>
      </c>
    </row>
    <row r="2827" customFormat="false" ht="15" hidden="false" customHeight="false" outlineLevel="0" collapsed="false">
      <c r="A2827" s="5" t="s">
        <v>589</v>
      </c>
      <c r="B2827" s="5" t="s">
        <v>60</v>
      </c>
      <c r="C2827" s="5" t="n">
        <v>2022</v>
      </c>
      <c r="D2827" s="5" t="s">
        <v>59</v>
      </c>
      <c r="E2827" s="5" t="s">
        <v>75</v>
      </c>
      <c r="F2827" s="5" t="s">
        <v>40</v>
      </c>
      <c r="G2827" s="6" t="n">
        <v>717</v>
      </c>
      <c r="H2827" s="6" t="n">
        <v>331</v>
      </c>
      <c r="I2827" s="7" t="n">
        <f aca="false">(G2827-H2827)/G2827</f>
        <v>0.538354253835425</v>
      </c>
      <c r="J2827" s="15" t="n">
        <v>0.3077</v>
      </c>
      <c r="K2827" s="11" t="str">
        <f aca="false">IF(I2827&lt;J2827,"TAK","NIE")</f>
        <v>NIE</v>
      </c>
    </row>
    <row r="2828" customFormat="false" ht="15" hidden="false" customHeight="false" outlineLevel="0" collapsed="false">
      <c r="A2828" s="5" t="s">
        <v>590</v>
      </c>
      <c r="B2828" s="5" t="s">
        <v>60</v>
      </c>
      <c r="C2828" s="5" t="n">
        <v>2022</v>
      </c>
      <c r="D2828" s="5" t="s">
        <v>59</v>
      </c>
      <c r="E2828" s="5" t="s">
        <v>75</v>
      </c>
      <c r="F2828" s="5" t="s">
        <v>40</v>
      </c>
      <c r="G2828" s="6" t="n">
        <v>717</v>
      </c>
      <c r="H2828" s="6" t="n">
        <v>211</v>
      </c>
      <c r="I2828" s="7" t="n">
        <f aca="false">(G2828-H2828)/G2828</f>
        <v>0.705718270571827</v>
      </c>
      <c r="J2828" s="15" t="n">
        <v>0.3077</v>
      </c>
      <c r="K2828" s="11" t="str">
        <f aca="false">IF(I2828&lt;J2828,"TAK","NIE")</f>
        <v>NIE</v>
      </c>
    </row>
    <row r="2829" customFormat="false" ht="15" hidden="false" customHeight="false" outlineLevel="0" collapsed="false">
      <c r="A2829" s="5" t="s">
        <v>591</v>
      </c>
      <c r="B2829" s="5" t="s">
        <v>60</v>
      </c>
      <c r="C2829" s="5" t="n">
        <v>2022</v>
      </c>
      <c r="D2829" s="5" t="s">
        <v>59</v>
      </c>
      <c r="E2829" s="5" t="s">
        <v>75</v>
      </c>
      <c r="F2829" s="5" t="s">
        <v>40</v>
      </c>
      <c r="G2829" s="6" t="n">
        <v>1434</v>
      </c>
      <c r="H2829" s="6" t="n">
        <v>595</v>
      </c>
      <c r="I2829" s="7" t="n">
        <f aca="false">(G2829-H2829)/G2829</f>
        <v>0.585076708507671</v>
      </c>
      <c r="J2829" s="15" t="n">
        <v>0.3077</v>
      </c>
      <c r="K2829" s="11" t="str">
        <f aca="false">IF(I2829&lt;J2829,"TAK","NIE")</f>
        <v>NIE</v>
      </c>
    </row>
    <row r="2830" customFormat="false" ht="15" hidden="false" customHeight="false" outlineLevel="0" collapsed="false">
      <c r="A2830" s="5" t="s">
        <v>592</v>
      </c>
      <c r="B2830" s="5" t="s">
        <v>60</v>
      </c>
      <c r="C2830" s="5" t="n">
        <v>2022</v>
      </c>
      <c r="D2830" s="5" t="s">
        <v>59</v>
      </c>
      <c r="E2830" s="5" t="s">
        <v>75</v>
      </c>
      <c r="F2830" s="5" t="s">
        <v>40</v>
      </c>
      <c r="G2830" s="6" t="n">
        <v>717</v>
      </c>
      <c r="H2830" s="6" t="n">
        <v>183</v>
      </c>
      <c r="I2830" s="7" t="n">
        <f aca="false">(G2830-H2830)/G2830</f>
        <v>0.744769874476987</v>
      </c>
      <c r="J2830" s="15" t="n">
        <v>0.3077</v>
      </c>
      <c r="K2830" s="11" t="str">
        <f aca="false">IF(I2830&lt;J2830,"TAK","NIE")</f>
        <v>NIE</v>
      </c>
    </row>
    <row r="2831" customFormat="false" ht="15" hidden="false" customHeight="false" outlineLevel="0" collapsed="false">
      <c r="A2831" s="5" t="s">
        <v>593</v>
      </c>
      <c r="B2831" s="5" t="s">
        <v>60</v>
      </c>
      <c r="C2831" s="5" t="n">
        <v>2022</v>
      </c>
      <c r="D2831" s="5" t="s">
        <v>59</v>
      </c>
      <c r="E2831" s="5" t="s">
        <v>75</v>
      </c>
      <c r="F2831" s="5" t="s">
        <v>40</v>
      </c>
      <c r="G2831" s="6" t="n">
        <v>717</v>
      </c>
      <c r="H2831" s="6" t="n">
        <v>274</v>
      </c>
      <c r="I2831" s="7" t="n">
        <f aca="false">(G2831-H2831)/G2831</f>
        <v>0.617852161785216</v>
      </c>
      <c r="J2831" s="15" t="n">
        <v>0.3077</v>
      </c>
      <c r="K2831" s="11" t="str">
        <f aca="false">IF(I2831&lt;J2831,"TAK","NIE")</f>
        <v>NIE</v>
      </c>
    </row>
    <row r="2832" customFormat="false" ht="15" hidden="false" customHeight="false" outlineLevel="0" collapsed="false">
      <c r="A2832" s="5" t="s">
        <v>594</v>
      </c>
      <c r="B2832" s="5" t="s">
        <v>60</v>
      </c>
      <c r="C2832" s="5" t="n">
        <v>2022</v>
      </c>
      <c r="D2832" s="5" t="s">
        <v>59</v>
      </c>
      <c r="E2832" s="5" t="s">
        <v>75</v>
      </c>
      <c r="F2832" s="5" t="s">
        <v>40</v>
      </c>
      <c r="G2832" s="6" t="n">
        <v>717</v>
      </c>
      <c r="H2832" s="6" t="n">
        <v>213</v>
      </c>
      <c r="I2832" s="7" t="n">
        <f aca="false">(G2832-H2832)/G2832</f>
        <v>0.702928870292887</v>
      </c>
      <c r="J2832" s="15" t="n">
        <v>0.3077</v>
      </c>
      <c r="K2832" s="11" t="str">
        <f aca="false">IF(I2832&lt;J2832,"TAK","NIE")</f>
        <v>NIE</v>
      </c>
    </row>
    <row r="2833" customFormat="false" ht="15" hidden="false" customHeight="false" outlineLevel="0" collapsed="false">
      <c r="A2833" s="5" t="s">
        <v>595</v>
      </c>
      <c r="B2833" s="5" t="s">
        <v>60</v>
      </c>
      <c r="C2833" s="5" t="n">
        <v>2022</v>
      </c>
      <c r="D2833" s="5" t="s">
        <v>59</v>
      </c>
      <c r="E2833" s="5" t="s">
        <v>75</v>
      </c>
      <c r="F2833" s="5" t="s">
        <v>40</v>
      </c>
      <c r="G2833" s="6" t="n">
        <v>717</v>
      </c>
      <c r="H2833" s="6" t="n">
        <v>307</v>
      </c>
      <c r="I2833" s="7" t="n">
        <f aca="false">(G2833-H2833)/G2833</f>
        <v>0.571827057182706</v>
      </c>
      <c r="J2833" s="15" t="n">
        <v>0.3077</v>
      </c>
      <c r="K2833" s="11" t="str">
        <f aca="false">IF(I2833&lt;J2833,"TAK","NIE")</f>
        <v>NIE</v>
      </c>
    </row>
    <row r="2834" customFormat="false" ht="15" hidden="false" customHeight="false" outlineLevel="0" collapsed="false">
      <c r="A2834" s="5" t="s">
        <v>573</v>
      </c>
      <c r="B2834" s="5" t="s">
        <v>61</v>
      </c>
      <c r="C2834" s="5" t="n">
        <v>2022</v>
      </c>
      <c r="D2834" s="5" t="s">
        <v>59</v>
      </c>
      <c r="E2834" s="5" t="s">
        <v>89</v>
      </c>
      <c r="F2834" s="5" t="s">
        <v>39</v>
      </c>
      <c r="G2834" s="6" t="n">
        <v>403</v>
      </c>
      <c r="H2834" s="6" t="n">
        <v>74</v>
      </c>
      <c r="I2834" s="7" t="n">
        <f aca="false">(G2834-H2834)/G2834</f>
        <v>0.816377171215881</v>
      </c>
      <c r="J2834" s="15" t="n">
        <v>0.4375</v>
      </c>
      <c r="K2834" s="11" t="str">
        <f aca="false">IF(I2834&lt;J2834,"TAK","NIE")</f>
        <v>NIE</v>
      </c>
    </row>
    <row r="2835" customFormat="false" ht="15" hidden="false" customHeight="false" outlineLevel="0" collapsed="false">
      <c r="A2835" s="5" t="s">
        <v>575</v>
      </c>
      <c r="B2835" s="5" t="s">
        <v>61</v>
      </c>
      <c r="C2835" s="5" t="n">
        <v>2022</v>
      </c>
      <c r="D2835" s="5" t="s">
        <v>59</v>
      </c>
      <c r="E2835" s="5" t="s">
        <v>89</v>
      </c>
      <c r="F2835" s="5" t="s">
        <v>39</v>
      </c>
      <c r="G2835" s="6" t="n">
        <v>401</v>
      </c>
      <c r="H2835" s="6" t="n">
        <v>143</v>
      </c>
      <c r="I2835" s="7" t="n">
        <f aca="false">(G2835-H2835)/G2835</f>
        <v>0.643391521197008</v>
      </c>
      <c r="J2835" s="15" t="n">
        <v>0.4375</v>
      </c>
      <c r="K2835" s="11" t="str">
        <f aca="false">IF(I2835&lt;J2835,"TAK","NIE")</f>
        <v>NIE</v>
      </c>
    </row>
    <row r="2836" customFormat="false" ht="15" hidden="false" customHeight="false" outlineLevel="0" collapsed="false">
      <c r="A2836" s="5" t="s">
        <v>576</v>
      </c>
      <c r="B2836" s="5" t="s">
        <v>61</v>
      </c>
      <c r="C2836" s="5" t="n">
        <v>2022</v>
      </c>
      <c r="D2836" s="5" t="s">
        <v>59</v>
      </c>
      <c r="E2836" s="5" t="s">
        <v>89</v>
      </c>
      <c r="F2836" s="5" t="s">
        <v>39</v>
      </c>
      <c r="G2836" s="6" t="n">
        <v>408</v>
      </c>
      <c r="H2836" s="6" t="n">
        <v>109</v>
      </c>
      <c r="I2836" s="7" t="n">
        <f aca="false">(G2836-H2836)/G2836</f>
        <v>0.732843137254902</v>
      </c>
      <c r="J2836" s="15" t="n">
        <v>0.4375</v>
      </c>
      <c r="K2836" s="11" t="str">
        <f aca="false">IF(I2836&lt;J2836,"TAK","NIE")</f>
        <v>NIE</v>
      </c>
    </row>
    <row r="2837" customFormat="false" ht="15" hidden="false" customHeight="false" outlineLevel="0" collapsed="false">
      <c r="A2837" s="5" t="s">
        <v>578</v>
      </c>
      <c r="B2837" s="5" t="s">
        <v>61</v>
      </c>
      <c r="C2837" s="5" t="n">
        <v>2022</v>
      </c>
      <c r="D2837" s="5" t="s">
        <v>59</v>
      </c>
      <c r="E2837" s="5" t="s">
        <v>89</v>
      </c>
      <c r="F2837" s="5" t="s">
        <v>39</v>
      </c>
      <c r="G2837" s="6" t="n">
        <v>401</v>
      </c>
      <c r="H2837" s="6" t="n">
        <v>153</v>
      </c>
      <c r="I2837" s="7" t="n">
        <f aca="false">(G2837-H2837)/G2837</f>
        <v>0.618453865336658</v>
      </c>
      <c r="J2837" s="15" t="n">
        <v>0.4375</v>
      </c>
      <c r="K2837" s="11" t="str">
        <f aca="false">IF(I2837&lt;J2837,"TAK","NIE")</f>
        <v>NIE</v>
      </c>
    </row>
    <row r="2838" customFormat="false" ht="15" hidden="false" customHeight="false" outlineLevel="0" collapsed="false">
      <c r="A2838" s="5" t="s">
        <v>579</v>
      </c>
      <c r="B2838" s="5" t="s">
        <v>61</v>
      </c>
      <c r="C2838" s="5" t="n">
        <v>2022</v>
      </c>
      <c r="D2838" s="5" t="s">
        <v>59</v>
      </c>
      <c r="E2838" s="5" t="s">
        <v>89</v>
      </c>
      <c r="F2838" s="5" t="s">
        <v>39</v>
      </c>
      <c r="G2838" s="6" t="n">
        <v>403</v>
      </c>
      <c r="H2838" s="6" t="n">
        <v>94</v>
      </c>
      <c r="I2838" s="7" t="n">
        <f aca="false">(G2838-H2838)/G2838</f>
        <v>0.766749379652606</v>
      </c>
      <c r="J2838" s="15" t="n">
        <v>0.4375</v>
      </c>
      <c r="K2838" s="11" t="str">
        <f aca="false">IF(I2838&lt;J2838,"TAK","NIE")</f>
        <v>NIE</v>
      </c>
    </row>
    <row r="2839" customFormat="false" ht="15" hidden="false" customHeight="false" outlineLevel="0" collapsed="false">
      <c r="A2839" s="5" t="s">
        <v>580</v>
      </c>
      <c r="B2839" s="5" t="s">
        <v>61</v>
      </c>
      <c r="C2839" s="5" t="n">
        <v>2022</v>
      </c>
      <c r="D2839" s="5" t="s">
        <v>59</v>
      </c>
      <c r="E2839" s="5" t="s">
        <v>89</v>
      </c>
      <c r="F2839" s="5" t="s">
        <v>39</v>
      </c>
      <c r="G2839" s="6" t="n">
        <v>403</v>
      </c>
      <c r="H2839" s="6" t="n">
        <v>134</v>
      </c>
      <c r="I2839" s="7" t="n">
        <f aca="false">(G2839-H2839)/G2839</f>
        <v>0.667493796526055</v>
      </c>
      <c r="J2839" s="15" t="n">
        <v>0.4375</v>
      </c>
      <c r="K2839" s="11" t="str">
        <f aca="false">IF(I2839&lt;J2839,"TAK","NIE")</f>
        <v>NIE</v>
      </c>
    </row>
    <row r="2840" customFormat="false" ht="15" hidden="false" customHeight="false" outlineLevel="0" collapsed="false">
      <c r="A2840" s="5" t="s">
        <v>583</v>
      </c>
      <c r="B2840" s="5" t="s">
        <v>61</v>
      </c>
      <c r="C2840" s="5" t="n">
        <v>2022</v>
      </c>
      <c r="D2840" s="5" t="s">
        <v>59</v>
      </c>
      <c r="E2840" s="5" t="s">
        <v>89</v>
      </c>
      <c r="F2840" s="5" t="s">
        <v>39</v>
      </c>
      <c r="G2840" s="6" t="n">
        <v>401</v>
      </c>
      <c r="H2840" s="6" t="n">
        <v>131</v>
      </c>
      <c r="I2840" s="7" t="n">
        <f aca="false">(G2840-H2840)/G2840</f>
        <v>0.673316708229427</v>
      </c>
      <c r="J2840" s="15" t="n">
        <v>0.4375</v>
      </c>
      <c r="K2840" s="11" t="str">
        <f aca="false">IF(I2840&lt;J2840,"TAK","NIE")</f>
        <v>NIE</v>
      </c>
    </row>
    <row r="2841" customFormat="false" ht="15" hidden="false" customHeight="false" outlineLevel="0" collapsed="false">
      <c r="A2841" s="5" t="s">
        <v>584</v>
      </c>
      <c r="B2841" s="5" t="s">
        <v>61</v>
      </c>
      <c r="C2841" s="5" t="n">
        <v>2022</v>
      </c>
      <c r="D2841" s="5" t="s">
        <v>59</v>
      </c>
      <c r="E2841" s="5" t="s">
        <v>89</v>
      </c>
      <c r="F2841" s="5" t="s">
        <v>39</v>
      </c>
      <c r="G2841" s="6" t="n">
        <v>401</v>
      </c>
      <c r="H2841" s="6" t="n">
        <v>23</v>
      </c>
      <c r="I2841" s="7" t="n">
        <f aca="false">(G2841-H2841)/G2841</f>
        <v>0.942643391521197</v>
      </c>
      <c r="J2841" s="15" t="n">
        <v>0.4375</v>
      </c>
      <c r="K2841" s="11" t="str">
        <f aca="false">IF(I2841&lt;J2841,"TAK","NIE")</f>
        <v>NIE</v>
      </c>
    </row>
    <row r="2842" customFormat="false" ht="15" hidden="false" customHeight="false" outlineLevel="0" collapsed="false">
      <c r="A2842" s="5" t="s">
        <v>585</v>
      </c>
      <c r="B2842" s="5" t="s">
        <v>61</v>
      </c>
      <c r="C2842" s="5" t="n">
        <v>2022</v>
      </c>
      <c r="D2842" s="5" t="s">
        <v>59</v>
      </c>
      <c r="E2842" s="5" t="s">
        <v>89</v>
      </c>
      <c r="F2842" s="5" t="s">
        <v>39</v>
      </c>
      <c r="G2842" s="6" t="n">
        <v>410</v>
      </c>
      <c r="H2842" s="6" t="n">
        <v>44</v>
      </c>
      <c r="I2842" s="7" t="n">
        <f aca="false">(G2842-H2842)/G2842</f>
        <v>0.892682926829268</v>
      </c>
      <c r="J2842" s="15" t="n">
        <v>0.4375</v>
      </c>
      <c r="K2842" s="11" t="str">
        <f aca="false">IF(I2842&lt;J2842,"TAK","NIE")</f>
        <v>NIE</v>
      </c>
    </row>
    <row r="2843" customFormat="false" ht="15" hidden="false" customHeight="false" outlineLevel="0" collapsed="false">
      <c r="A2843" s="5" t="s">
        <v>586</v>
      </c>
      <c r="B2843" s="5" t="s">
        <v>61</v>
      </c>
      <c r="C2843" s="5" t="n">
        <v>2022</v>
      </c>
      <c r="D2843" s="5" t="s">
        <v>59</v>
      </c>
      <c r="E2843" s="5" t="s">
        <v>89</v>
      </c>
      <c r="F2843" s="5" t="s">
        <v>39</v>
      </c>
      <c r="G2843" s="6" t="n">
        <v>403</v>
      </c>
      <c r="H2843" s="6" t="n">
        <v>67</v>
      </c>
      <c r="I2843" s="7" t="n">
        <f aca="false">(G2843-H2843)/G2843</f>
        <v>0.833746898263027</v>
      </c>
      <c r="J2843" s="15" t="n">
        <v>0.4375</v>
      </c>
      <c r="K2843" s="11" t="str">
        <f aca="false">IF(I2843&lt;J2843,"TAK","NIE")</f>
        <v>NIE</v>
      </c>
    </row>
    <row r="2844" customFormat="false" ht="15" hidden="false" customHeight="false" outlineLevel="0" collapsed="false">
      <c r="A2844" s="5" t="s">
        <v>587</v>
      </c>
      <c r="B2844" s="5" t="s">
        <v>61</v>
      </c>
      <c r="C2844" s="5" t="n">
        <v>2022</v>
      </c>
      <c r="D2844" s="5" t="s">
        <v>59</v>
      </c>
      <c r="E2844" s="5" t="s">
        <v>89</v>
      </c>
      <c r="F2844" s="5" t="s">
        <v>39</v>
      </c>
      <c r="G2844" s="6" t="n">
        <v>410</v>
      </c>
      <c r="H2844" s="6" t="n">
        <v>145</v>
      </c>
      <c r="I2844" s="7" t="n">
        <f aca="false">(G2844-H2844)/G2844</f>
        <v>0.646341463414634</v>
      </c>
      <c r="J2844" s="15" t="n">
        <v>0.4375</v>
      </c>
      <c r="K2844" s="11" t="str">
        <f aca="false">IF(I2844&lt;J2844,"TAK","NIE")</f>
        <v>NIE</v>
      </c>
    </row>
    <row r="2845" customFormat="false" ht="15" hidden="false" customHeight="false" outlineLevel="0" collapsed="false">
      <c r="A2845" s="5" t="s">
        <v>588</v>
      </c>
      <c r="B2845" s="5" t="s">
        <v>61</v>
      </c>
      <c r="C2845" s="5" t="n">
        <v>2022</v>
      </c>
      <c r="D2845" s="5" t="s">
        <v>59</v>
      </c>
      <c r="E2845" s="5" t="s">
        <v>89</v>
      </c>
      <c r="F2845" s="5" t="s">
        <v>39</v>
      </c>
      <c r="G2845" s="6" t="n">
        <v>403</v>
      </c>
      <c r="H2845" s="6" t="n">
        <v>127</v>
      </c>
      <c r="I2845" s="7" t="n">
        <f aca="false">(G2845-H2845)/G2845</f>
        <v>0.684863523573201</v>
      </c>
      <c r="J2845" s="15" t="n">
        <v>0.4375</v>
      </c>
      <c r="K2845" s="11" t="str">
        <f aca="false">IF(I2845&lt;J2845,"TAK","NIE")</f>
        <v>NIE</v>
      </c>
    </row>
    <row r="2846" customFormat="false" ht="15" hidden="false" customHeight="false" outlineLevel="0" collapsed="false">
      <c r="A2846" s="5" t="s">
        <v>589</v>
      </c>
      <c r="B2846" s="5" t="s">
        <v>61</v>
      </c>
      <c r="C2846" s="5" t="n">
        <v>2022</v>
      </c>
      <c r="D2846" s="5" t="s">
        <v>59</v>
      </c>
      <c r="E2846" s="5" t="s">
        <v>89</v>
      </c>
      <c r="F2846" s="5" t="s">
        <v>39</v>
      </c>
      <c r="G2846" s="6" t="n">
        <v>401</v>
      </c>
      <c r="H2846" s="6" t="n">
        <v>207</v>
      </c>
      <c r="I2846" s="7" t="n">
        <f aca="false">(G2846-H2846)/G2846</f>
        <v>0.483790523690773</v>
      </c>
      <c r="J2846" s="15" t="n">
        <v>0.4375</v>
      </c>
      <c r="K2846" s="11" t="str">
        <f aca="false">IF(I2846&lt;J2846,"TAK","NIE")</f>
        <v>NIE</v>
      </c>
    </row>
    <row r="2847" customFormat="false" ht="15" hidden="false" customHeight="false" outlineLevel="0" collapsed="false">
      <c r="A2847" s="5" t="s">
        <v>590</v>
      </c>
      <c r="B2847" s="5" t="s">
        <v>61</v>
      </c>
      <c r="C2847" s="5" t="n">
        <v>2022</v>
      </c>
      <c r="D2847" s="5" t="s">
        <v>59</v>
      </c>
      <c r="E2847" s="5" t="s">
        <v>89</v>
      </c>
      <c r="F2847" s="5" t="s">
        <v>39</v>
      </c>
      <c r="G2847" s="6" t="n">
        <v>403</v>
      </c>
      <c r="H2847" s="6" t="n">
        <v>52</v>
      </c>
      <c r="I2847" s="7" t="n">
        <f aca="false">(G2847-H2847)/G2847</f>
        <v>0.870967741935484</v>
      </c>
      <c r="J2847" s="15" t="n">
        <v>0.4375</v>
      </c>
      <c r="K2847" s="11" t="str">
        <f aca="false">IF(I2847&lt;J2847,"TAK","NIE")</f>
        <v>NIE</v>
      </c>
    </row>
    <row r="2848" customFormat="false" ht="15" hidden="false" customHeight="false" outlineLevel="0" collapsed="false">
      <c r="A2848" s="5" t="s">
        <v>591</v>
      </c>
      <c r="B2848" s="5" t="s">
        <v>61</v>
      </c>
      <c r="C2848" s="5" t="n">
        <v>2022</v>
      </c>
      <c r="D2848" s="5" t="s">
        <v>59</v>
      </c>
      <c r="E2848" s="5" t="s">
        <v>89</v>
      </c>
      <c r="F2848" s="5" t="s">
        <v>39</v>
      </c>
      <c r="G2848" s="6" t="n">
        <v>809</v>
      </c>
      <c r="H2848" s="6" t="n">
        <v>214</v>
      </c>
      <c r="I2848" s="7" t="n">
        <f aca="false">(G2848-H2848)/G2848</f>
        <v>0.735475896168109</v>
      </c>
      <c r="J2848" s="15" t="n">
        <v>0.4375</v>
      </c>
      <c r="K2848" s="11" t="str">
        <f aca="false">IF(I2848&lt;J2848,"TAK","NIE")</f>
        <v>NIE</v>
      </c>
    </row>
    <row r="2849" customFormat="false" ht="15" hidden="false" customHeight="false" outlineLevel="0" collapsed="false">
      <c r="A2849" s="5" t="s">
        <v>592</v>
      </c>
      <c r="B2849" s="5" t="s">
        <v>61</v>
      </c>
      <c r="C2849" s="5" t="n">
        <v>2022</v>
      </c>
      <c r="D2849" s="5" t="s">
        <v>59</v>
      </c>
      <c r="E2849" s="5" t="s">
        <v>89</v>
      </c>
      <c r="F2849" s="5" t="s">
        <v>39</v>
      </c>
      <c r="G2849" s="6" t="n">
        <v>403</v>
      </c>
      <c r="H2849" s="6" t="n">
        <v>46</v>
      </c>
      <c r="I2849" s="7" t="n">
        <f aca="false">(G2849-H2849)/G2849</f>
        <v>0.885856079404467</v>
      </c>
      <c r="J2849" s="15" t="n">
        <v>0.4375</v>
      </c>
      <c r="K2849" s="11" t="str">
        <f aca="false">IF(I2849&lt;J2849,"TAK","NIE")</f>
        <v>NIE</v>
      </c>
    </row>
    <row r="2850" customFormat="false" ht="15" hidden="false" customHeight="false" outlineLevel="0" collapsed="false">
      <c r="A2850" s="5" t="s">
        <v>593</v>
      </c>
      <c r="B2850" s="5" t="s">
        <v>61</v>
      </c>
      <c r="C2850" s="5" t="n">
        <v>2022</v>
      </c>
      <c r="D2850" s="5" t="s">
        <v>59</v>
      </c>
      <c r="E2850" s="5" t="s">
        <v>89</v>
      </c>
      <c r="F2850" s="5" t="s">
        <v>39</v>
      </c>
      <c r="G2850" s="6" t="n">
        <v>401</v>
      </c>
      <c r="H2850" s="6" t="n">
        <v>111</v>
      </c>
      <c r="I2850" s="7" t="n">
        <f aca="false">(G2850-H2850)/G2850</f>
        <v>0.723192019950125</v>
      </c>
      <c r="J2850" s="15" t="n">
        <v>0.4375</v>
      </c>
      <c r="K2850" s="11" t="str">
        <f aca="false">IF(I2850&lt;J2850,"TAK","NIE")</f>
        <v>NIE</v>
      </c>
    </row>
    <row r="2851" customFormat="false" ht="15" hidden="false" customHeight="false" outlineLevel="0" collapsed="false">
      <c r="A2851" s="5" t="s">
        <v>594</v>
      </c>
      <c r="B2851" s="5" t="s">
        <v>61</v>
      </c>
      <c r="C2851" s="5" t="n">
        <v>2022</v>
      </c>
      <c r="D2851" s="5" t="s">
        <v>59</v>
      </c>
      <c r="E2851" s="5" t="s">
        <v>89</v>
      </c>
      <c r="F2851" s="5" t="s">
        <v>39</v>
      </c>
      <c r="G2851" s="6" t="n">
        <v>403</v>
      </c>
      <c r="H2851" s="6" t="n">
        <v>81</v>
      </c>
      <c r="I2851" s="7" t="n">
        <f aca="false">(G2851-H2851)/G2851</f>
        <v>0.799007444168735</v>
      </c>
      <c r="J2851" s="15" t="n">
        <v>0.4375</v>
      </c>
      <c r="K2851" s="11" t="str">
        <f aca="false">IF(I2851&lt;J2851,"TAK","NIE")</f>
        <v>NIE</v>
      </c>
    </row>
    <row r="2852" customFormat="false" ht="15" hidden="false" customHeight="false" outlineLevel="0" collapsed="false">
      <c r="A2852" s="5" t="s">
        <v>595</v>
      </c>
      <c r="B2852" s="5" t="s">
        <v>61</v>
      </c>
      <c r="C2852" s="5" t="n">
        <v>2022</v>
      </c>
      <c r="D2852" s="5" t="s">
        <v>59</v>
      </c>
      <c r="E2852" s="5" t="s">
        <v>89</v>
      </c>
      <c r="F2852" s="5" t="s">
        <v>39</v>
      </c>
      <c r="G2852" s="6" t="n">
        <v>403</v>
      </c>
      <c r="H2852" s="6" t="n">
        <v>82</v>
      </c>
      <c r="I2852" s="7" t="n">
        <f aca="false">(G2852-H2852)/G2852</f>
        <v>0.796526054590571</v>
      </c>
      <c r="J2852" s="15" t="n">
        <v>0.4375</v>
      </c>
      <c r="K2852" s="11" t="str">
        <f aca="false">IF(I2852&lt;J2852,"TAK","NIE")</f>
        <v>NIE</v>
      </c>
    </row>
    <row r="2853" customFormat="false" ht="15" hidden="false" customHeight="false" outlineLevel="0" collapsed="false">
      <c r="A2853" s="5" t="s">
        <v>573</v>
      </c>
      <c r="B2853" s="5" t="s">
        <v>61</v>
      </c>
      <c r="C2853" s="5" t="n">
        <v>2022</v>
      </c>
      <c r="D2853" s="5" t="s">
        <v>59</v>
      </c>
      <c r="E2853" s="5" t="s">
        <v>89</v>
      </c>
      <c r="F2853" s="5" t="s">
        <v>40</v>
      </c>
      <c r="G2853" s="6" t="n">
        <v>679</v>
      </c>
      <c r="H2853" s="6" t="n">
        <v>284</v>
      </c>
      <c r="I2853" s="7" t="n">
        <f aca="false">(G2853-H2853)/G2853</f>
        <v>0.581737849779087</v>
      </c>
      <c r="J2853" s="15" t="n">
        <v>0.2637</v>
      </c>
      <c r="K2853" s="11" t="str">
        <f aca="false">IF(I2853&lt;J2853,"TAK","NIE")</f>
        <v>NIE</v>
      </c>
    </row>
    <row r="2854" customFormat="false" ht="15" hidden="false" customHeight="false" outlineLevel="0" collapsed="false">
      <c r="A2854" s="5" t="s">
        <v>575</v>
      </c>
      <c r="B2854" s="5" t="s">
        <v>61</v>
      </c>
      <c r="C2854" s="5" t="n">
        <v>2022</v>
      </c>
      <c r="D2854" s="5" t="s">
        <v>59</v>
      </c>
      <c r="E2854" s="5" t="s">
        <v>89</v>
      </c>
      <c r="F2854" s="5" t="s">
        <v>40</v>
      </c>
      <c r="G2854" s="6" t="n">
        <v>680</v>
      </c>
      <c r="H2854" s="6" t="n">
        <v>310</v>
      </c>
      <c r="I2854" s="7" t="n">
        <f aca="false">(G2854-H2854)/G2854</f>
        <v>0.544117647058824</v>
      </c>
      <c r="J2854" s="15" t="n">
        <v>0.2637</v>
      </c>
      <c r="K2854" s="11" t="str">
        <f aca="false">IF(I2854&lt;J2854,"TAK","NIE")</f>
        <v>NIE</v>
      </c>
    </row>
    <row r="2855" customFormat="false" ht="15" hidden="false" customHeight="false" outlineLevel="0" collapsed="false">
      <c r="A2855" s="5" t="s">
        <v>576</v>
      </c>
      <c r="B2855" s="5" t="s">
        <v>61</v>
      </c>
      <c r="C2855" s="5" t="n">
        <v>2022</v>
      </c>
      <c r="D2855" s="5" t="s">
        <v>59</v>
      </c>
      <c r="E2855" s="5" t="s">
        <v>89</v>
      </c>
      <c r="F2855" s="5" t="s">
        <v>40</v>
      </c>
      <c r="G2855" s="6" t="n">
        <v>700</v>
      </c>
      <c r="H2855" s="6" t="n">
        <v>264</v>
      </c>
      <c r="I2855" s="7" t="n">
        <f aca="false">(G2855-H2855)/G2855</f>
        <v>0.622857142857143</v>
      </c>
      <c r="J2855" s="15" t="n">
        <v>0.2637</v>
      </c>
      <c r="K2855" s="11" t="str">
        <f aca="false">IF(I2855&lt;J2855,"TAK","NIE")</f>
        <v>NIE</v>
      </c>
    </row>
    <row r="2856" customFormat="false" ht="15" hidden="false" customHeight="false" outlineLevel="0" collapsed="false">
      <c r="A2856" s="5" t="s">
        <v>578</v>
      </c>
      <c r="B2856" s="5" t="s">
        <v>61</v>
      </c>
      <c r="C2856" s="5" t="n">
        <v>2022</v>
      </c>
      <c r="D2856" s="5" t="s">
        <v>59</v>
      </c>
      <c r="E2856" s="5" t="s">
        <v>89</v>
      </c>
      <c r="F2856" s="5" t="s">
        <v>40</v>
      </c>
      <c r="G2856" s="6" t="n">
        <v>680</v>
      </c>
      <c r="H2856" s="6" t="n">
        <v>343</v>
      </c>
      <c r="I2856" s="7" t="n">
        <f aca="false">(G2856-H2856)/G2856</f>
        <v>0.495588235294118</v>
      </c>
      <c r="J2856" s="15" t="n">
        <v>0.2637</v>
      </c>
      <c r="K2856" s="11" t="str">
        <f aca="false">IF(I2856&lt;J2856,"TAK","NIE")</f>
        <v>NIE</v>
      </c>
    </row>
    <row r="2857" customFormat="false" ht="15" hidden="false" customHeight="false" outlineLevel="0" collapsed="false">
      <c r="A2857" s="5" t="s">
        <v>579</v>
      </c>
      <c r="B2857" s="5" t="s">
        <v>61</v>
      </c>
      <c r="C2857" s="5" t="n">
        <v>2022</v>
      </c>
      <c r="D2857" s="5" t="s">
        <v>59</v>
      </c>
      <c r="E2857" s="5" t="s">
        <v>89</v>
      </c>
      <c r="F2857" s="5" t="s">
        <v>40</v>
      </c>
      <c r="G2857" s="6" t="n">
        <v>679</v>
      </c>
      <c r="H2857" s="6" t="n">
        <v>264</v>
      </c>
      <c r="I2857" s="7" t="n">
        <f aca="false">(G2857-H2857)/G2857</f>
        <v>0.61119293078056</v>
      </c>
      <c r="J2857" s="15" t="n">
        <v>0.2637</v>
      </c>
      <c r="K2857" s="11" t="str">
        <f aca="false">IF(I2857&lt;J2857,"TAK","NIE")</f>
        <v>NIE</v>
      </c>
    </row>
    <row r="2858" customFormat="false" ht="15" hidden="false" customHeight="false" outlineLevel="0" collapsed="false">
      <c r="A2858" s="5" t="s">
        <v>580</v>
      </c>
      <c r="B2858" s="5" t="s">
        <v>61</v>
      </c>
      <c r="C2858" s="5" t="n">
        <v>2022</v>
      </c>
      <c r="D2858" s="5" t="s">
        <v>59</v>
      </c>
      <c r="E2858" s="5" t="s">
        <v>89</v>
      </c>
      <c r="F2858" s="5" t="s">
        <v>40</v>
      </c>
      <c r="G2858" s="6" t="n">
        <v>679</v>
      </c>
      <c r="H2858" s="6" t="n">
        <v>322</v>
      </c>
      <c r="I2858" s="7" t="n">
        <f aca="false">(G2858-H2858)/G2858</f>
        <v>0.525773195876289</v>
      </c>
      <c r="J2858" s="15" t="n">
        <v>0.2637</v>
      </c>
      <c r="K2858" s="11" t="str">
        <f aca="false">IF(I2858&lt;J2858,"TAK","NIE")</f>
        <v>NIE</v>
      </c>
    </row>
    <row r="2859" customFormat="false" ht="15" hidden="false" customHeight="false" outlineLevel="0" collapsed="false">
      <c r="A2859" s="5" t="s">
        <v>583</v>
      </c>
      <c r="B2859" s="5" t="s">
        <v>61</v>
      </c>
      <c r="C2859" s="5" t="n">
        <v>2022</v>
      </c>
      <c r="D2859" s="5" t="s">
        <v>59</v>
      </c>
      <c r="E2859" s="5" t="s">
        <v>89</v>
      </c>
      <c r="F2859" s="5" t="s">
        <v>40</v>
      </c>
      <c r="G2859" s="6" t="n">
        <v>680</v>
      </c>
      <c r="H2859" s="6" t="n">
        <v>321</v>
      </c>
      <c r="I2859" s="7" t="n">
        <f aca="false">(G2859-H2859)/G2859</f>
        <v>0.527941176470588</v>
      </c>
      <c r="J2859" s="15" t="n">
        <v>0.2637</v>
      </c>
      <c r="K2859" s="11" t="str">
        <f aca="false">IF(I2859&lt;J2859,"TAK","NIE")</f>
        <v>NIE</v>
      </c>
    </row>
    <row r="2860" customFormat="false" ht="15" hidden="false" customHeight="false" outlineLevel="0" collapsed="false">
      <c r="A2860" s="5" t="s">
        <v>584</v>
      </c>
      <c r="B2860" s="5" t="s">
        <v>61</v>
      </c>
      <c r="C2860" s="5" t="n">
        <v>2022</v>
      </c>
      <c r="D2860" s="5" t="s">
        <v>59</v>
      </c>
      <c r="E2860" s="5" t="s">
        <v>89</v>
      </c>
      <c r="F2860" s="5" t="s">
        <v>40</v>
      </c>
      <c r="G2860" s="6" t="n">
        <v>680</v>
      </c>
      <c r="H2860" s="6" t="n">
        <v>115</v>
      </c>
      <c r="I2860" s="7" t="n">
        <f aca="false">(G2860-H2860)/G2860</f>
        <v>0.830882352941177</v>
      </c>
      <c r="J2860" s="15" t="n">
        <v>0.2637</v>
      </c>
      <c r="K2860" s="11" t="str">
        <f aca="false">IF(I2860&lt;J2860,"TAK","NIE")</f>
        <v>NIE</v>
      </c>
    </row>
    <row r="2861" customFormat="false" ht="15" hidden="false" customHeight="false" outlineLevel="0" collapsed="false">
      <c r="A2861" s="5" t="s">
        <v>585</v>
      </c>
      <c r="B2861" s="5" t="s">
        <v>61</v>
      </c>
      <c r="C2861" s="5" t="n">
        <v>2022</v>
      </c>
      <c r="D2861" s="5" t="s">
        <v>59</v>
      </c>
      <c r="E2861" s="5" t="s">
        <v>89</v>
      </c>
      <c r="F2861" s="5" t="s">
        <v>40</v>
      </c>
      <c r="G2861" s="6" t="n">
        <v>699</v>
      </c>
      <c r="H2861" s="6" t="n">
        <v>182</v>
      </c>
      <c r="I2861" s="7" t="n">
        <f aca="false">(G2861-H2861)/G2861</f>
        <v>0.739628040057225</v>
      </c>
      <c r="J2861" s="15" t="n">
        <v>0.2637</v>
      </c>
      <c r="K2861" s="11" t="str">
        <f aca="false">IF(I2861&lt;J2861,"TAK","NIE")</f>
        <v>NIE</v>
      </c>
    </row>
    <row r="2862" customFormat="false" ht="15" hidden="false" customHeight="false" outlineLevel="0" collapsed="false">
      <c r="A2862" s="5" t="s">
        <v>586</v>
      </c>
      <c r="B2862" s="5" t="s">
        <v>61</v>
      </c>
      <c r="C2862" s="5" t="n">
        <v>2022</v>
      </c>
      <c r="D2862" s="5" t="s">
        <v>59</v>
      </c>
      <c r="E2862" s="5" t="s">
        <v>89</v>
      </c>
      <c r="F2862" s="5" t="s">
        <v>40</v>
      </c>
      <c r="G2862" s="6" t="n">
        <v>679</v>
      </c>
      <c r="H2862" s="6" t="n">
        <v>170</v>
      </c>
      <c r="I2862" s="7" t="n">
        <f aca="false">(G2862-H2862)/G2862</f>
        <v>0.749631811487482</v>
      </c>
      <c r="J2862" s="15" t="n">
        <v>0.2637</v>
      </c>
      <c r="K2862" s="11" t="str">
        <f aca="false">IF(I2862&lt;J2862,"TAK","NIE")</f>
        <v>NIE</v>
      </c>
    </row>
    <row r="2863" customFormat="false" ht="15" hidden="false" customHeight="false" outlineLevel="0" collapsed="false">
      <c r="A2863" s="5" t="s">
        <v>587</v>
      </c>
      <c r="B2863" s="5" t="s">
        <v>61</v>
      </c>
      <c r="C2863" s="5" t="n">
        <v>2022</v>
      </c>
      <c r="D2863" s="5" t="s">
        <v>59</v>
      </c>
      <c r="E2863" s="5" t="s">
        <v>89</v>
      </c>
      <c r="F2863" s="5" t="s">
        <v>40</v>
      </c>
      <c r="G2863" s="6" t="n">
        <v>699</v>
      </c>
      <c r="H2863" s="6" t="n">
        <v>338</v>
      </c>
      <c r="I2863" s="7" t="n">
        <f aca="false">(G2863-H2863)/G2863</f>
        <v>0.516452074391989</v>
      </c>
      <c r="J2863" s="15" t="n">
        <v>0.2637</v>
      </c>
      <c r="K2863" s="11" t="str">
        <f aca="false">IF(I2863&lt;J2863,"TAK","NIE")</f>
        <v>NIE</v>
      </c>
    </row>
    <row r="2864" customFormat="false" ht="15" hidden="false" customHeight="false" outlineLevel="0" collapsed="false">
      <c r="A2864" s="5" t="s">
        <v>588</v>
      </c>
      <c r="B2864" s="5" t="s">
        <v>61</v>
      </c>
      <c r="C2864" s="5" t="n">
        <v>2022</v>
      </c>
      <c r="D2864" s="5" t="s">
        <v>59</v>
      </c>
      <c r="E2864" s="5" t="s">
        <v>89</v>
      </c>
      <c r="F2864" s="5" t="s">
        <v>40</v>
      </c>
      <c r="G2864" s="6" t="n">
        <v>679</v>
      </c>
      <c r="H2864" s="6" t="n">
        <v>298</v>
      </c>
      <c r="I2864" s="7" t="n">
        <f aca="false">(G2864-H2864)/G2864</f>
        <v>0.561119293078056</v>
      </c>
      <c r="J2864" s="15" t="n">
        <v>0.2637</v>
      </c>
      <c r="K2864" s="11" t="str">
        <f aca="false">IF(I2864&lt;J2864,"TAK","NIE")</f>
        <v>NIE</v>
      </c>
    </row>
    <row r="2865" customFormat="false" ht="15" hidden="false" customHeight="false" outlineLevel="0" collapsed="false">
      <c r="A2865" s="5" t="s">
        <v>589</v>
      </c>
      <c r="B2865" s="5" t="s">
        <v>61</v>
      </c>
      <c r="C2865" s="5" t="n">
        <v>2022</v>
      </c>
      <c r="D2865" s="5" t="s">
        <v>59</v>
      </c>
      <c r="E2865" s="5" t="s">
        <v>89</v>
      </c>
      <c r="F2865" s="5" t="s">
        <v>40</v>
      </c>
      <c r="G2865" s="6" t="n">
        <v>680</v>
      </c>
      <c r="H2865" s="6" t="n">
        <v>338</v>
      </c>
      <c r="I2865" s="7" t="n">
        <f aca="false">(G2865-H2865)/G2865</f>
        <v>0.502941176470588</v>
      </c>
      <c r="J2865" s="15" t="n">
        <v>0.2637</v>
      </c>
      <c r="K2865" s="11" t="str">
        <f aca="false">IF(I2865&lt;J2865,"TAK","NIE")</f>
        <v>NIE</v>
      </c>
    </row>
    <row r="2866" customFormat="false" ht="15" hidden="false" customHeight="false" outlineLevel="0" collapsed="false">
      <c r="A2866" s="5" t="s">
        <v>590</v>
      </c>
      <c r="B2866" s="5" t="s">
        <v>61</v>
      </c>
      <c r="C2866" s="5" t="n">
        <v>2022</v>
      </c>
      <c r="D2866" s="5" t="s">
        <v>59</v>
      </c>
      <c r="E2866" s="5" t="s">
        <v>89</v>
      </c>
      <c r="F2866" s="5" t="s">
        <v>40</v>
      </c>
      <c r="G2866" s="6" t="n">
        <v>679</v>
      </c>
      <c r="H2866" s="6" t="n">
        <v>157</v>
      </c>
      <c r="I2866" s="7" t="n">
        <f aca="false">(G2866-H2866)/G2866</f>
        <v>0.768777614138439</v>
      </c>
      <c r="J2866" s="15" t="n">
        <v>0.2637</v>
      </c>
      <c r="K2866" s="11" t="str">
        <f aca="false">IF(I2866&lt;J2866,"TAK","NIE")</f>
        <v>NIE</v>
      </c>
    </row>
    <row r="2867" customFormat="false" ht="15" hidden="false" customHeight="false" outlineLevel="0" collapsed="false">
      <c r="A2867" s="5" t="s">
        <v>591</v>
      </c>
      <c r="B2867" s="5" t="s">
        <v>61</v>
      </c>
      <c r="C2867" s="5" t="n">
        <v>2022</v>
      </c>
      <c r="D2867" s="5" t="s">
        <v>59</v>
      </c>
      <c r="E2867" s="5" t="s">
        <v>89</v>
      </c>
      <c r="F2867" s="5" t="s">
        <v>40</v>
      </c>
      <c r="G2867" s="6" t="n">
        <v>1380</v>
      </c>
      <c r="H2867" s="6" t="n">
        <v>502</v>
      </c>
      <c r="I2867" s="7" t="n">
        <f aca="false">(G2867-H2867)/G2867</f>
        <v>0.636231884057971</v>
      </c>
      <c r="J2867" s="15" t="n">
        <v>0.2637</v>
      </c>
      <c r="K2867" s="11" t="str">
        <f aca="false">IF(I2867&lt;J2867,"TAK","NIE")</f>
        <v>NIE</v>
      </c>
    </row>
    <row r="2868" customFormat="false" ht="15" hidden="false" customHeight="false" outlineLevel="0" collapsed="false">
      <c r="A2868" s="5" t="s">
        <v>592</v>
      </c>
      <c r="B2868" s="5" t="s">
        <v>61</v>
      </c>
      <c r="C2868" s="5" t="n">
        <v>2022</v>
      </c>
      <c r="D2868" s="5" t="s">
        <v>59</v>
      </c>
      <c r="E2868" s="5" t="s">
        <v>89</v>
      </c>
      <c r="F2868" s="5" t="s">
        <v>40</v>
      </c>
      <c r="G2868" s="6" t="n">
        <v>679</v>
      </c>
      <c r="H2868" s="6" t="n">
        <v>202</v>
      </c>
      <c r="I2868" s="7" t="n">
        <f aca="false">(G2868-H2868)/G2868</f>
        <v>0.702503681885125</v>
      </c>
      <c r="J2868" s="15" t="n">
        <v>0.2637</v>
      </c>
      <c r="K2868" s="11" t="str">
        <f aca="false">IF(I2868&lt;J2868,"TAK","NIE")</f>
        <v>NIE</v>
      </c>
    </row>
    <row r="2869" customFormat="false" ht="15" hidden="false" customHeight="false" outlineLevel="0" collapsed="false">
      <c r="A2869" s="5" t="s">
        <v>593</v>
      </c>
      <c r="B2869" s="5" t="s">
        <v>61</v>
      </c>
      <c r="C2869" s="5" t="n">
        <v>2022</v>
      </c>
      <c r="D2869" s="5" t="s">
        <v>59</v>
      </c>
      <c r="E2869" s="5" t="s">
        <v>89</v>
      </c>
      <c r="F2869" s="5" t="s">
        <v>40</v>
      </c>
      <c r="G2869" s="6" t="n">
        <v>680</v>
      </c>
      <c r="H2869" s="6" t="n">
        <v>241</v>
      </c>
      <c r="I2869" s="7" t="n">
        <f aca="false">(G2869-H2869)/G2869</f>
        <v>0.645588235294118</v>
      </c>
      <c r="J2869" s="15" t="n">
        <v>0.2637</v>
      </c>
      <c r="K2869" s="11" t="str">
        <f aca="false">IF(I2869&lt;J2869,"TAK","NIE")</f>
        <v>NIE</v>
      </c>
    </row>
    <row r="2870" customFormat="false" ht="15" hidden="false" customHeight="false" outlineLevel="0" collapsed="false">
      <c r="A2870" s="5" t="s">
        <v>594</v>
      </c>
      <c r="B2870" s="5" t="s">
        <v>61</v>
      </c>
      <c r="C2870" s="5" t="n">
        <v>2022</v>
      </c>
      <c r="D2870" s="5" t="s">
        <v>59</v>
      </c>
      <c r="E2870" s="5" t="s">
        <v>89</v>
      </c>
      <c r="F2870" s="5" t="s">
        <v>40</v>
      </c>
      <c r="G2870" s="6" t="n">
        <v>679</v>
      </c>
      <c r="H2870" s="6" t="n">
        <v>182</v>
      </c>
      <c r="I2870" s="7" t="n">
        <f aca="false">(G2870-H2870)/G2870</f>
        <v>0.731958762886598</v>
      </c>
      <c r="J2870" s="15" t="n">
        <v>0.2637</v>
      </c>
      <c r="K2870" s="11" t="str">
        <f aca="false">IF(I2870&lt;J2870,"TAK","NIE")</f>
        <v>NIE</v>
      </c>
    </row>
    <row r="2871" customFormat="false" ht="15" hidden="false" customHeight="false" outlineLevel="0" collapsed="false">
      <c r="A2871" s="5" t="s">
        <v>595</v>
      </c>
      <c r="B2871" s="5" t="s">
        <v>61</v>
      </c>
      <c r="C2871" s="5" t="n">
        <v>2022</v>
      </c>
      <c r="D2871" s="5" t="s">
        <v>59</v>
      </c>
      <c r="E2871" s="5" t="s">
        <v>89</v>
      </c>
      <c r="F2871" s="5" t="s">
        <v>40</v>
      </c>
      <c r="G2871" s="6" t="n">
        <v>679</v>
      </c>
      <c r="H2871" s="6" t="n">
        <v>226</v>
      </c>
      <c r="I2871" s="7" t="n">
        <f aca="false">(G2871-H2871)/G2871</f>
        <v>0.667157584683358</v>
      </c>
      <c r="J2871" s="15" t="n">
        <v>0.2637</v>
      </c>
      <c r="K2871" s="11" t="str">
        <f aca="false">IF(I2871&lt;J2871,"TAK","NIE")</f>
        <v>NIE</v>
      </c>
    </row>
    <row r="2872" customFormat="false" ht="15" hidden="false" customHeight="false" outlineLevel="0" collapsed="false">
      <c r="A2872" s="5" t="s">
        <v>596</v>
      </c>
      <c r="B2872" s="5" t="s">
        <v>91</v>
      </c>
      <c r="C2872" s="5" t="n">
        <v>2022</v>
      </c>
      <c r="D2872" s="5" t="s">
        <v>92</v>
      </c>
      <c r="E2872" s="5" t="s">
        <v>55</v>
      </c>
      <c r="F2872" s="5" t="s">
        <v>39</v>
      </c>
      <c r="G2872" s="6" t="n">
        <v>806</v>
      </c>
      <c r="H2872" s="6" t="n">
        <v>69</v>
      </c>
      <c r="I2872" s="7" t="n">
        <f aca="false">(G2872-H2872)/G2872</f>
        <v>0.91439205955335</v>
      </c>
      <c r="J2872" s="15" t="n">
        <v>0.707</v>
      </c>
      <c r="K2872" s="11" t="str">
        <f aca="false">IF(I2872&lt;J2872,"TAK","NIE")</f>
        <v>NIE</v>
      </c>
    </row>
    <row r="2873" customFormat="false" ht="15" hidden="false" customHeight="false" outlineLevel="0" collapsed="false">
      <c r="A2873" s="5" t="s">
        <v>597</v>
      </c>
      <c r="B2873" s="5" t="s">
        <v>91</v>
      </c>
      <c r="C2873" s="5" t="n">
        <v>2022</v>
      </c>
      <c r="D2873" s="5" t="s">
        <v>92</v>
      </c>
      <c r="E2873" s="5" t="s">
        <v>55</v>
      </c>
      <c r="F2873" s="5" t="s">
        <v>39</v>
      </c>
      <c r="G2873" s="6" t="n">
        <v>806</v>
      </c>
      <c r="H2873" s="6" t="n">
        <v>75</v>
      </c>
      <c r="I2873" s="7" t="n">
        <f aca="false">(G2873-H2873)/G2873</f>
        <v>0.906947890818859</v>
      </c>
      <c r="J2873" s="15" t="n">
        <v>0.707</v>
      </c>
      <c r="K2873" s="11" t="str">
        <f aca="false">IF(I2873&lt;J2873,"TAK","NIE")</f>
        <v>NIE</v>
      </c>
    </row>
    <row r="2874" customFormat="false" ht="15" hidden="false" customHeight="false" outlineLevel="0" collapsed="false">
      <c r="A2874" s="5" t="s">
        <v>598</v>
      </c>
      <c r="B2874" s="5" t="s">
        <v>91</v>
      </c>
      <c r="C2874" s="5" t="n">
        <v>2022</v>
      </c>
      <c r="D2874" s="5" t="s">
        <v>92</v>
      </c>
      <c r="E2874" s="5" t="s">
        <v>55</v>
      </c>
      <c r="F2874" s="5" t="s">
        <v>39</v>
      </c>
      <c r="G2874" s="6" t="n">
        <v>612</v>
      </c>
      <c r="H2874" s="6" t="n">
        <v>3</v>
      </c>
      <c r="I2874" s="7" t="n">
        <f aca="false">(G2874-H2874)/G2874</f>
        <v>0.995098039215686</v>
      </c>
      <c r="J2874" s="15" t="n">
        <v>0.707</v>
      </c>
      <c r="K2874" s="11" t="str">
        <f aca="false">IF(I2874&lt;J2874,"TAK","NIE")</f>
        <v>NIE</v>
      </c>
    </row>
    <row r="2875" customFormat="false" ht="15" hidden="false" customHeight="false" outlineLevel="0" collapsed="false">
      <c r="A2875" s="5" t="s">
        <v>599</v>
      </c>
      <c r="B2875" s="5" t="s">
        <v>91</v>
      </c>
      <c r="C2875" s="5" t="n">
        <v>2022</v>
      </c>
      <c r="D2875" s="5" t="s">
        <v>92</v>
      </c>
      <c r="E2875" s="5" t="s">
        <v>55</v>
      </c>
      <c r="F2875" s="5" t="s">
        <v>39</v>
      </c>
      <c r="G2875" s="6" t="n">
        <v>684</v>
      </c>
      <c r="H2875" s="6" t="n">
        <v>91</v>
      </c>
      <c r="I2875" s="7" t="n">
        <f aca="false">(G2875-H2875)/G2875</f>
        <v>0.866959064327485</v>
      </c>
      <c r="J2875" s="15" t="n">
        <v>0.707</v>
      </c>
      <c r="K2875" s="11" t="str">
        <f aca="false">IF(I2875&lt;J2875,"TAK","NIE")</f>
        <v>NIE</v>
      </c>
    </row>
    <row r="2876" customFormat="false" ht="15" hidden="false" customHeight="false" outlineLevel="0" collapsed="false">
      <c r="A2876" s="5" t="s">
        <v>600</v>
      </c>
      <c r="B2876" s="5" t="s">
        <v>91</v>
      </c>
      <c r="C2876" s="5" t="n">
        <v>2022</v>
      </c>
      <c r="D2876" s="5" t="s">
        <v>92</v>
      </c>
      <c r="E2876" s="5" t="s">
        <v>55</v>
      </c>
      <c r="F2876" s="5" t="s">
        <v>39</v>
      </c>
      <c r="G2876" s="6" t="n">
        <v>684</v>
      </c>
      <c r="H2876" s="6" t="n">
        <v>121</v>
      </c>
      <c r="I2876" s="7" t="n">
        <f aca="false">(G2876-H2876)/G2876</f>
        <v>0.823099415204678</v>
      </c>
      <c r="J2876" s="15" t="n">
        <v>0.707</v>
      </c>
      <c r="K2876" s="11" t="str">
        <f aca="false">IF(I2876&lt;J2876,"TAK","NIE")</f>
        <v>NIE</v>
      </c>
    </row>
    <row r="2877" customFormat="false" ht="15" hidden="false" customHeight="false" outlineLevel="0" collapsed="false">
      <c r="A2877" s="5" t="s">
        <v>601</v>
      </c>
      <c r="B2877" s="5" t="s">
        <v>91</v>
      </c>
      <c r="C2877" s="5" t="n">
        <v>2022</v>
      </c>
      <c r="D2877" s="5" t="s">
        <v>92</v>
      </c>
      <c r="E2877" s="5" t="s">
        <v>55</v>
      </c>
      <c r="F2877" s="5" t="s">
        <v>39</v>
      </c>
      <c r="G2877" s="6" t="n">
        <v>806</v>
      </c>
      <c r="H2877" s="6" t="n">
        <v>147</v>
      </c>
      <c r="I2877" s="7" t="n">
        <f aca="false">(G2877-H2877)/G2877</f>
        <v>0.817617866004963</v>
      </c>
      <c r="J2877" s="15" t="n">
        <v>0.707</v>
      </c>
      <c r="K2877" s="11" t="str">
        <f aca="false">IF(I2877&lt;J2877,"TAK","NIE")</f>
        <v>NIE</v>
      </c>
    </row>
    <row r="2878" customFormat="false" ht="15" hidden="false" customHeight="false" outlineLevel="0" collapsed="false">
      <c r="A2878" s="5" t="s">
        <v>602</v>
      </c>
      <c r="B2878" s="5" t="s">
        <v>91</v>
      </c>
      <c r="C2878" s="5" t="n">
        <v>2022</v>
      </c>
      <c r="D2878" s="5" t="s">
        <v>92</v>
      </c>
      <c r="E2878" s="5" t="s">
        <v>55</v>
      </c>
      <c r="F2878" s="5" t="s">
        <v>39</v>
      </c>
      <c r="G2878" s="6" t="n">
        <v>806</v>
      </c>
      <c r="H2878" s="6" t="n">
        <v>154</v>
      </c>
      <c r="I2878" s="7" t="n">
        <f aca="false">(G2878-H2878)/G2878</f>
        <v>0.80893300248139</v>
      </c>
      <c r="J2878" s="15" t="n">
        <v>0.707</v>
      </c>
      <c r="K2878" s="11" t="str">
        <f aca="false">IF(I2878&lt;J2878,"TAK","NIE")</f>
        <v>NIE</v>
      </c>
    </row>
    <row r="2879" customFormat="false" ht="15" hidden="false" customHeight="false" outlineLevel="0" collapsed="false">
      <c r="A2879" s="5" t="s">
        <v>603</v>
      </c>
      <c r="B2879" s="5" t="s">
        <v>91</v>
      </c>
      <c r="C2879" s="5" t="n">
        <v>2022</v>
      </c>
      <c r="D2879" s="5" t="s">
        <v>92</v>
      </c>
      <c r="E2879" s="5" t="s">
        <v>55</v>
      </c>
      <c r="F2879" s="5" t="s">
        <v>39</v>
      </c>
      <c r="G2879" s="6" t="n">
        <v>214</v>
      </c>
      <c r="H2879" s="6" t="n">
        <v>10</v>
      </c>
      <c r="I2879" s="7" t="n">
        <f aca="false">(G2879-H2879)/G2879</f>
        <v>0.953271028037383</v>
      </c>
      <c r="J2879" s="15" t="n">
        <v>0.707</v>
      </c>
      <c r="K2879" s="11" t="str">
        <f aca="false">IF(I2879&lt;J2879,"TAK","NIE")</f>
        <v>NIE</v>
      </c>
    </row>
    <row r="2880" customFormat="false" ht="15" hidden="false" customHeight="false" outlineLevel="0" collapsed="false">
      <c r="A2880" s="5" t="s">
        <v>604</v>
      </c>
      <c r="B2880" s="5" t="s">
        <v>91</v>
      </c>
      <c r="C2880" s="5" t="n">
        <v>2022</v>
      </c>
      <c r="D2880" s="5" t="s">
        <v>92</v>
      </c>
      <c r="E2880" s="5" t="s">
        <v>55</v>
      </c>
      <c r="F2880" s="5" t="s">
        <v>39</v>
      </c>
      <c r="G2880" s="6" t="n">
        <v>684</v>
      </c>
      <c r="H2880" s="6" t="n">
        <v>86</v>
      </c>
      <c r="I2880" s="7" t="n">
        <f aca="false">(G2880-H2880)/G2880</f>
        <v>0.874269005847953</v>
      </c>
      <c r="J2880" s="15" t="n">
        <v>0.707</v>
      </c>
      <c r="K2880" s="11" t="str">
        <f aca="false">IF(I2880&lt;J2880,"TAK","NIE")</f>
        <v>NIE</v>
      </c>
    </row>
    <row r="2881" customFormat="false" ht="15" hidden="false" customHeight="false" outlineLevel="0" collapsed="false">
      <c r="A2881" s="5" t="s">
        <v>605</v>
      </c>
      <c r="B2881" s="5" t="s">
        <v>91</v>
      </c>
      <c r="C2881" s="5" t="n">
        <v>2022</v>
      </c>
      <c r="D2881" s="5" t="s">
        <v>92</v>
      </c>
      <c r="E2881" s="5" t="s">
        <v>55</v>
      </c>
      <c r="F2881" s="5" t="s">
        <v>39</v>
      </c>
      <c r="G2881" s="6" t="n">
        <v>806</v>
      </c>
      <c r="H2881" s="6" t="n">
        <v>99</v>
      </c>
      <c r="I2881" s="7" t="n">
        <f aca="false">(G2881-H2881)/G2881</f>
        <v>0.877171215880893</v>
      </c>
      <c r="J2881" s="15" t="n">
        <v>0.707</v>
      </c>
      <c r="K2881" s="11" t="str">
        <f aca="false">IF(I2881&lt;J2881,"TAK","NIE")</f>
        <v>NIE</v>
      </c>
    </row>
    <row r="2882" customFormat="false" ht="15" hidden="false" customHeight="false" outlineLevel="0" collapsed="false">
      <c r="A2882" s="5" t="s">
        <v>606</v>
      </c>
      <c r="B2882" s="5" t="s">
        <v>91</v>
      </c>
      <c r="C2882" s="5" t="n">
        <v>2022</v>
      </c>
      <c r="D2882" s="5" t="s">
        <v>92</v>
      </c>
      <c r="E2882" s="5" t="s">
        <v>55</v>
      </c>
      <c r="F2882" s="5" t="s">
        <v>39</v>
      </c>
      <c r="G2882" s="6" t="n">
        <v>776</v>
      </c>
      <c r="H2882" s="6" t="n">
        <v>35</v>
      </c>
      <c r="I2882" s="7" t="n">
        <f aca="false">(G2882-H2882)/G2882</f>
        <v>0.954896907216495</v>
      </c>
      <c r="J2882" s="15" t="n">
        <v>0.707</v>
      </c>
      <c r="K2882" s="11" t="str">
        <f aca="false">IF(I2882&lt;J2882,"TAK","NIE")</f>
        <v>NIE</v>
      </c>
    </row>
    <row r="2883" customFormat="false" ht="15" hidden="false" customHeight="false" outlineLevel="0" collapsed="false">
      <c r="A2883" s="5" t="s">
        <v>607</v>
      </c>
      <c r="B2883" s="5" t="s">
        <v>91</v>
      </c>
      <c r="C2883" s="5" t="n">
        <v>2022</v>
      </c>
      <c r="D2883" s="5" t="s">
        <v>92</v>
      </c>
      <c r="E2883" s="5" t="s">
        <v>55</v>
      </c>
      <c r="F2883" s="5" t="s">
        <v>39</v>
      </c>
      <c r="G2883" s="6" t="n">
        <v>684</v>
      </c>
      <c r="H2883" s="6" t="n">
        <v>95</v>
      </c>
      <c r="I2883" s="7" t="n">
        <f aca="false">(G2883-H2883)/G2883</f>
        <v>0.861111111111111</v>
      </c>
      <c r="J2883" s="15" t="n">
        <v>0.707</v>
      </c>
      <c r="K2883" s="11" t="str">
        <f aca="false">IF(I2883&lt;J2883,"TAK","NIE")</f>
        <v>NIE</v>
      </c>
    </row>
    <row r="2884" customFormat="false" ht="15" hidden="false" customHeight="false" outlineLevel="0" collapsed="false">
      <c r="A2884" s="5" t="s">
        <v>608</v>
      </c>
      <c r="B2884" s="5" t="s">
        <v>91</v>
      </c>
      <c r="C2884" s="5" t="n">
        <v>2022</v>
      </c>
      <c r="D2884" s="5" t="s">
        <v>92</v>
      </c>
      <c r="E2884" s="5" t="s">
        <v>55</v>
      </c>
      <c r="F2884" s="5" t="s">
        <v>39</v>
      </c>
      <c r="G2884" s="6" t="n">
        <v>806</v>
      </c>
      <c r="H2884" s="6" t="n">
        <v>186</v>
      </c>
      <c r="I2884" s="7" t="n">
        <f aca="false">(G2884-H2884)/G2884</f>
        <v>0.769230769230769</v>
      </c>
      <c r="J2884" s="15" t="n">
        <v>0.707</v>
      </c>
      <c r="K2884" s="11" t="str">
        <f aca="false">IF(I2884&lt;J2884,"TAK","NIE")</f>
        <v>NIE</v>
      </c>
    </row>
    <row r="2885" customFormat="false" ht="15" hidden="false" customHeight="false" outlineLevel="0" collapsed="false">
      <c r="A2885" s="5" t="s">
        <v>609</v>
      </c>
      <c r="B2885" s="5" t="s">
        <v>91</v>
      </c>
      <c r="C2885" s="5" t="n">
        <v>2022</v>
      </c>
      <c r="D2885" s="5" t="s">
        <v>92</v>
      </c>
      <c r="E2885" s="5" t="s">
        <v>55</v>
      </c>
      <c r="F2885" s="5" t="s">
        <v>39</v>
      </c>
      <c r="G2885" s="6" t="n">
        <v>806</v>
      </c>
      <c r="H2885" s="6" t="n">
        <v>266</v>
      </c>
      <c r="I2885" s="7" t="n">
        <f aca="false">(G2885-H2885)/G2885</f>
        <v>0.669975186104218</v>
      </c>
      <c r="J2885" s="15" t="n">
        <v>0.707</v>
      </c>
      <c r="K2885" s="11" t="str">
        <f aca="false">IF(I2885&lt;J2885,"TAK","NIE")</f>
        <v>TAK</v>
      </c>
    </row>
    <row r="2886" customFormat="false" ht="15" hidden="false" customHeight="false" outlineLevel="0" collapsed="false">
      <c r="A2886" s="5" t="s">
        <v>610</v>
      </c>
      <c r="B2886" s="5" t="s">
        <v>91</v>
      </c>
      <c r="C2886" s="5" t="n">
        <v>2022</v>
      </c>
      <c r="D2886" s="5" t="s">
        <v>92</v>
      </c>
      <c r="E2886" s="5" t="s">
        <v>55</v>
      </c>
      <c r="F2886" s="5" t="s">
        <v>39</v>
      </c>
      <c r="G2886" s="6" t="n">
        <v>684</v>
      </c>
      <c r="H2886" s="6" t="n">
        <v>86</v>
      </c>
      <c r="I2886" s="7" t="n">
        <f aca="false">(G2886-H2886)/G2886</f>
        <v>0.874269005847953</v>
      </c>
      <c r="J2886" s="15" t="n">
        <v>0.707</v>
      </c>
      <c r="K2886" s="11" t="str">
        <f aca="false">IF(I2886&lt;J2886,"TAK","NIE")</f>
        <v>NIE</v>
      </c>
    </row>
    <row r="2887" customFormat="false" ht="15" hidden="false" customHeight="false" outlineLevel="0" collapsed="false">
      <c r="A2887" s="5" t="s">
        <v>611</v>
      </c>
      <c r="B2887" s="5" t="s">
        <v>91</v>
      </c>
      <c r="C2887" s="5" t="n">
        <v>2022</v>
      </c>
      <c r="D2887" s="5" t="s">
        <v>92</v>
      </c>
      <c r="E2887" s="5" t="s">
        <v>55</v>
      </c>
      <c r="F2887" s="5" t="s">
        <v>39</v>
      </c>
      <c r="G2887" s="6" t="n">
        <v>792</v>
      </c>
      <c r="H2887" s="6" t="n">
        <v>106</v>
      </c>
      <c r="I2887" s="7" t="n">
        <f aca="false">(G2887-H2887)/G2887</f>
        <v>0.866161616161616</v>
      </c>
      <c r="J2887" s="15" t="n">
        <v>0.707</v>
      </c>
      <c r="K2887" s="11" t="str">
        <f aca="false">IF(I2887&lt;J2887,"TAK","NIE")</f>
        <v>NIE</v>
      </c>
    </row>
    <row r="2888" customFormat="false" ht="15" hidden="false" customHeight="false" outlineLevel="0" collapsed="false">
      <c r="A2888" s="5" t="s">
        <v>612</v>
      </c>
      <c r="B2888" s="5" t="s">
        <v>91</v>
      </c>
      <c r="C2888" s="5" t="n">
        <v>2022</v>
      </c>
      <c r="D2888" s="5" t="s">
        <v>92</v>
      </c>
      <c r="E2888" s="5" t="s">
        <v>55</v>
      </c>
      <c r="F2888" s="5" t="s">
        <v>39</v>
      </c>
      <c r="G2888" s="6" t="n">
        <v>684</v>
      </c>
      <c r="H2888" s="6" t="n">
        <v>100</v>
      </c>
      <c r="I2888" s="7" t="n">
        <f aca="false">(G2888-H2888)/G2888</f>
        <v>0.853801169590643</v>
      </c>
      <c r="J2888" s="15" t="n">
        <v>0.707</v>
      </c>
      <c r="K2888" s="11" t="str">
        <f aca="false">IF(I2888&lt;J2888,"TAK","NIE")</f>
        <v>NIE</v>
      </c>
    </row>
    <row r="2889" customFormat="false" ht="15" hidden="false" customHeight="false" outlineLevel="0" collapsed="false">
      <c r="A2889" s="5" t="s">
        <v>613</v>
      </c>
      <c r="B2889" s="5" t="s">
        <v>91</v>
      </c>
      <c r="C2889" s="5" t="n">
        <v>2022</v>
      </c>
      <c r="D2889" s="5" t="s">
        <v>92</v>
      </c>
      <c r="E2889" s="5" t="s">
        <v>55</v>
      </c>
      <c r="F2889" s="5" t="s">
        <v>39</v>
      </c>
      <c r="G2889" s="6" t="n">
        <v>671</v>
      </c>
      <c r="H2889" s="6" t="n">
        <v>249</v>
      </c>
      <c r="I2889" s="7" t="n">
        <f aca="false">(G2889-H2889)/G2889</f>
        <v>0.628912071535022</v>
      </c>
      <c r="J2889" s="15" t="n">
        <v>0.707</v>
      </c>
      <c r="K2889" s="11" t="str">
        <f aca="false">IF(I2889&lt;J2889,"TAK","NIE")</f>
        <v>TAK</v>
      </c>
    </row>
    <row r="2890" customFormat="false" ht="15" hidden="false" customHeight="false" outlineLevel="0" collapsed="false">
      <c r="A2890" s="5" t="s">
        <v>614</v>
      </c>
      <c r="B2890" s="5" t="s">
        <v>91</v>
      </c>
      <c r="C2890" s="5" t="n">
        <v>2022</v>
      </c>
      <c r="D2890" s="5" t="s">
        <v>92</v>
      </c>
      <c r="E2890" s="5" t="s">
        <v>55</v>
      </c>
      <c r="F2890" s="5" t="s">
        <v>39</v>
      </c>
      <c r="G2890" s="6" t="n">
        <v>792</v>
      </c>
      <c r="H2890" s="6" t="n">
        <v>131</v>
      </c>
      <c r="I2890" s="7" t="n">
        <f aca="false">(G2890-H2890)/G2890</f>
        <v>0.83459595959596</v>
      </c>
      <c r="J2890" s="15" t="n">
        <v>0.707</v>
      </c>
      <c r="K2890" s="11" t="str">
        <f aca="false">IF(I2890&lt;J2890,"TAK","NIE")</f>
        <v>NIE</v>
      </c>
    </row>
    <row r="2891" customFormat="false" ht="15" hidden="false" customHeight="false" outlineLevel="0" collapsed="false">
      <c r="A2891" s="5" t="s">
        <v>615</v>
      </c>
      <c r="B2891" s="5" t="s">
        <v>91</v>
      </c>
      <c r="C2891" s="5" t="n">
        <v>2022</v>
      </c>
      <c r="D2891" s="5" t="s">
        <v>92</v>
      </c>
      <c r="E2891" s="5" t="s">
        <v>55</v>
      </c>
      <c r="F2891" s="5" t="s">
        <v>39</v>
      </c>
      <c r="G2891" s="6" t="n">
        <v>754</v>
      </c>
      <c r="H2891" s="6" t="n">
        <v>174</v>
      </c>
      <c r="I2891" s="7" t="n">
        <f aca="false">(G2891-H2891)/G2891</f>
        <v>0.769230769230769</v>
      </c>
      <c r="J2891" s="15" t="n">
        <v>0.707</v>
      </c>
      <c r="K2891" s="11" t="str">
        <f aca="false">IF(I2891&lt;J2891,"TAK","NIE")</f>
        <v>NIE</v>
      </c>
    </row>
    <row r="2892" customFormat="false" ht="15" hidden="false" customHeight="false" outlineLevel="0" collapsed="false">
      <c r="A2892" s="5" t="s">
        <v>616</v>
      </c>
      <c r="B2892" s="5" t="s">
        <v>91</v>
      </c>
      <c r="C2892" s="5" t="n">
        <v>2022</v>
      </c>
      <c r="D2892" s="5" t="s">
        <v>92</v>
      </c>
      <c r="E2892" s="5" t="s">
        <v>55</v>
      </c>
      <c r="F2892" s="5" t="s">
        <v>39</v>
      </c>
      <c r="G2892" s="6" t="n">
        <v>806</v>
      </c>
      <c r="H2892" s="6" t="n">
        <v>225</v>
      </c>
      <c r="I2892" s="7" t="n">
        <f aca="false">(G2892-H2892)/G2892</f>
        <v>0.720843672456576</v>
      </c>
      <c r="J2892" s="15" t="n">
        <v>0.707</v>
      </c>
      <c r="K2892" s="11" t="str">
        <f aca="false">IF(I2892&lt;J2892,"TAK","NIE")</f>
        <v>NIE</v>
      </c>
    </row>
    <row r="2893" customFormat="false" ht="15" hidden="false" customHeight="false" outlineLevel="0" collapsed="false">
      <c r="A2893" s="5" t="s">
        <v>596</v>
      </c>
      <c r="B2893" s="5" t="s">
        <v>91</v>
      </c>
      <c r="C2893" s="5" t="n">
        <v>2022</v>
      </c>
      <c r="D2893" s="5" t="s">
        <v>92</v>
      </c>
      <c r="E2893" s="5" t="s">
        <v>55</v>
      </c>
      <c r="F2893" s="5" t="s">
        <v>40</v>
      </c>
      <c r="G2893" s="6" t="n">
        <v>531</v>
      </c>
      <c r="H2893" s="6" t="n">
        <v>116</v>
      </c>
      <c r="I2893" s="7" t="n">
        <f aca="false">(G2893-H2893)/G2893</f>
        <v>0.781544256120527</v>
      </c>
      <c r="J2893" s="15" t="n">
        <v>0.4292</v>
      </c>
      <c r="K2893" s="11" t="str">
        <f aca="false">IF(I2893&lt;J2893,"TAK","NIE")</f>
        <v>NIE</v>
      </c>
    </row>
    <row r="2894" customFormat="false" ht="15" hidden="false" customHeight="false" outlineLevel="0" collapsed="false">
      <c r="A2894" s="5" t="s">
        <v>597</v>
      </c>
      <c r="B2894" s="5" t="s">
        <v>91</v>
      </c>
      <c r="C2894" s="5" t="n">
        <v>2022</v>
      </c>
      <c r="D2894" s="5" t="s">
        <v>92</v>
      </c>
      <c r="E2894" s="5" t="s">
        <v>55</v>
      </c>
      <c r="F2894" s="5" t="s">
        <v>40</v>
      </c>
      <c r="G2894" s="6" t="n">
        <v>531</v>
      </c>
      <c r="H2894" s="6" t="n">
        <v>99</v>
      </c>
      <c r="I2894" s="7" t="n">
        <f aca="false">(G2894-H2894)/G2894</f>
        <v>0.813559322033898</v>
      </c>
      <c r="J2894" s="15" t="n">
        <v>0.4292</v>
      </c>
      <c r="K2894" s="11" t="str">
        <f aca="false">IF(I2894&lt;J2894,"TAK","NIE")</f>
        <v>NIE</v>
      </c>
    </row>
    <row r="2895" customFormat="false" ht="15" hidden="false" customHeight="false" outlineLevel="0" collapsed="false">
      <c r="A2895" s="5" t="s">
        <v>598</v>
      </c>
      <c r="B2895" s="5" t="s">
        <v>91</v>
      </c>
      <c r="C2895" s="5" t="n">
        <v>2022</v>
      </c>
      <c r="D2895" s="5" t="s">
        <v>92</v>
      </c>
      <c r="E2895" s="5" t="s">
        <v>55</v>
      </c>
      <c r="F2895" s="5" t="s">
        <v>40</v>
      </c>
      <c r="G2895" s="6" t="n">
        <v>442</v>
      </c>
      <c r="H2895" s="6" t="n">
        <v>55</v>
      </c>
      <c r="I2895" s="7" t="n">
        <f aca="false">(G2895-H2895)/G2895</f>
        <v>0.875565610859729</v>
      </c>
      <c r="J2895" s="15" t="n">
        <v>0.4292</v>
      </c>
      <c r="K2895" s="11" t="str">
        <f aca="false">IF(I2895&lt;J2895,"TAK","NIE")</f>
        <v>NIE</v>
      </c>
    </row>
    <row r="2896" customFormat="false" ht="15" hidden="false" customHeight="false" outlineLevel="0" collapsed="false">
      <c r="A2896" s="5" t="s">
        <v>599</v>
      </c>
      <c r="B2896" s="5" t="s">
        <v>91</v>
      </c>
      <c r="C2896" s="5" t="n">
        <v>2022</v>
      </c>
      <c r="D2896" s="5" t="s">
        <v>92</v>
      </c>
      <c r="E2896" s="5" t="s">
        <v>55</v>
      </c>
      <c r="F2896" s="5" t="s">
        <v>40</v>
      </c>
      <c r="G2896" s="6" t="n">
        <v>442</v>
      </c>
      <c r="H2896" s="6" t="n">
        <v>128</v>
      </c>
      <c r="I2896" s="7" t="n">
        <f aca="false">(G2896-H2896)/G2896</f>
        <v>0.710407239819005</v>
      </c>
      <c r="J2896" s="15" t="n">
        <v>0.4292</v>
      </c>
      <c r="K2896" s="11" t="str">
        <f aca="false">IF(I2896&lt;J2896,"TAK","NIE")</f>
        <v>NIE</v>
      </c>
    </row>
    <row r="2897" customFormat="false" ht="15" hidden="false" customHeight="false" outlineLevel="0" collapsed="false">
      <c r="A2897" s="5" t="s">
        <v>600</v>
      </c>
      <c r="B2897" s="5" t="s">
        <v>91</v>
      </c>
      <c r="C2897" s="5" t="n">
        <v>2022</v>
      </c>
      <c r="D2897" s="5" t="s">
        <v>92</v>
      </c>
      <c r="E2897" s="5" t="s">
        <v>55</v>
      </c>
      <c r="F2897" s="5" t="s">
        <v>40</v>
      </c>
      <c r="G2897" s="6" t="n">
        <v>442</v>
      </c>
      <c r="H2897" s="6" t="n">
        <v>122</v>
      </c>
      <c r="I2897" s="7" t="n">
        <f aca="false">(G2897-H2897)/G2897</f>
        <v>0.723981900452489</v>
      </c>
      <c r="J2897" s="15" t="n">
        <v>0.4292</v>
      </c>
      <c r="K2897" s="11" t="str">
        <f aca="false">IF(I2897&lt;J2897,"TAK","NIE")</f>
        <v>NIE</v>
      </c>
    </row>
    <row r="2898" customFormat="false" ht="15" hidden="false" customHeight="false" outlineLevel="0" collapsed="false">
      <c r="A2898" s="5" t="s">
        <v>601</v>
      </c>
      <c r="B2898" s="5" t="s">
        <v>91</v>
      </c>
      <c r="C2898" s="5" t="n">
        <v>2022</v>
      </c>
      <c r="D2898" s="5" t="s">
        <v>92</v>
      </c>
      <c r="E2898" s="5" t="s">
        <v>55</v>
      </c>
      <c r="F2898" s="5" t="s">
        <v>40</v>
      </c>
      <c r="G2898" s="6" t="n">
        <v>531</v>
      </c>
      <c r="H2898" s="6" t="n">
        <v>195</v>
      </c>
      <c r="I2898" s="7" t="n">
        <f aca="false">(G2898-H2898)/G2898</f>
        <v>0.632768361581921</v>
      </c>
      <c r="J2898" s="15" t="n">
        <v>0.4292</v>
      </c>
      <c r="K2898" s="11" t="str">
        <f aca="false">IF(I2898&lt;J2898,"TAK","NIE")</f>
        <v>NIE</v>
      </c>
    </row>
    <row r="2899" customFormat="false" ht="15" hidden="false" customHeight="false" outlineLevel="0" collapsed="false">
      <c r="A2899" s="5" t="s">
        <v>602</v>
      </c>
      <c r="B2899" s="5" t="s">
        <v>91</v>
      </c>
      <c r="C2899" s="5" t="n">
        <v>2022</v>
      </c>
      <c r="D2899" s="5" t="s">
        <v>92</v>
      </c>
      <c r="E2899" s="5" t="s">
        <v>55</v>
      </c>
      <c r="F2899" s="5" t="s">
        <v>40</v>
      </c>
      <c r="G2899" s="6" t="n">
        <v>531</v>
      </c>
      <c r="H2899" s="6" t="n">
        <v>124</v>
      </c>
      <c r="I2899" s="7" t="n">
        <f aca="false">(G2899-H2899)/G2899</f>
        <v>0.766478342749529</v>
      </c>
      <c r="J2899" s="15" t="n">
        <v>0.4292</v>
      </c>
      <c r="K2899" s="11" t="str">
        <f aca="false">IF(I2899&lt;J2899,"TAK","NIE")</f>
        <v>NIE</v>
      </c>
    </row>
    <row r="2900" customFormat="false" ht="15" hidden="false" customHeight="false" outlineLevel="0" collapsed="false">
      <c r="A2900" s="5" t="s">
        <v>603</v>
      </c>
      <c r="B2900" s="5" t="s">
        <v>91</v>
      </c>
      <c r="C2900" s="5" t="n">
        <v>2022</v>
      </c>
      <c r="D2900" s="5" t="s">
        <v>92</v>
      </c>
      <c r="E2900" s="5" t="s">
        <v>55</v>
      </c>
      <c r="F2900" s="5" t="s">
        <v>40</v>
      </c>
      <c r="G2900" s="6" t="n">
        <v>531</v>
      </c>
      <c r="H2900" s="6" t="n">
        <v>211</v>
      </c>
      <c r="I2900" s="7" t="n">
        <f aca="false">(G2900-H2900)/G2900</f>
        <v>0.602636534839925</v>
      </c>
      <c r="J2900" s="15" t="n">
        <v>0.4292</v>
      </c>
      <c r="K2900" s="11" t="str">
        <f aca="false">IF(I2900&lt;J2900,"TAK","NIE")</f>
        <v>NIE</v>
      </c>
    </row>
    <row r="2901" customFormat="false" ht="15" hidden="false" customHeight="false" outlineLevel="0" collapsed="false">
      <c r="A2901" s="5" t="s">
        <v>604</v>
      </c>
      <c r="B2901" s="5" t="s">
        <v>91</v>
      </c>
      <c r="C2901" s="5" t="n">
        <v>2022</v>
      </c>
      <c r="D2901" s="5" t="s">
        <v>92</v>
      </c>
      <c r="E2901" s="5" t="s">
        <v>55</v>
      </c>
      <c r="F2901" s="5" t="s">
        <v>40</v>
      </c>
      <c r="G2901" s="6" t="n">
        <v>442</v>
      </c>
      <c r="H2901" s="6" t="n">
        <v>110</v>
      </c>
      <c r="I2901" s="7" t="n">
        <f aca="false">(G2901-H2901)/G2901</f>
        <v>0.751131221719457</v>
      </c>
      <c r="J2901" s="15" t="n">
        <v>0.4292</v>
      </c>
      <c r="K2901" s="11" t="str">
        <f aca="false">IF(I2901&lt;J2901,"TAK","NIE")</f>
        <v>NIE</v>
      </c>
    </row>
    <row r="2902" customFormat="false" ht="15" hidden="false" customHeight="false" outlineLevel="0" collapsed="false">
      <c r="A2902" s="5" t="s">
        <v>605</v>
      </c>
      <c r="B2902" s="5" t="s">
        <v>91</v>
      </c>
      <c r="C2902" s="5" t="n">
        <v>2022</v>
      </c>
      <c r="D2902" s="5" t="s">
        <v>92</v>
      </c>
      <c r="E2902" s="5" t="s">
        <v>55</v>
      </c>
      <c r="F2902" s="5" t="s">
        <v>40</v>
      </c>
      <c r="G2902" s="6" t="n">
        <v>531</v>
      </c>
      <c r="H2902" s="6" t="n">
        <v>130</v>
      </c>
      <c r="I2902" s="7" t="n">
        <f aca="false">(G2902-H2902)/G2902</f>
        <v>0.755178907721281</v>
      </c>
      <c r="J2902" s="15" t="n">
        <v>0.4292</v>
      </c>
      <c r="K2902" s="11" t="str">
        <f aca="false">IF(I2902&lt;J2902,"TAK","NIE")</f>
        <v>NIE</v>
      </c>
    </row>
    <row r="2903" customFormat="false" ht="15" hidden="false" customHeight="false" outlineLevel="0" collapsed="false">
      <c r="A2903" s="5" t="s">
        <v>607</v>
      </c>
      <c r="B2903" s="5" t="s">
        <v>91</v>
      </c>
      <c r="C2903" s="5" t="n">
        <v>2022</v>
      </c>
      <c r="D2903" s="5" t="s">
        <v>92</v>
      </c>
      <c r="E2903" s="5" t="s">
        <v>55</v>
      </c>
      <c r="F2903" s="5" t="s">
        <v>40</v>
      </c>
      <c r="G2903" s="6" t="n">
        <v>442</v>
      </c>
      <c r="H2903" s="6" t="n">
        <v>166</v>
      </c>
      <c r="I2903" s="7" t="n">
        <f aca="false">(G2903-H2903)/G2903</f>
        <v>0.624434389140272</v>
      </c>
      <c r="J2903" s="15" t="n">
        <v>0.4292</v>
      </c>
      <c r="K2903" s="11" t="str">
        <f aca="false">IF(I2903&lt;J2903,"TAK","NIE")</f>
        <v>NIE</v>
      </c>
    </row>
    <row r="2904" customFormat="false" ht="15" hidden="false" customHeight="false" outlineLevel="0" collapsed="false">
      <c r="A2904" s="5" t="s">
        <v>608</v>
      </c>
      <c r="B2904" s="5" t="s">
        <v>91</v>
      </c>
      <c r="C2904" s="5" t="n">
        <v>2022</v>
      </c>
      <c r="D2904" s="5" t="s">
        <v>92</v>
      </c>
      <c r="E2904" s="5" t="s">
        <v>55</v>
      </c>
      <c r="F2904" s="5" t="s">
        <v>40</v>
      </c>
      <c r="G2904" s="6" t="n">
        <v>531</v>
      </c>
      <c r="H2904" s="6" t="n">
        <v>240</v>
      </c>
      <c r="I2904" s="7" t="n">
        <f aca="false">(G2904-H2904)/G2904</f>
        <v>0.548022598870056</v>
      </c>
      <c r="J2904" s="15" t="n">
        <v>0.4292</v>
      </c>
      <c r="K2904" s="11" t="str">
        <f aca="false">IF(I2904&lt;J2904,"TAK","NIE")</f>
        <v>NIE</v>
      </c>
    </row>
    <row r="2905" customFormat="false" ht="15" hidden="false" customHeight="false" outlineLevel="0" collapsed="false">
      <c r="A2905" s="5" t="s">
        <v>609</v>
      </c>
      <c r="B2905" s="5" t="s">
        <v>91</v>
      </c>
      <c r="C2905" s="5" t="n">
        <v>2022</v>
      </c>
      <c r="D2905" s="5" t="s">
        <v>92</v>
      </c>
      <c r="E2905" s="5" t="s">
        <v>55</v>
      </c>
      <c r="F2905" s="5" t="s">
        <v>40</v>
      </c>
      <c r="G2905" s="6" t="n">
        <v>531</v>
      </c>
      <c r="H2905" s="6" t="n">
        <v>247</v>
      </c>
      <c r="I2905" s="7" t="n">
        <f aca="false">(G2905-H2905)/G2905</f>
        <v>0.534839924670433</v>
      </c>
      <c r="J2905" s="15" t="n">
        <v>0.4292</v>
      </c>
      <c r="K2905" s="11" t="str">
        <f aca="false">IF(I2905&lt;J2905,"TAK","NIE")</f>
        <v>NIE</v>
      </c>
    </row>
    <row r="2906" customFormat="false" ht="15" hidden="false" customHeight="false" outlineLevel="0" collapsed="false">
      <c r="A2906" s="5" t="s">
        <v>610</v>
      </c>
      <c r="B2906" s="5" t="s">
        <v>91</v>
      </c>
      <c r="C2906" s="5" t="n">
        <v>2022</v>
      </c>
      <c r="D2906" s="5" t="s">
        <v>92</v>
      </c>
      <c r="E2906" s="5" t="s">
        <v>55</v>
      </c>
      <c r="F2906" s="5" t="s">
        <v>40</v>
      </c>
      <c r="G2906" s="6" t="n">
        <v>442</v>
      </c>
      <c r="H2906" s="6" t="n">
        <v>112</v>
      </c>
      <c r="I2906" s="7" t="n">
        <f aca="false">(G2906-H2906)/G2906</f>
        <v>0.746606334841629</v>
      </c>
      <c r="J2906" s="15" t="n">
        <v>0.4292</v>
      </c>
      <c r="K2906" s="11" t="str">
        <f aca="false">IF(I2906&lt;J2906,"TAK","NIE")</f>
        <v>NIE</v>
      </c>
    </row>
    <row r="2907" customFormat="false" ht="15" hidden="false" customHeight="false" outlineLevel="0" collapsed="false">
      <c r="A2907" s="5" t="s">
        <v>611</v>
      </c>
      <c r="B2907" s="5" t="s">
        <v>91</v>
      </c>
      <c r="C2907" s="5" t="n">
        <v>2022</v>
      </c>
      <c r="D2907" s="5" t="s">
        <v>92</v>
      </c>
      <c r="E2907" s="5" t="s">
        <v>55</v>
      </c>
      <c r="F2907" s="5" t="s">
        <v>40</v>
      </c>
      <c r="G2907" s="6" t="n">
        <v>531</v>
      </c>
      <c r="H2907" s="6" t="n">
        <v>192</v>
      </c>
      <c r="I2907" s="7" t="n">
        <f aca="false">(G2907-H2907)/G2907</f>
        <v>0.638418079096045</v>
      </c>
      <c r="J2907" s="15" t="n">
        <v>0.4292</v>
      </c>
      <c r="K2907" s="11" t="str">
        <f aca="false">IF(I2907&lt;J2907,"TAK","NIE")</f>
        <v>NIE</v>
      </c>
    </row>
    <row r="2908" customFormat="false" ht="15" hidden="false" customHeight="false" outlineLevel="0" collapsed="false">
      <c r="A2908" s="5" t="s">
        <v>612</v>
      </c>
      <c r="B2908" s="5" t="s">
        <v>91</v>
      </c>
      <c r="C2908" s="5" t="n">
        <v>2022</v>
      </c>
      <c r="D2908" s="5" t="s">
        <v>92</v>
      </c>
      <c r="E2908" s="5" t="s">
        <v>55</v>
      </c>
      <c r="F2908" s="5" t="s">
        <v>40</v>
      </c>
      <c r="G2908" s="6" t="n">
        <v>442</v>
      </c>
      <c r="H2908" s="6" t="n">
        <v>149</v>
      </c>
      <c r="I2908" s="7" t="n">
        <f aca="false">(G2908-H2908)/G2908</f>
        <v>0.66289592760181</v>
      </c>
      <c r="J2908" s="15" t="n">
        <v>0.4292</v>
      </c>
      <c r="K2908" s="11" t="str">
        <f aca="false">IF(I2908&lt;J2908,"TAK","NIE")</f>
        <v>NIE</v>
      </c>
    </row>
    <row r="2909" customFormat="false" ht="15" hidden="false" customHeight="false" outlineLevel="0" collapsed="false">
      <c r="A2909" s="5" t="s">
        <v>613</v>
      </c>
      <c r="B2909" s="5" t="s">
        <v>91</v>
      </c>
      <c r="C2909" s="5" t="n">
        <v>2022</v>
      </c>
      <c r="D2909" s="5" t="s">
        <v>92</v>
      </c>
      <c r="E2909" s="5" t="s">
        <v>55</v>
      </c>
      <c r="F2909" s="5" t="s">
        <v>40</v>
      </c>
      <c r="G2909" s="6" t="n">
        <v>413</v>
      </c>
      <c r="H2909" s="6" t="n">
        <v>202</v>
      </c>
      <c r="I2909" s="7" t="n">
        <f aca="false">(G2909-H2909)/G2909</f>
        <v>0.51089588377724</v>
      </c>
      <c r="J2909" s="15" t="n">
        <v>0.4292</v>
      </c>
      <c r="K2909" s="11" t="str">
        <f aca="false">IF(I2909&lt;J2909,"TAK","NIE")</f>
        <v>NIE</v>
      </c>
    </row>
    <row r="2910" customFormat="false" ht="15" hidden="false" customHeight="false" outlineLevel="0" collapsed="false">
      <c r="A2910" s="5" t="s">
        <v>614</v>
      </c>
      <c r="B2910" s="5" t="s">
        <v>91</v>
      </c>
      <c r="C2910" s="5" t="n">
        <v>2022</v>
      </c>
      <c r="D2910" s="5" t="s">
        <v>92</v>
      </c>
      <c r="E2910" s="5" t="s">
        <v>55</v>
      </c>
      <c r="F2910" s="5" t="s">
        <v>40</v>
      </c>
      <c r="G2910" s="6" t="n">
        <v>531</v>
      </c>
      <c r="H2910" s="6" t="n">
        <v>145</v>
      </c>
      <c r="I2910" s="7" t="n">
        <f aca="false">(G2910-H2910)/G2910</f>
        <v>0.726930320150659</v>
      </c>
      <c r="J2910" s="15" t="n">
        <v>0.4292</v>
      </c>
      <c r="K2910" s="11" t="str">
        <f aca="false">IF(I2910&lt;J2910,"TAK","NIE")</f>
        <v>NIE</v>
      </c>
    </row>
    <row r="2911" customFormat="false" ht="15" hidden="false" customHeight="false" outlineLevel="0" collapsed="false">
      <c r="A2911" s="5" t="s">
        <v>616</v>
      </c>
      <c r="B2911" s="5" t="s">
        <v>91</v>
      </c>
      <c r="C2911" s="5" t="n">
        <v>2022</v>
      </c>
      <c r="D2911" s="5" t="s">
        <v>92</v>
      </c>
      <c r="E2911" s="5" t="s">
        <v>55</v>
      </c>
      <c r="F2911" s="5" t="s">
        <v>40</v>
      </c>
      <c r="G2911" s="6" t="n">
        <v>531</v>
      </c>
      <c r="H2911" s="6" t="n">
        <v>200</v>
      </c>
      <c r="I2911" s="7" t="n">
        <f aca="false">(G2911-H2911)/G2911</f>
        <v>0.623352165725047</v>
      </c>
      <c r="J2911" s="15" t="n">
        <v>0.4292</v>
      </c>
      <c r="K2911" s="11" t="str">
        <f aca="false">IF(I2911&lt;J2911,"TAK","NIE")</f>
        <v>NIE</v>
      </c>
    </row>
    <row r="2912" customFormat="false" ht="15" hidden="false" customHeight="false" outlineLevel="0" collapsed="false">
      <c r="A2912" s="5" t="s">
        <v>596</v>
      </c>
      <c r="B2912" s="5" t="s">
        <v>93</v>
      </c>
      <c r="C2912" s="5" t="n">
        <v>2022</v>
      </c>
      <c r="D2912" s="5" t="s">
        <v>92</v>
      </c>
      <c r="E2912" s="5" t="s">
        <v>57</v>
      </c>
      <c r="F2912" s="5" t="s">
        <v>39</v>
      </c>
      <c r="G2912" s="6" t="n">
        <v>657</v>
      </c>
      <c r="H2912" s="6" t="n">
        <v>107</v>
      </c>
      <c r="I2912" s="7" t="n">
        <f aca="false">(G2912-H2912)/G2912</f>
        <v>0.837138508371385</v>
      </c>
      <c r="J2912" s="15" t="n">
        <v>0.6252</v>
      </c>
      <c r="K2912" s="11" t="str">
        <f aca="false">IF(I2912&lt;J2912,"TAK","NIE")</f>
        <v>NIE</v>
      </c>
    </row>
    <row r="2913" customFormat="false" ht="15" hidden="false" customHeight="false" outlineLevel="0" collapsed="false">
      <c r="A2913" s="5" t="s">
        <v>597</v>
      </c>
      <c r="B2913" s="5" t="s">
        <v>93</v>
      </c>
      <c r="C2913" s="5" t="n">
        <v>2022</v>
      </c>
      <c r="D2913" s="5" t="s">
        <v>92</v>
      </c>
      <c r="E2913" s="5" t="s">
        <v>57</v>
      </c>
      <c r="F2913" s="5" t="s">
        <v>39</v>
      </c>
      <c r="G2913" s="6" t="n">
        <v>657</v>
      </c>
      <c r="H2913" s="6" t="n">
        <v>98</v>
      </c>
      <c r="I2913" s="7" t="n">
        <f aca="false">(G2913-H2913)/G2913</f>
        <v>0.850837138508371</v>
      </c>
      <c r="J2913" s="15" t="n">
        <v>0.6252</v>
      </c>
      <c r="K2913" s="11" t="str">
        <f aca="false">IF(I2913&lt;J2913,"TAK","NIE")</f>
        <v>NIE</v>
      </c>
    </row>
    <row r="2914" customFormat="false" ht="15" hidden="false" customHeight="false" outlineLevel="0" collapsed="false">
      <c r="A2914" s="5" t="s">
        <v>598</v>
      </c>
      <c r="B2914" s="5" t="s">
        <v>93</v>
      </c>
      <c r="C2914" s="5" t="n">
        <v>2022</v>
      </c>
      <c r="D2914" s="5" t="s">
        <v>92</v>
      </c>
      <c r="E2914" s="5" t="s">
        <v>57</v>
      </c>
      <c r="F2914" s="5" t="s">
        <v>39</v>
      </c>
      <c r="G2914" s="6" t="n">
        <v>657</v>
      </c>
      <c r="H2914" s="6" t="n">
        <v>20</v>
      </c>
      <c r="I2914" s="7" t="n">
        <f aca="false">(G2914-H2914)/G2914</f>
        <v>0.969558599695586</v>
      </c>
      <c r="J2914" s="15" t="n">
        <v>0.6252</v>
      </c>
      <c r="K2914" s="11" t="str">
        <f aca="false">IF(I2914&lt;J2914,"TAK","NIE")</f>
        <v>NIE</v>
      </c>
    </row>
    <row r="2915" customFormat="false" ht="15" hidden="false" customHeight="false" outlineLevel="0" collapsed="false">
      <c r="A2915" s="5" t="s">
        <v>599</v>
      </c>
      <c r="B2915" s="5" t="s">
        <v>93</v>
      </c>
      <c r="C2915" s="5" t="n">
        <v>2022</v>
      </c>
      <c r="D2915" s="5" t="s">
        <v>92</v>
      </c>
      <c r="E2915" s="5" t="s">
        <v>57</v>
      </c>
      <c r="F2915" s="5" t="s">
        <v>39</v>
      </c>
      <c r="G2915" s="6" t="n">
        <v>657</v>
      </c>
      <c r="H2915" s="6" t="n">
        <v>205</v>
      </c>
      <c r="I2915" s="7" t="n">
        <f aca="false">(G2915-H2915)/G2915</f>
        <v>0.687975646879756</v>
      </c>
      <c r="J2915" s="15" t="n">
        <v>0.6252</v>
      </c>
      <c r="K2915" s="11" t="str">
        <f aca="false">IF(I2915&lt;J2915,"TAK","NIE")</f>
        <v>NIE</v>
      </c>
    </row>
    <row r="2916" customFormat="false" ht="15" hidden="false" customHeight="false" outlineLevel="0" collapsed="false">
      <c r="A2916" s="5" t="s">
        <v>600</v>
      </c>
      <c r="B2916" s="5" t="s">
        <v>93</v>
      </c>
      <c r="C2916" s="5" t="n">
        <v>2022</v>
      </c>
      <c r="D2916" s="5" t="s">
        <v>92</v>
      </c>
      <c r="E2916" s="5" t="s">
        <v>57</v>
      </c>
      <c r="F2916" s="5" t="s">
        <v>39</v>
      </c>
      <c r="G2916" s="6" t="n">
        <v>657</v>
      </c>
      <c r="H2916" s="6" t="n">
        <v>139</v>
      </c>
      <c r="I2916" s="7" t="n">
        <f aca="false">(G2916-H2916)/G2916</f>
        <v>0.788432267884323</v>
      </c>
      <c r="J2916" s="15" t="n">
        <v>0.6252</v>
      </c>
      <c r="K2916" s="11" t="str">
        <f aca="false">IF(I2916&lt;J2916,"TAK","NIE")</f>
        <v>NIE</v>
      </c>
    </row>
    <row r="2917" customFormat="false" ht="15" hidden="false" customHeight="false" outlineLevel="0" collapsed="false">
      <c r="A2917" s="5" t="s">
        <v>601</v>
      </c>
      <c r="B2917" s="5" t="s">
        <v>93</v>
      </c>
      <c r="C2917" s="5" t="n">
        <v>2022</v>
      </c>
      <c r="D2917" s="5" t="s">
        <v>92</v>
      </c>
      <c r="E2917" s="5" t="s">
        <v>57</v>
      </c>
      <c r="F2917" s="5" t="s">
        <v>39</v>
      </c>
      <c r="G2917" s="6" t="n">
        <v>657</v>
      </c>
      <c r="H2917" s="6" t="n">
        <v>141</v>
      </c>
      <c r="I2917" s="7" t="n">
        <f aca="false">(G2917-H2917)/G2917</f>
        <v>0.785388127853881</v>
      </c>
      <c r="J2917" s="15" t="n">
        <v>0.6252</v>
      </c>
      <c r="K2917" s="11" t="str">
        <f aca="false">IF(I2917&lt;J2917,"TAK","NIE")</f>
        <v>NIE</v>
      </c>
    </row>
    <row r="2918" customFormat="false" ht="15" hidden="false" customHeight="false" outlineLevel="0" collapsed="false">
      <c r="A2918" s="5" t="s">
        <v>602</v>
      </c>
      <c r="B2918" s="5" t="s">
        <v>93</v>
      </c>
      <c r="C2918" s="5" t="n">
        <v>2022</v>
      </c>
      <c r="D2918" s="5" t="s">
        <v>92</v>
      </c>
      <c r="E2918" s="5" t="s">
        <v>57</v>
      </c>
      <c r="F2918" s="5" t="s">
        <v>39</v>
      </c>
      <c r="G2918" s="6" t="n">
        <v>657</v>
      </c>
      <c r="H2918" s="6" t="n">
        <v>157</v>
      </c>
      <c r="I2918" s="7" t="n">
        <f aca="false">(G2918-H2918)/G2918</f>
        <v>0.76103500761035</v>
      </c>
      <c r="J2918" s="15" t="n">
        <v>0.6252</v>
      </c>
      <c r="K2918" s="11" t="str">
        <f aca="false">IF(I2918&lt;J2918,"TAK","NIE")</f>
        <v>NIE</v>
      </c>
    </row>
    <row r="2919" customFormat="false" ht="15" hidden="false" customHeight="false" outlineLevel="0" collapsed="false">
      <c r="A2919" s="5" t="s">
        <v>603</v>
      </c>
      <c r="B2919" s="5" t="s">
        <v>93</v>
      </c>
      <c r="C2919" s="5" t="n">
        <v>2022</v>
      </c>
      <c r="D2919" s="5" t="s">
        <v>92</v>
      </c>
      <c r="E2919" s="5" t="s">
        <v>57</v>
      </c>
      <c r="F2919" s="5" t="s">
        <v>39</v>
      </c>
      <c r="G2919" s="6" t="n">
        <v>634</v>
      </c>
      <c r="H2919" s="6" t="n">
        <v>191</v>
      </c>
      <c r="I2919" s="7" t="n">
        <f aca="false">(G2919-H2919)/G2919</f>
        <v>0.698738170347003</v>
      </c>
      <c r="J2919" s="15" t="n">
        <v>0.6252</v>
      </c>
      <c r="K2919" s="11" t="str">
        <f aca="false">IF(I2919&lt;J2919,"TAK","NIE")</f>
        <v>NIE</v>
      </c>
    </row>
    <row r="2920" customFormat="false" ht="15" hidden="false" customHeight="false" outlineLevel="0" collapsed="false">
      <c r="A2920" s="5" t="s">
        <v>604</v>
      </c>
      <c r="B2920" s="5" t="s">
        <v>93</v>
      </c>
      <c r="C2920" s="5" t="n">
        <v>2022</v>
      </c>
      <c r="D2920" s="5" t="s">
        <v>92</v>
      </c>
      <c r="E2920" s="5" t="s">
        <v>57</v>
      </c>
      <c r="F2920" s="5" t="s">
        <v>39</v>
      </c>
      <c r="G2920" s="6" t="n">
        <v>657</v>
      </c>
      <c r="H2920" s="6" t="n">
        <v>161</v>
      </c>
      <c r="I2920" s="7" t="n">
        <f aca="false">(G2920-H2920)/G2920</f>
        <v>0.754946727549467</v>
      </c>
      <c r="J2920" s="15" t="n">
        <v>0.6252</v>
      </c>
      <c r="K2920" s="11" t="str">
        <f aca="false">IF(I2920&lt;J2920,"TAK","NIE")</f>
        <v>NIE</v>
      </c>
    </row>
    <row r="2921" customFormat="false" ht="15" hidden="false" customHeight="false" outlineLevel="0" collapsed="false">
      <c r="A2921" s="5" t="s">
        <v>605</v>
      </c>
      <c r="B2921" s="5" t="s">
        <v>93</v>
      </c>
      <c r="C2921" s="5" t="n">
        <v>2022</v>
      </c>
      <c r="D2921" s="5" t="s">
        <v>92</v>
      </c>
      <c r="E2921" s="5" t="s">
        <v>57</v>
      </c>
      <c r="F2921" s="5" t="s">
        <v>39</v>
      </c>
      <c r="G2921" s="6" t="n">
        <v>657</v>
      </c>
      <c r="H2921" s="6" t="n">
        <v>89</v>
      </c>
      <c r="I2921" s="7" t="n">
        <f aca="false">(G2921-H2921)/G2921</f>
        <v>0.864535768645358</v>
      </c>
      <c r="J2921" s="15" t="n">
        <v>0.6252</v>
      </c>
      <c r="K2921" s="11" t="str">
        <f aca="false">IF(I2921&lt;J2921,"TAK","NIE")</f>
        <v>NIE</v>
      </c>
    </row>
    <row r="2922" customFormat="false" ht="15" hidden="false" customHeight="false" outlineLevel="0" collapsed="false">
      <c r="A2922" s="5" t="s">
        <v>607</v>
      </c>
      <c r="B2922" s="5" t="s">
        <v>93</v>
      </c>
      <c r="C2922" s="5" t="n">
        <v>2022</v>
      </c>
      <c r="D2922" s="5" t="s">
        <v>92</v>
      </c>
      <c r="E2922" s="5" t="s">
        <v>57</v>
      </c>
      <c r="F2922" s="5" t="s">
        <v>39</v>
      </c>
      <c r="G2922" s="6" t="n">
        <v>657</v>
      </c>
      <c r="H2922" s="6" t="n">
        <v>152</v>
      </c>
      <c r="I2922" s="7" t="n">
        <f aca="false">(G2922-H2922)/G2922</f>
        <v>0.768645357686454</v>
      </c>
      <c r="J2922" s="15" t="n">
        <v>0.6252</v>
      </c>
      <c r="K2922" s="11" t="str">
        <f aca="false">IF(I2922&lt;J2922,"TAK","NIE")</f>
        <v>NIE</v>
      </c>
    </row>
    <row r="2923" customFormat="false" ht="15" hidden="false" customHeight="false" outlineLevel="0" collapsed="false">
      <c r="A2923" s="5" t="s">
        <v>610</v>
      </c>
      <c r="B2923" s="5" t="s">
        <v>93</v>
      </c>
      <c r="C2923" s="5" t="n">
        <v>2022</v>
      </c>
      <c r="D2923" s="5" t="s">
        <v>92</v>
      </c>
      <c r="E2923" s="5" t="s">
        <v>57</v>
      </c>
      <c r="F2923" s="5" t="s">
        <v>39</v>
      </c>
      <c r="G2923" s="6" t="n">
        <v>657</v>
      </c>
      <c r="H2923" s="6" t="n">
        <v>14</v>
      </c>
      <c r="I2923" s="7" t="n">
        <f aca="false">(G2923-H2923)/G2923</f>
        <v>0.97869101978691</v>
      </c>
      <c r="J2923" s="15" t="n">
        <v>0.6252</v>
      </c>
      <c r="K2923" s="11" t="str">
        <f aca="false">IF(I2923&lt;J2923,"TAK","NIE")</f>
        <v>NIE</v>
      </c>
    </row>
    <row r="2924" customFormat="false" ht="15" hidden="false" customHeight="false" outlineLevel="0" collapsed="false">
      <c r="A2924" s="5" t="s">
        <v>611</v>
      </c>
      <c r="B2924" s="5" t="s">
        <v>93</v>
      </c>
      <c r="C2924" s="5" t="n">
        <v>2022</v>
      </c>
      <c r="D2924" s="5" t="s">
        <v>92</v>
      </c>
      <c r="E2924" s="5" t="s">
        <v>57</v>
      </c>
      <c r="F2924" s="5" t="s">
        <v>39</v>
      </c>
      <c r="G2924" s="6" t="n">
        <v>657</v>
      </c>
      <c r="H2924" s="6" t="n">
        <v>139</v>
      </c>
      <c r="I2924" s="7" t="n">
        <f aca="false">(G2924-H2924)/G2924</f>
        <v>0.788432267884323</v>
      </c>
      <c r="J2924" s="15" t="n">
        <v>0.6252</v>
      </c>
      <c r="K2924" s="11" t="str">
        <f aca="false">IF(I2924&lt;J2924,"TAK","NIE")</f>
        <v>NIE</v>
      </c>
    </row>
    <row r="2925" customFormat="false" ht="15" hidden="false" customHeight="false" outlineLevel="0" collapsed="false">
      <c r="A2925" s="5" t="s">
        <v>612</v>
      </c>
      <c r="B2925" s="5" t="s">
        <v>93</v>
      </c>
      <c r="C2925" s="5" t="n">
        <v>2022</v>
      </c>
      <c r="D2925" s="5" t="s">
        <v>92</v>
      </c>
      <c r="E2925" s="5" t="s">
        <v>57</v>
      </c>
      <c r="F2925" s="5" t="s">
        <v>39</v>
      </c>
      <c r="G2925" s="6" t="n">
        <v>657</v>
      </c>
      <c r="H2925" s="6" t="n">
        <v>104</v>
      </c>
      <c r="I2925" s="7" t="n">
        <f aca="false">(G2925-H2925)/G2925</f>
        <v>0.841704718417047</v>
      </c>
      <c r="J2925" s="15" t="n">
        <v>0.6252</v>
      </c>
      <c r="K2925" s="11" t="str">
        <f aca="false">IF(I2925&lt;J2925,"TAK","NIE")</f>
        <v>NIE</v>
      </c>
    </row>
    <row r="2926" customFormat="false" ht="15" hidden="false" customHeight="false" outlineLevel="0" collapsed="false">
      <c r="A2926" s="5" t="s">
        <v>616</v>
      </c>
      <c r="B2926" s="5" t="s">
        <v>93</v>
      </c>
      <c r="C2926" s="5" t="n">
        <v>2022</v>
      </c>
      <c r="D2926" s="5" t="s">
        <v>92</v>
      </c>
      <c r="E2926" s="5" t="s">
        <v>57</v>
      </c>
      <c r="F2926" s="5" t="s">
        <v>39</v>
      </c>
      <c r="G2926" s="6" t="n">
        <v>657</v>
      </c>
      <c r="H2926" s="6" t="n">
        <v>194</v>
      </c>
      <c r="I2926" s="7" t="n">
        <f aca="false">(G2926-H2926)/G2926</f>
        <v>0.704718417047184</v>
      </c>
      <c r="J2926" s="15" t="n">
        <v>0.6252</v>
      </c>
      <c r="K2926" s="11" t="str">
        <f aca="false">IF(I2926&lt;J2926,"TAK","NIE")</f>
        <v>NIE</v>
      </c>
    </row>
    <row r="2927" customFormat="false" ht="15" hidden="false" customHeight="false" outlineLevel="0" collapsed="false">
      <c r="A2927" s="5" t="s">
        <v>596</v>
      </c>
      <c r="B2927" s="5" t="s">
        <v>93</v>
      </c>
      <c r="C2927" s="5" t="n">
        <v>2022</v>
      </c>
      <c r="D2927" s="5" t="s">
        <v>92</v>
      </c>
      <c r="E2927" s="5" t="s">
        <v>57</v>
      </c>
      <c r="F2927" s="5" t="s">
        <v>40</v>
      </c>
      <c r="G2927" s="6" t="n">
        <v>630</v>
      </c>
      <c r="H2927" s="6" t="n">
        <v>162</v>
      </c>
      <c r="I2927" s="7" t="n">
        <f aca="false">(G2927-H2927)/G2927</f>
        <v>0.742857142857143</v>
      </c>
      <c r="J2927" s="15" t="n">
        <v>0.5807</v>
      </c>
      <c r="K2927" s="11" t="str">
        <f aca="false">IF(I2927&lt;J2927,"TAK","NIE")</f>
        <v>NIE</v>
      </c>
    </row>
    <row r="2928" customFormat="false" ht="15" hidden="false" customHeight="false" outlineLevel="0" collapsed="false">
      <c r="A2928" s="5" t="s">
        <v>597</v>
      </c>
      <c r="B2928" s="5" t="s">
        <v>93</v>
      </c>
      <c r="C2928" s="5" t="n">
        <v>2022</v>
      </c>
      <c r="D2928" s="5" t="s">
        <v>92</v>
      </c>
      <c r="E2928" s="5" t="s">
        <v>57</v>
      </c>
      <c r="F2928" s="5" t="s">
        <v>40</v>
      </c>
      <c r="G2928" s="6" t="n">
        <v>630</v>
      </c>
      <c r="H2928" s="6" t="n">
        <v>142</v>
      </c>
      <c r="I2928" s="7" t="n">
        <f aca="false">(G2928-H2928)/G2928</f>
        <v>0.774603174603175</v>
      </c>
      <c r="J2928" s="15" t="n">
        <v>0.5807</v>
      </c>
      <c r="K2928" s="11" t="str">
        <f aca="false">IF(I2928&lt;J2928,"TAK","NIE")</f>
        <v>NIE</v>
      </c>
    </row>
    <row r="2929" customFormat="false" ht="15" hidden="false" customHeight="false" outlineLevel="0" collapsed="false">
      <c r="A2929" s="5" t="s">
        <v>598</v>
      </c>
      <c r="B2929" s="5" t="s">
        <v>93</v>
      </c>
      <c r="C2929" s="5" t="n">
        <v>2022</v>
      </c>
      <c r="D2929" s="5" t="s">
        <v>92</v>
      </c>
      <c r="E2929" s="5" t="s">
        <v>57</v>
      </c>
      <c r="F2929" s="5" t="s">
        <v>40</v>
      </c>
      <c r="G2929" s="6" t="n">
        <v>636</v>
      </c>
      <c r="H2929" s="6" t="n">
        <v>98</v>
      </c>
      <c r="I2929" s="7" t="n">
        <f aca="false">(G2929-H2929)/G2929</f>
        <v>0.845911949685535</v>
      </c>
      <c r="J2929" s="15" t="n">
        <v>0.5807</v>
      </c>
      <c r="K2929" s="11" t="str">
        <f aca="false">IF(I2929&lt;J2929,"TAK","NIE")</f>
        <v>NIE</v>
      </c>
    </row>
    <row r="2930" customFormat="false" ht="15" hidden="false" customHeight="false" outlineLevel="0" collapsed="false">
      <c r="A2930" s="5" t="s">
        <v>599</v>
      </c>
      <c r="B2930" s="5" t="s">
        <v>93</v>
      </c>
      <c r="C2930" s="5" t="n">
        <v>2022</v>
      </c>
      <c r="D2930" s="5" t="s">
        <v>92</v>
      </c>
      <c r="E2930" s="5" t="s">
        <v>57</v>
      </c>
      <c r="F2930" s="5" t="s">
        <v>40</v>
      </c>
      <c r="G2930" s="6" t="n">
        <v>622</v>
      </c>
      <c r="H2930" s="6" t="n">
        <v>216</v>
      </c>
      <c r="I2930" s="7" t="n">
        <f aca="false">(G2930-H2930)/G2930</f>
        <v>0.652733118971061</v>
      </c>
      <c r="J2930" s="15" t="n">
        <v>0.5807</v>
      </c>
      <c r="K2930" s="11" t="str">
        <f aca="false">IF(I2930&lt;J2930,"TAK","NIE")</f>
        <v>NIE</v>
      </c>
    </row>
    <row r="2931" customFormat="false" ht="15" hidden="false" customHeight="false" outlineLevel="0" collapsed="false">
      <c r="A2931" s="5" t="s">
        <v>600</v>
      </c>
      <c r="B2931" s="5" t="s">
        <v>93</v>
      </c>
      <c r="C2931" s="5" t="n">
        <v>2022</v>
      </c>
      <c r="D2931" s="5" t="s">
        <v>92</v>
      </c>
      <c r="E2931" s="5" t="s">
        <v>57</v>
      </c>
      <c r="F2931" s="5" t="s">
        <v>40</v>
      </c>
      <c r="G2931" s="6" t="n">
        <v>628</v>
      </c>
      <c r="H2931" s="6" t="n">
        <v>191</v>
      </c>
      <c r="I2931" s="7" t="n">
        <f aca="false">(G2931-H2931)/G2931</f>
        <v>0.695859872611465</v>
      </c>
      <c r="J2931" s="15" t="n">
        <v>0.5807</v>
      </c>
      <c r="K2931" s="11" t="str">
        <f aca="false">IF(I2931&lt;J2931,"TAK","NIE")</f>
        <v>NIE</v>
      </c>
    </row>
    <row r="2932" customFormat="false" ht="15" hidden="false" customHeight="false" outlineLevel="0" collapsed="false">
      <c r="A2932" s="5" t="s">
        <v>601</v>
      </c>
      <c r="B2932" s="5" t="s">
        <v>93</v>
      </c>
      <c r="C2932" s="5" t="n">
        <v>2022</v>
      </c>
      <c r="D2932" s="5" t="s">
        <v>92</v>
      </c>
      <c r="E2932" s="5" t="s">
        <v>57</v>
      </c>
      <c r="F2932" s="5" t="s">
        <v>40</v>
      </c>
      <c r="G2932" s="6" t="n">
        <v>630</v>
      </c>
      <c r="H2932" s="6" t="n">
        <v>222</v>
      </c>
      <c r="I2932" s="7" t="n">
        <f aca="false">(G2932-H2932)/G2932</f>
        <v>0.647619047619048</v>
      </c>
      <c r="J2932" s="15" t="n">
        <v>0.5807</v>
      </c>
      <c r="K2932" s="11" t="str">
        <f aca="false">IF(I2932&lt;J2932,"TAK","NIE")</f>
        <v>NIE</v>
      </c>
    </row>
    <row r="2933" customFormat="false" ht="15" hidden="false" customHeight="false" outlineLevel="0" collapsed="false">
      <c r="A2933" s="5" t="s">
        <v>602</v>
      </c>
      <c r="B2933" s="5" t="s">
        <v>93</v>
      </c>
      <c r="C2933" s="5" t="n">
        <v>2022</v>
      </c>
      <c r="D2933" s="5" t="s">
        <v>92</v>
      </c>
      <c r="E2933" s="5" t="s">
        <v>57</v>
      </c>
      <c r="F2933" s="5" t="s">
        <v>40</v>
      </c>
      <c r="G2933" s="6" t="n">
        <v>630</v>
      </c>
      <c r="H2933" s="6" t="n">
        <v>214</v>
      </c>
      <c r="I2933" s="7" t="n">
        <f aca="false">(G2933-H2933)/G2933</f>
        <v>0.66031746031746</v>
      </c>
      <c r="J2933" s="15" t="n">
        <v>0.5807</v>
      </c>
      <c r="K2933" s="11" t="str">
        <f aca="false">IF(I2933&lt;J2933,"TAK","NIE")</f>
        <v>NIE</v>
      </c>
    </row>
    <row r="2934" customFormat="false" ht="15" hidden="false" customHeight="false" outlineLevel="0" collapsed="false">
      <c r="A2934" s="5" t="s">
        <v>603</v>
      </c>
      <c r="B2934" s="5" t="s">
        <v>93</v>
      </c>
      <c r="C2934" s="5" t="n">
        <v>2022</v>
      </c>
      <c r="D2934" s="5" t="s">
        <v>92</v>
      </c>
      <c r="E2934" s="5" t="s">
        <v>57</v>
      </c>
      <c r="F2934" s="5" t="s">
        <v>40</v>
      </c>
      <c r="G2934" s="6" t="n">
        <v>608</v>
      </c>
      <c r="H2934" s="6" t="n">
        <v>266</v>
      </c>
      <c r="I2934" s="7" t="n">
        <f aca="false">(G2934-H2934)/G2934</f>
        <v>0.5625</v>
      </c>
      <c r="J2934" s="15" t="n">
        <v>0.5807</v>
      </c>
      <c r="K2934" s="11" t="str">
        <f aca="false">IF(I2934&lt;J2934,"TAK","NIE")</f>
        <v>TAK</v>
      </c>
    </row>
    <row r="2935" customFormat="false" ht="15" hidden="false" customHeight="false" outlineLevel="0" collapsed="false">
      <c r="A2935" s="5" t="s">
        <v>604</v>
      </c>
      <c r="B2935" s="5" t="s">
        <v>93</v>
      </c>
      <c r="C2935" s="5" t="n">
        <v>2022</v>
      </c>
      <c r="D2935" s="5" t="s">
        <v>92</v>
      </c>
      <c r="E2935" s="5" t="s">
        <v>57</v>
      </c>
      <c r="F2935" s="5" t="s">
        <v>40</v>
      </c>
      <c r="G2935" s="6" t="n">
        <v>630</v>
      </c>
      <c r="H2935" s="6" t="n">
        <v>271</v>
      </c>
      <c r="I2935" s="7" t="n">
        <f aca="false">(G2935-H2935)/G2935</f>
        <v>0.56984126984127</v>
      </c>
      <c r="J2935" s="15" t="n">
        <v>0.5807</v>
      </c>
      <c r="K2935" s="11" t="str">
        <f aca="false">IF(I2935&lt;J2935,"TAK","NIE")</f>
        <v>TAK</v>
      </c>
    </row>
    <row r="2936" customFormat="false" ht="15" hidden="false" customHeight="false" outlineLevel="0" collapsed="false">
      <c r="A2936" s="5" t="s">
        <v>605</v>
      </c>
      <c r="B2936" s="5" t="s">
        <v>93</v>
      </c>
      <c r="C2936" s="5" t="n">
        <v>2022</v>
      </c>
      <c r="D2936" s="5" t="s">
        <v>92</v>
      </c>
      <c r="E2936" s="5" t="s">
        <v>57</v>
      </c>
      <c r="F2936" s="5" t="s">
        <v>40</v>
      </c>
      <c r="G2936" s="6" t="n">
        <v>630</v>
      </c>
      <c r="H2936" s="6" t="n">
        <v>191</v>
      </c>
      <c r="I2936" s="7" t="n">
        <f aca="false">(G2936-H2936)/G2936</f>
        <v>0.696825396825397</v>
      </c>
      <c r="J2936" s="15" t="n">
        <v>0.5807</v>
      </c>
      <c r="K2936" s="11" t="str">
        <f aca="false">IF(I2936&lt;J2936,"TAK","NIE")</f>
        <v>NIE</v>
      </c>
    </row>
    <row r="2937" customFormat="false" ht="15" hidden="false" customHeight="false" outlineLevel="0" collapsed="false">
      <c r="A2937" s="5" t="s">
        <v>607</v>
      </c>
      <c r="B2937" s="5" t="s">
        <v>93</v>
      </c>
      <c r="C2937" s="5" t="n">
        <v>2022</v>
      </c>
      <c r="D2937" s="5" t="s">
        <v>92</v>
      </c>
      <c r="E2937" s="5" t="s">
        <v>57</v>
      </c>
      <c r="F2937" s="5" t="s">
        <v>40</v>
      </c>
      <c r="G2937" s="6" t="n">
        <v>630</v>
      </c>
      <c r="H2937" s="6" t="n">
        <v>203</v>
      </c>
      <c r="I2937" s="7" t="n">
        <f aca="false">(G2937-H2937)/G2937</f>
        <v>0.677777777777778</v>
      </c>
      <c r="J2937" s="15" t="n">
        <v>0.5807</v>
      </c>
      <c r="K2937" s="11" t="str">
        <f aca="false">IF(I2937&lt;J2937,"TAK","NIE")</f>
        <v>NIE</v>
      </c>
    </row>
    <row r="2938" customFormat="false" ht="15" hidden="false" customHeight="false" outlineLevel="0" collapsed="false">
      <c r="A2938" s="5" t="s">
        <v>610</v>
      </c>
      <c r="B2938" s="5" t="s">
        <v>93</v>
      </c>
      <c r="C2938" s="5" t="n">
        <v>2022</v>
      </c>
      <c r="D2938" s="5" t="s">
        <v>92</v>
      </c>
      <c r="E2938" s="5" t="s">
        <v>57</v>
      </c>
      <c r="F2938" s="5" t="s">
        <v>40</v>
      </c>
      <c r="G2938" s="6" t="n">
        <v>636</v>
      </c>
      <c r="H2938" s="6" t="n">
        <v>193</v>
      </c>
      <c r="I2938" s="7" t="n">
        <f aca="false">(G2938-H2938)/G2938</f>
        <v>0.696540880503145</v>
      </c>
      <c r="J2938" s="15" t="n">
        <v>0.5807</v>
      </c>
      <c r="K2938" s="11" t="str">
        <f aca="false">IF(I2938&lt;J2938,"TAK","NIE")</f>
        <v>NIE</v>
      </c>
    </row>
    <row r="2939" customFormat="false" ht="15" hidden="false" customHeight="false" outlineLevel="0" collapsed="false">
      <c r="A2939" s="5" t="s">
        <v>611</v>
      </c>
      <c r="B2939" s="5" t="s">
        <v>93</v>
      </c>
      <c r="C2939" s="5" t="n">
        <v>2022</v>
      </c>
      <c r="D2939" s="5" t="s">
        <v>92</v>
      </c>
      <c r="E2939" s="5" t="s">
        <v>57</v>
      </c>
      <c r="F2939" s="5" t="s">
        <v>40</v>
      </c>
      <c r="G2939" s="6" t="n">
        <v>623</v>
      </c>
      <c r="H2939" s="6" t="n">
        <v>204</v>
      </c>
      <c r="I2939" s="7" t="n">
        <f aca="false">(G2939-H2939)/G2939</f>
        <v>0.672552166934189</v>
      </c>
      <c r="J2939" s="15" t="n">
        <v>0.5807</v>
      </c>
      <c r="K2939" s="11" t="str">
        <f aca="false">IF(I2939&lt;J2939,"TAK","NIE")</f>
        <v>NIE</v>
      </c>
    </row>
    <row r="2940" customFormat="false" ht="15" hidden="false" customHeight="false" outlineLevel="0" collapsed="false">
      <c r="A2940" s="5" t="s">
        <v>612</v>
      </c>
      <c r="B2940" s="5" t="s">
        <v>93</v>
      </c>
      <c r="C2940" s="5" t="n">
        <v>2022</v>
      </c>
      <c r="D2940" s="5" t="s">
        <v>92</v>
      </c>
      <c r="E2940" s="5" t="s">
        <v>57</v>
      </c>
      <c r="F2940" s="5" t="s">
        <v>40</v>
      </c>
      <c r="G2940" s="6" t="n">
        <v>630</v>
      </c>
      <c r="H2940" s="6" t="n">
        <v>195</v>
      </c>
      <c r="I2940" s="7" t="n">
        <f aca="false">(G2940-H2940)/G2940</f>
        <v>0.690476190476191</v>
      </c>
      <c r="J2940" s="15" t="n">
        <v>0.5807</v>
      </c>
      <c r="K2940" s="11" t="str">
        <f aca="false">IF(I2940&lt;J2940,"TAK","NIE")</f>
        <v>NIE</v>
      </c>
    </row>
    <row r="2941" customFormat="false" ht="15" hidden="false" customHeight="false" outlineLevel="0" collapsed="false">
      <c r="A2941" s="5" t="s">
        <v>616</v>
      </c>
      <c r="B2941" s="5" t="s">
        <v>93</v>
      </c>
      <c r="C2941" s="5" t="n">
        <v>2022</v>
      </c>
      <c r="D2941" s="5" t="s">
        <v>92</v>
      </c>
      <c r="E2941" s="5" t="s">
        <v>57</v>
      </c>
      <c r="F2941" s="5" t="s">
        <v>40</v>
      </c>
      <c r="G2941" s="6" t="n">
        <v>636</v>
      </c>
      <c r="H2941" s="6" t="n">
        <v>300</v>
      </c>
      <c r="I2941" s="7" t="n">
        <f aca="false">(G2941-H2941)/G2941</f>
        <v>0.528301886792453</v>
      </c>
      <c r="J2941" s="15" t="n">
        <v>0.5807</v>
      </c>
      <c r="K2941" s="11" t="str">
        <f aca="false">IF(I2941&lt;J2941,"TAK","NIE")</f>
        <v>TAK</v>
      </c>
    </row>
    <row r="2942" customFormat="false" ht="15" hidden="false" customHeight="false" outlineLevel="0" collapsed="false">
      <c r="A2942" s="5" t="s">
        <v>596</v>
      </c>
      <c r="B2942" s="5" t="s">
        <v>94</v>
      </c>
      <c r="C2942" s="5" t="n">
        <v>2022</v>
      </c>
      <c r="D2942" s="5" t="s">
        <v>92</v>
      </c>
      <c r="E2942" s="5" t="s">
        <v>75</v>
      </c>
      <c r="F2942" s="5" t="s">
        <v>39</v>
      </c>
      <c r="G2942" s="6" t="n">
        <v>593</v>
      </c>
      <c r="H2942" s="6" t="n">
        <v>313</v>
      </c>
      <c r="I2942" s="7" t="n">
        <f aca="false">(G2942-H2942)/G2942</f>
        <v>0.472175379426644</v>
      </c>
      <c r="J2942" s="15" t="n">
        <v>0.4605</v>
      </c>
      <c r="K2942" s="11" t="str">
        <f aca="false">IF(I2942&lt;J2942,"TAK","NIE")</f>
        <v>NIE</v>
      </c>
    </row>
    <row r="2943" customFormat="false" ht="15" hidden="false" customHeight="false" outlineLevel="0" collapsed="false">
      <c r="A2943" s="5" t="s">
        <v>597</v>
      </c>
      <c r="B2943" s="5" t="s">
        <v>94</v>
      </c>
      <c r="C2943" s="5" t="n">
        <v>2022</v>
      </c>
      <c r="D2943" s="5" t="s">
        <v>92</v>
      </c>
      <c r="E2943" s="5" t="s">
        <v>75</v>
      </c>
      <c r="F2943" s="5" t="s">
        <v>39</v>
      </c>
      <c r="G2943" s="6" t="n">
        <v>591</v>
      </c>
      <c r="H2943" s="6" t="n">
        <v>220</v>
      </c>
      <c r="I2943" s="7" t="n">
        <f aca="false">(G2943-H2943)/G2943</f>
        <v>0.627749576988156</v>
      </c>
      <c r="J2943" s="15" t="n">
        <v>0.4605</v>
      </c>
      <c r="K2943" s="11" t="str">
        <f aca="false">IF(I2943&lt;J2943,"TAK","NIE")</f>
        <v>NIE</v>
      </c>
    </row>
    <row r="2944" customFormat="false" ht="15" hidden="false" customHeight="false" outlineLevel="0" collapsed="false">
      <c r="A2944" s="5" t="s">
        <v>598</v>
      </c>
      <c r="B2944" s="5" t="s">
        <v>94</v>
      </c>
      <c r="C2944" s="5" t="n">
        <v>2022</v>
      </c>
      <c r="D2944" s="5" t="s">
        <v>92</v>
      </c>
      <c r="E2944" s="5" t="s">
        <v>75</v>
      </c>
      <c r="F2944" s="5" t="s">
        <v>39</v>
      </c>
      <c r="G2944" s="6" t="n">
        <v>593</v>
      </c>
      <c r="H2944" s="6" t="n">
        <v>20</v>
      </c>
      <c r="I2944" s="7" t="n">
        <f aca="false">(G2944-H2944)/G2944</f>
        <v>0.966273187183811</v>
      </c>
      <c r="J2944" s="15" t="n">
        <v>0.4605</v>
      </c>
      <c r="K2944" s="11" t="str">
        <f aca="false">IF(I2944&lt;J2944,"TAK","NIE")</f>
        <v>NIE</v>
      </c>
    </row>
    <row r="2945" customFormat="false" ht="15" hidden="false" customHeight="false" outlineLevel="0" collapsed="false">
      <c r="A2945" s="5" t="s">
        <v>599</v>
      </c>
      <c r="B2945" s="5" t="s">
        <v>94</v>
      </c>
      <c r="C2945" s="5" t="n">
        <v>2022</v>
      </c>
      <c r="D2945" s="5" t="s">
        <v>92</v>
      </c>
      <c r="E2945" s="5" t="s">
        <v>75</v>
      </c>
      <c r="F2945" s="5" t="s">
        <v>39</v>
      </c>
      <c r="G2945" s="6" t="n">
        <v>593</v>
      </c>
      <c r="H2945" s="6" t="n">
        <v>197</v>
      </c>
      <c r="I2945" s="7" t="n">
        <f aca="false">(G2945-H2945)/G2945</f>
        <v>0.66779089376054</v>
      </c>
      <c r="J2945" s="15" t="n">
        <v>0.4605</v>
      </c>
      <c r="K2945" s="11" t="str">
        <f aca="false">IF(I2945&lt;J2945,"TAK","NIE")</f>
        <v>NIE</v>
      </c>
    </row>
    <row r="2946" customFormat="false" ht="15" hidden="false" customHeight="false" outlineLevel="0" collapsed="false">
      <c r="A2946" s="5" t="s">
        <v>600</v>
      </c>
      <c r="B2946" s="5" t="s">
        <v>94</v>
      </c>
      <c r="C2946" s="5" t="n">
        <v>2022</v>
      </c>
      <c r="D2946" s="5" t="s">
        <v>92</v>
      </c>
      <c r="E2946" s="5" t="s">
        <v>75</v>
      </c>
      <c r="F2946" s="5" t="s">
        <v>39</v>
      </c>
      <c r="G2946" s="6" t="n">
        <v>593</v>
      </c>
      <c r="H2946" s="6" t="n">
        <v>130</v>
      </c>
      <c r="I2946" s="7" t="n">
        <f aca="false">(G2946-H2946)/G2946</f>
        <v>0.780775716694772</v>
      </c>
      <c r="J2946" s="15" t="n">
        <v>0.4605</v>
      </c>
      <c r="K2946" s="11" t="str">
        <f aca="false">IF(I2946&lt;J2946,"TAK","NIE")</f>
        <v>NIE</v>
      </c>
    </row>
    <row r="2947" customFormat="false" ht="15" hidden="false" customHeight="false" outlineLevel="0" collapsed="false">
      <c r="A2947" s="5" t="s">
        <v>601</v>
      </c>
      <c r="B2947" s="5" t="s">
        <v>94</v>
      </c>
      <c r="C2947" s="5" t="n">
        <v>2022</v>
      </c>
      <c r="D2947" s="5" t="s">
        <v>92</v>
      </c>
      <c r="E2947" s="5" t="s">
        <v>75</v>
      </c>
      <c r="F2947" s="5" t="s">
        <v>39</v>
      </c>
      <c r="G2947" s="6" t="n">
        <v>591</v>
      </c>
      <c r="H2947" s="6" t="n">
        <v>186</v>
      </c>
      <c r="I2947" s="7" t="n">
        <f aca="false">(G2947-H2947)/G2947</f>
        <v>0.685279187817259</v>
      </c>
      <c r="J2947" s="15" t="n">
        <v>0.4605</v>
      </c>
      <c r="K2947" s="11" t="str">
        <f aca="false">IF(I2947&lt;J2947,"TAK","NIE")</f>
        <v>NIE</v>
      </c>
    </row>
    <row r="2948" customFormat="false" ht="15" hidden="false" customHeight="false" outlineLevel="0" collapsed="false">
      <c r="A2948" s="5" t="s">
        <v>602</v>
      </c>
      <c r="B2948" s="5" t="s">
        <v>94</v>
      </c>
      <c r="C2948" s="5" t="n">
        <v>2022</v>
      </c>
      <c r="D2948" s="5" t="s">
        <v>92</v>
      </c>
      <c r="E2948" s="5" t="s">
        <v>75</v>
      </c>
      <c r="F2948" s="5" t="s">
        <v>39</v>
      </c>
      <c r="G2948" s="6" t="n">
        <v>593</v>
      </c>
      <c r="H2948" s="6" t="n">
        <v>158</v>
      </c>
      <c r="I2948" s="7" t="n">
        <f aca="false">(G2948-H2948)/G2948</f>
        <v>0.733558178752108</v>
      </c>
      <c r="J2948" s="15" t="n">
        <v>0.4605</v>
      </c>
      <c r="K2948" s="11" t="str">
        <f aca="false">IF(I2948&lt;J2948,"TAK","NIE")</f>
        <v>NIE</v>
      </c>
    </row>
    <row r="2949" customFormat="false" ht="15" hidden="false" customHeight="false" outlineLevel="0" collapsed="false">
      <c r="A2949" s="5" t="s">
        <v>603</v>
      </c>
      <c r="B2949" s="5" t="s">
        <v>94</v>
      </c>
      <c r="C2949" s="5" t="n">
        <v>2022</v>
      </c>
      <c r="D2949" s="5" t="s">
        <v>92</v>
      </c>
      <c r="E2949" s="5" t="s">
        <v>75</v>
      </c>
      <c r="F2949" s="5" t="s">
        <v>39</v>
      </c>
      <c r="G2949" s="6" t="n">
        <v>571</v>
      </c>
      <c r="H2949" s="6" t="n">
        <v>144</v>
      </c>
      <c r="I2949" s="7" t="n">
        <f aca="false">(G2949-H2949)/G2949</f>
        <v>0.747810858143608</v>
      </c>
      <c r="J2949" s="15" t="n">
        <v>0.4605</v>
      </c>
      <c r="K2949" s="11" t="str">
        <f aca="false">IF(I2949&lt;J2949,"TAK","NIE")</f>
        <v>NIE</v>
      </c>
    </row>
    <row r="2950" customFormat="false" ht="15" hidden="false" customHeight="false" outlineLevel="0" collapsed="false">
      <c r="A2950" s="5" t="s">
        <v>604</v>
      </c>
      <c r="B2950" s="5" t="s">
        <v>94</v>
      </c>
      <c r="C2950" s="5" t="n">
        <v>2022</v>
      </c>
      <c r="D2950" s="5" t="s">
        <v>92</v>
      </c>
      <c r="E2950" s="5" t="s">
        <v>75</v>
      </c>
      <c r="F2950" s="5" t="s">
        <v>39</v>
      </c>
      <c r="G2950" s="6" t="n">
        <v>593</v>
      </c>
      <c r="H2950" s="6" t="n">
        <v>188</v>
      </c>
      <c r="I2950" s="7" t="n">
        <f aca="false">(G2950-H2950)/G2950</f>
        <v>0.682967959527825</v>
      </c>
      <c r="J2950" s="15" t="n">
        <v>0.4605</v>
      </c>
      <c r="K2950" s="11" t="str">
        <f aca="false">IF(I2950&lt;J2950,"TAK","NIE")</f>
        <v>NIE</v>
      </c>
    </row>
    <row r="2951" customFormat="false" ht="15" hidden="false" customHeight="false" outlineLevel="0" collapsed="false">
      <c r="A2951" s="5" t="s">
        <v>605</v>
      </c>
      <c r="B2951" s="5" t="s">
        <v>94</v>
      </c>
      <c r="C2951" s="5" t="n">
        <v>2022</v>
      </c>
      <c r="D2951" s="5" t="s">
        <v>92</v>
      </c>
      <c r="E2951" s="5" t="s">
        <v>75</v>
      </c>
      <c r="F2951" s="5" t="s">
        <v>39</v>
      </c>
      <c r="G2951" s="6" t="n">
        <v>591</v>
      </c>
      <c r="H2951" s="6" t="n">
        <v>104</v>
      </c>
      <c r="I2951" s="7" t="n">
        <f aca="false">(G2951-H2951)/G2951</f>
        <v>0.824027072758037</v>
      </c>
      <c r="J2951" s="15" t="n">
        <v>0.4605</v>
      </c>
      <c r="K2951" s="11" t="str">
        <f aca="false">IF(I2951&lt;J2951,"TAK","NIE")</f>
        <v>NIE</v>
      </c>
    </row>
    <row r="2952" customFormat="false" ht="15" hidden="false" customHeight="false" outlineLevel="0" collapsed="false">
      <c r="A2952" s="5" t="s">
        <v>607</v>
      </c>
      <c r="B2952" s="5" t="s">
        <v>94</v>
      </c>
      <c r="C2952" s="5" t="n">
        <v>2022</v>
      </c>
      <c r="D2952" s="5" t="s">
        <v>92</v>
      </c>
      <c r="E2952" s="5" t="s">
        <v>75</v>
      </c>
      <c r="F2952" s="5" t="s">
        <v>39</v>
      </c>
      <c r="G2952" s="6" t="n">
        <v>593</v>
      </c>
      <c r="H2952" s="6" t="n">
        <v>130</v>
      </c>
      <c r="I2952" s="7" t="n">
        <f aca="false">(G2952-H2952)/G2952</f>
        <v>0.780775716694772</v>
      </c>
      <c r="J2952" s="15" t="n">
        <v>0.4605</v>
      </c>
      <c r="K2952" s="11" t="str">
        <f aca="false">IF(I2952&lt;J2952,"TAK","NIE")</f>
        <v>NIE</v>
      </c>
    </row>
    <row r="2953" customFormat="false" ht="15" hidden="false" customHeight="false" outlineLevel="0" collapsed="false">
      <c r="A2953" s="5" t="s">
        <v>610</v>
      </c>
      <c r="B2953" s="5" t="s">
        <v>94</v>
      </c>
      <c r="C2953" s="5" t="n">
        <v>2022</v>
      </c>
      <c r="D2953" s="5" t="s">
        <v>92</v>
      </c>
      <c r="E2953" s="5" t="s">
        <v>75</v>
      </c>
      <c r="F2953" s="5" t="s">
        <v>39</v>
      </c>
      <c r="G2953" s="6" t="n">
        <v>593</v>
      </c>
      <c r="H2953" s="6" t="n">
        <v>76</v>
      </c>
      <c r="I2953" s="7" t="n">
        <f aca="false">(G2953-H2953)/G2953</f>
        <v>0.871838111298482</v>
      </c>
      <c r="J2953" s="15" t="n">
        <v>0.4605</v>
      </c>
      <c r="K2953" s="11" t="str">
        <f aca="false">IF(I2953&lt;J2953,"TAK","NIE")</f>
        <v>NIE</v>
      </c>
    </row>
    <row r="2954" customFormat="false" ht="15" hidden="false" customHeight="false" outlineLevel="0" collapsed="false">
      <c r="A2954" s="5" t="s">
        <v>611</v>
      </c>
      <c r="B2954" s="5" t="s">
        <v>94</v>
      </c>
      <c r="C2954" s="5" t="n">
        <v>2022</v>
      </c>
      <c r="D2954" s="5" t="s">
        <v>92</v>
      </c>
      <c r="E2954" s="5" t="s">
        <v>75</v>
      </c>
      <c r="F2954" s="5" t="s">
        <v>39</v>
      </c>
      <c r="G2954" s="6" t="n">
        <v>593</v>
      </c>
      <c r="H2954" s="6" t="n">
        <v>201</v>
      </c>
      <c r="I2954" s="7" t="n">
        <f aca="false">(G2954-H2954)/G2954</f>
        <v>0.661045531197302</v>
      </c>
      <c r="J2954" s="15" t="n">
        <v>0.4605</v>
      </c>
      <c r="K2954" s="11" t="str">
        <f aca="false">IF(I2954&lt;J2954,"TAK","NIE")</f>
        <v>NIE</v>
      </c>
    </row>
    <row r="2955" customFormat="false" ht="15" hidden="false" customHeight="false" outlineLevel="0" collapsed="false">
      <c r="A2955" s="5" t="s">
        <v>612</v>
      </c>
      <c r="B2955" s="5" t="s">
        <v>94</v>
      </c>
      <c r="C2955" s="5" t="n">
        <v>2022</v>
      </c>
      <c r="D2955" s="5" t="s">
        <v>92</v>
      </c>
      <c r="E2955" s="5" t="s">
        <v>75</v>
      </c>
      <c r="F2955" s="5" t="s">
        <v>39</v>
      </c>
      <c r="G2955" s="6" t="n">
        <v>593</v>
      </c>
      <c r="H2955" s="6" t="n">
        <v>107</v>
      </c>
      <c r="I2955" s="7" t="n">
        <f aca="false">(G2955-H2955)/G2955</f>
        <v>0.81956155143339</v>
      </c>
      <c r="J2955" s="15" t="n">
        <v>0.4605</v>
      </c>
      <c r="K2955" s="11" t="str">
        <f aca="false">IF(I2955&lt;J2955,"TAK","NIE")</f>
        <v>NIE</v>
      </c>
    </row>
    <row r="2956" customFormat="false" ht="15" hidden="false" customHeight="false" outlineLevel="0" collapsed="false">
      <c r="A2956" s="5" t="s">
        <v>616</v>
      </c>
      <c r="B2956" s="5" t="s">
        <v>94</v>
      </c>
      <c r="C2956" s="5" t="n">
        <v>2022</v>
      </c>
      <c r="D2956" s="5" t="s">
        <v>92</v>
      </c>
      <c r="E2956" s="5" t="s">
        <v>75</v>
      </c>
      <c r="F2956" s="5" t="s">
        <v>39</v>
      </c>
      <c r="G2956" s="6" t="n">
        <v>593</v>
      </c>
      <c r="H2956" s="6" t="n">
        <v>227</v>
      </c>
      <c r="I2956" s="7" t="n">
        <f aca="false">(G2956-H2956)/G2956</f>
        <v>0.617200674536256</v>
      </c>
      <c r="J2956" s="15" t="n">
        <v>0.4605</v>
      </c>
      <c r="K2956" s="11" t="str">
        <f aca="false">IF(I2956&lt;J2956,"TAK","NIE")</f>
        <v>NIE</v>
      </c>
    </row>
    <row r="2957" customFormat="false" ht="15" hidden="false" customHeight="false" outlineLevel="0" collapsed="false">
      <c r="A2957" s="5" t="s">
        <v>596</v>
      </c>
      <c r="B2957" s="5" t="s">
        <v>94</v>
      </c>
      <c r="C2957" s="5" t="n">
        <v>2022</v>
      </c>
      <c r="D2957" s="5" t="s">
        <v>92</v>
      </c>
      <c r="E2957" s="5" t="s">
        <v>75</v>
      </c>
      <c r="F2957" s="5" t="s">
        <v>40</v>
      </c>
      <c r="G2957" s="6" t="n">
        <v>817</v>
      </c>
      <c r="H2957" s="6" t="n">
        <v>601</v>
      </c>
      <c r="I2957" s="7" t="n">
        <f aca="false">(G2957-H2957)/G2957</f>
        <v>0.26438188494492</v>
      </c>
      <c r="J2957" s="15" t="n">
        <v>0.4223</v>
      </c>
      <c r="K2957" s="11" t="str">
        <f aca="false">IF(I2957&lt;J2957,"TAK","NIE")</f>
        <v>TAK</v>
      </c>
    </row>
    <row r="2958" customFormat="false" ht="15" hidden="false" customHeight="false" outlineLevel="0" collapsed="false">
      <c r="A2958" s="5" t="s">
        <v>597</v>
      </c>
      <c r="B2958" s="5" t="s">
        <v>94</v>
      </c>
      <c r="C2958" s="5" t="n">
        <v>2022</v>
      </c>
      <c r="D2958" s="5" t="s">
        <v>92</v>
      </c>
      <c r="E2958" s="5" t="s">
        <v>75</v>
      </c>
      <c r="F2958" s="5" t="s">
        <v>40</v>
      </c>
      <c r="G2958" s="6" t="n">
        <v>785</v>
      </c>
      <c r="H2958" s="6" t="n">
        <v>281</v>
      </c>
      <c r="I2958" s="7" t="n">
        <f aca="false">(G2958-H2958)/G2958</f>
        <v>0.64203821656051</v>
      </c>
      <c r="J2958" s="15" t="n">
        <v>0.4223</v>
      </c>
      <c r="K2958" s="11" t="str">
        <f aca="false">IF(I2958&lt;J2958,"TAK","NIE")</f>
        <v>NIE</v>
      </c>
    </row>
    <row r="2959" customFormat="false" ht="15" hidden="false" customHeight="false" outlineLevel="0" collapsed="false">
      <c r="A2959" s="5" t="s">
        <v>598</v>
      </c>
      <c r="B2959" s="5" t="s">
        <v>94</v>
      </c>
      <c r="C2959" s="5" t="n">
        <v>2022</v>
      </c>
      <c r="D2959" s="5" t="s">
        <v>92</v>
      </c>
      <c r="E2959" s="5" t="s">
        <v>75</v>
      </c>
      <c r="F2959" s="5" t="s">
        <v>40</v>
      </c>
      <c r="G2959" s="6" t="n">
        <v>817</v>
      </c>
      <c r="H2959" s="6" t="n">
        <v>142</v>
      </c>
      <c r="I2959" s="7" t="n">
        <f aca="false">(G2959-H2959)/G2959</f>
        <v>0.826193390452876</v>
      </c>
      <c r="J2959" s="15" t="n">
        <v>0.4223</v>
      </c>
      <c r="K2959" s="11" t="str">
        <f aca="false">IF(I2959&lt;J2959,"TAK","NIE")</f>
        <v>NIE</v>
      </c>
    </row>
    <row r="2960" customFormat="false" ht="15" hidden="false" customHeight="false" outlineLevel="0" collapsed="false">
      <c r="A2960" s="5" t="s">
        <v>599</v>
      </c>
      <c r="B2960" s="5" t="s">
        <v>94</v>
      </c>
      <c r="C2960" s="5" t="n">
        <v>2022</v>
      </c>
      <c r="D2960" s="5" t="s">
        <v>92</v>
      </c>
      <c r="E2960" s="5" t="s">
        <v>75</v>
      </c>
      <c r="F2960" s="5" t="s">
        <v>40</v>
      </c>
      <c r="G2960" s="6" t="n">
        <v>817</v>
      </c>
      <c r="H2960" s="6" t="n">
        <v>314</v>
      </c>
      <c r="I2960" s="7" t="n">
        <f aca="false">(G2960-H2960)/G2960</f>
        <v>0.615667074663403</v>
      </c>
      <c r="J2960" s="15" t="n">
        <v>0.4223</v>
      </c>
      <c r="K2960" s="11" t="str">
        <f aca="false">IF(I2960&lt;J2960,"TAK","NIE")</f>
        <v>NIE</v>
      </c>
    </row>
    <row r="2961" customFormat="false" ht="15" hidden="false" customHeight="false" outlineLevel="0" collapsed="false">
      <c r="A2961" s="5" t="s">
        <v>600</v>
      </c>
      <c r="B2961" s="5" t="s">
        <v>94</v>
      </c>
      <c r="C2961" s="5" t="n">
        <v>2022</v>
      </c>
      <c r="D2961" s="5" t="s">
        <v>92</v>
      </c>
      <c r="E2961" s="5" t="s">
        <v>75</v>
      </c>
      <c r="F2961" s="5" t="s">
        <v>40</v>
      </c>
      <c r="G2961" s="6" t="n">
        <v>817</v>
      </c>
      <c r="H2961" s="6" t="n">
        <v>249</v>
      </c>
      <c r="I2961" s="7" t="n">
        <f aca="false">(G2961-H2961)/G2961</f>
        <v>0.695226438188495</v>
      </c>
      <c r="J2961" s="15" t="n">
        <v>0.4223</v>
      </c>
      <c r="K2961" s="11" t="str">
        <f aca="false">IF(I2961&lt;J2961,"TAK","NIE")</f>
        <v>NIE</v>
      </c>
    </row>
    <row r="2962" customFormat="false" ht="15" hidden="false" customHeight="false" outlineLevel="0" collapsed="false">
      <c r="A2962" s="5" t="s">
        <v>601</v>
      </c>
      <c r="B2962" s="5" t="s">
        <v>94</v>
      </c>
      <c r="C2962" s="5" t="n">
        <v>2022</v>
      </c>
      <c r="D2962" s="5" t="s">
        <v>92</v>
      </c>
      <c r="E2962" s="5" t="s">
        <v>75</v>
      </c>
      <c r="F2962" s="5" t="s">
        <v>40</v>
      </c>
      <c r="G2962" s="6" t="n">
        <v>811</v>
      </c>
      <c r="H2962" s="6" t="n">
        <v>332</v>
      </c>
      <c r="I2962" s="7" t="n">
        <f aca="false">(G2962-H2962)/G2962</f>
        <v>0.590628853267571</v>
      </c>
      <c r="J2962" s="15" t="n">
        <v>0.4223</v>
      </c>
      <c r="K2962" s="11" t="str">
        <f aca="false">IF(I2962&lt;J2962,"TAK","NIE")</f>
        <v>NIE</v>
      </c>
    </row>
    <row r="2963" customFormat="false" ht="15" hidden="false" customHeight="false" outlineLevel="0" collapsed="false">
      <c r="A2963" s="5" t="s">
        <v>602</v>
      </c>
      <c r="B2963" s="5" t="s">
        <v>94</v>
      </c>
      <c r="C2963" s="5" t="n">
        <v>2022</v>
      </c>
      <c r="D2963" s="5" t="s">
        <v>92</v>
      </c>
      <c r="E2963" s="5" t="s">
        <v>75</v>
      </c>
      <c r="F2963" s="5" t="s">
        <v>40</v>
      </c>
      <c r="G2963" s="6" t="n">
        <v>817</v>
      </c>
      <c r="H2963" s="6" t="n">
        <v>348</v>
      </c>
      <c r="I2963" s="7" t="n">
        <f aca="false">(G2963-H2963)/G2963</f>
        <v>0.574051407588739</v>
      </c>
      <c r="J2963" s="15" t="n">
        <v>0.4223</v>
      </c>
      <c r="K2963" s="11" t="str">
        <f aca="false">IF(I2963&lt;J2963,"TAK","NIE")</f>
        <v>NIE</v>
      </c>
    </row>
    <row r="2964" customFormat="false" ht="15" hidden="false" customHeight="false" outlineLevel="0" collapsed="false">
      <c r="A2964" s="5" t="s">
        <v>603</v>
      </c>
      <c r="B2964" s="5" t="s">
        <v>94</v>
      </c>
      <c r="C2964" s="5" t="n">
        <v>2022</v>
      </c>
      <c r="D2964" s="5" t="s">
        <v>92</v>
      </c>
      <c r="E2964" s="5" t="s">
        <v>75</v>
      </c>
      <c r="F2964" s="5" t="s">
        <v>40</v>
      </c>
      <c r="G2964" s="6" t="n">
        <v>785</v>
      </c>
      <c r="H2964" s="6" t="n">
        <v>344</v>
      </c>
      <c r="I2964" s="7" t="n">
        <f aca="false">(G2964-H2964)/G2964</f>
        <v>0.561783439490446</v>
      </c>
      <c r="J2964" s="15" t="n">
        <v>0.4223</v>
      </c>
      <c r="K2964" s="11" t="str">
        <f aca="false">IF(I2964&lt;J2964,"TAK","NIE")</f>
        <v>NIE</v>
      </c>
    </row>
    <row r="2965" customFormat="false" ht="15" hidden="false" customHeight="false" outlineLevel="0" collapsed="false">
      <c r="A2965" s="5" t="s">
        <v>604</v>
      </c>
      <c r="B2965" s="5" t="s">
        <v>94</v>
      </c>
      <c r="C2965" s="5" t="n">
        <v>2022</v>
      </c>
      <c r="D2965" s="5" t="s">
        <v>92</v>
      </c>
      <c r="E2965" s="5" t="s">
        <v>75</v>
      </c>
      <c r="F2965" s="5" t="s">
        <v>40</v>
      </c>
      <c r="G2965" s="6" t="n">
        <v>817</v>
      </c>
      <c r="H2965" s="6" t="n">
        <v>239</v>
      </c>
      <c r="I2965" s="7" t="n">
        <f aca="false">(G2965-H2965)/G2965</f>
        <v>0.707466340269278</v>
      </c>
      <c r="J2965" s="15" t="n">
        <v>0.4223</v>
      </c>
      <c r="K2965" s="11" t="str">
        <f aca="false">IF(I2965&lt;J2965,"TAK","NIE")</f>
        <v>NIE</v>
      </c>
    </row>
    <row r="2966" customFormat="false" ht="15" hidden="false" customHeight="false" outlineLevel="0" collapsed="false">
      <c r="A2966" s="5" t="s">
        <v>605</v>
      </c>
      <c r="B2966" s="5" t="s">
        <v>94</v>
      </c>
      <c r="C2966" s="5" t="n">
        <v>2022</v>
      </c>
      <c r="D2966" s="5" t="s">
        <v>92</v>
      </c>
      <c r="E2966" s="5" t="s">
        <v>75</v>
      </c>
      <c r="F2966" s="5" t="s">
        <v>40</v>
      </c>
      <c r="G2966" s="6" t="n">
        <v>811</v>
      </c>
      <c r="H2966" s="6" t="n">
        <v>233</v>
      </c>
      <c r="I2966" s="7" t="n">
        <f aca="false">(G2966-H2966)/G2966</f>
        <v>0.712700369913687</v>
      </c>
      <c r="J2966" s="15" t="n">
        <v>0.4223</v>
      </c>
      <c r="K2966" s="11" t="str">
        <f aca="false">IF(I2966&lt;J2966,"TAK","NIE")</f>
        <v>NIE</v>
      </c>
    </row>
    <row r="2967" customFormat="false" ht="15" hidden="false" customHeight="false" outlineLevel="0" collapsed="false">
      <c r="A2967" s="5" t="s">
        <v>607</v>
      </c>
      <c r="B2967" s="5" t="s">
        <v>94</v>
      </c>
      <c r="C2967" s="5" t="n">
        <v>2022</v>
      </c>
      <c r="D2967" s="5" t="s">
        <v>92</v>
      </c>
      <c r="E2967" s="5" t="s">
        <v>75</v>
      </c>
      <c r="F2967" s="5" t="s">
        <v>40</v>
      </c>
      <c r="G2967" s="6" t="n">
        <v>817</v>
      </c>
      <c r="H2967" s="6" t="n">
        <v>257</v>
      </c>
      <c r="I2967" s="7" t="n">
        <f aca="false">(G2967-H2967)/G2967</f>
        <v>0.685434516523868</v>
      </c>
      <c r="J2967" s="15" t="n">
        <v>0.4223</v>
      </c>
      <c r="K2967" s="11" t="str">
        <f aca="false">IF(I2967&lt;J2967,"TAK","NIE")</f>
        <v>NIE</v>
      </c>
    </row>
    <row r="2968" customFormat="false" ht="15" hidden="false" customHeight="false" outlineLevel="0" collapsed="false">
      <c r="A2968" s="5" t="s">
        <v>610</v>
      </c>
      <c r="B2968" s="5" t="s">
        <v>94</v>
      </c>
      <c r="C2968" s="5" t="n">
        <v>2022</v>
      </c>
      <c r="D2968" s="5" t="s">
        <v>92</v>
      </c>
      <c r="E2968" s="5" t="s">
        <v>75</v>
      </c>
      <c r="F2968" s="5" t="s">
        <v>40</v>
      </c>
      <c r="G2968" s="6" t="n">
        <v>817</v>
      </c>
      <c r="H2968" s="6" t="n">
        <v>161</v>
      </c>
      <c r="I2968" s="7" t="n">
        <f aca="false">(G2968-H2968)/G2968</f>
        <v>0.802937576499388</v>
      </c>
      <c r="J2968" s="15" t="n">
        <v>0.4223</v>
      </c>
      <c r="K2968" s="11" t="str">
        <f aca="false">IF(I2968&lt;J2968,"TAK","NIE")</f>
        <v>NIE</v>
      </c>
    </row>
    <row r="2969" customFormat="false" ht="15" hidden="false" customHeight="false" outlineLevel="0" collapsed="false">
      <c r="A2969" s="5" t="s">
        <v>611</v>
      </c>
      <c r="B2969" s="5" t="s">
        <v>94</v>
      </c>
      <c r="C2969" s="5" t="n">
        <v>2022</v>
      </c>
      <c r="D2969" s="5" t="s">
        <v>92</v>
      </c>
      <c r="E2969" s="5" t="s">
        <v>75</v>
      </c>
      <c r="F2969" s="5" t="s">
        <v>40</v>
      </c>
      <c r="G2969" s="6" t="n">
        <v>817</v>
      </c>
      <c r="H2969" s="6" t="n">
        <v>332</v>
      </c>
      <c r="I2969" s="7" t="n">
        <f aca="false">(G2969-H2969)/G2969</f>
        <v>0.593635250917993</v>
      </c>
      <c r="J2969" s="15" t="n">
        <v>0.4223</v>
      </c>
      <c r="K2969" s="11" t="str">
        <f aca="false">IF(I2969&lt;J2969,"TAK","NIE")</f>
        <v>NIE</v>
      </c>
    </row>
    <row r="2970" customFormat="false" ht="15" hidden="false" customHeight="false" outlineLevel="0" collapsed="false">
      <c r="A2970" s="5" t="s">
        <v>612</v>
      </c>
      <c r="B2970" s="5" t="s">
        <v>94</v>
      </c>
      <c r="C2970" s="5" t="n">
        <v>2022</v>
      </c>
      <c r="D2970" s="5" t="s">
        <v>92</v>
      </c>
      <c r="E2970" s="5" t="s">
        <v>75</v>
      </c>
      <c r="F2970" s="5" t="s">
        <v>40</v>
      </c>
      <c r="G2970" s="6" t="n">
        <v>817</v>
      </c>
      <c r="H2970" s="6" t="n">
        <v>241</v>
      </c>
      <c r="I2970" s="7" t="n">
        <f aca="false">(G2970-H2970)/G2970</f>
        <v>0.705018359853121</v>
      </c>
      <c r="J2970" s="15" t="n">
        <v>0.4223</v>
      </c>
      <c r="K2970" s="11" t="str">
        <f aca="false">IF(I2970&lt;J2970,"TAK","NIE")</f>
        <v>NIE</v>
      </c>
    </row>
    <row r="2971" customFormat="false" ht="15" hidden="false" customHeight="false" outlineLevel="0" collapsed="false">
      <c r="A2971" s="5" t="s">
        <v>616</v>
      </c>
      <c r="B2971" s="5" t="s">
        <v>94</v>
      </c>
      <c r="C2971" s="5" t="n">
        <v>2022</v>
      </c>
      <c r="D2971" s="5" t="s">
        <v>92</v>
      </c>
      <c r="E2971" s="5" t="s">
        <v>75</v>
      </c>
      <c r="F2971" s="5" t="s">
        <v>40</v>
      </c>
      <c r="G2971" s="6" t="n">
        <v>817</v>
      </c>
      <c r="H2971" s="6" t="n">
        <v>329</v>
      </c>
      <c r="I2971" s="7" t="n">
        <f aca="false">(G2971-H2971)/G2971</f>
        <v>0.597307221542228</v>
      </c>
      <c r="J2971" s="15" t="n">
        <v>0.4223</v>
      </c>
      <c r="K2971" s="11" t="str">
        <f aca="false">IF(I2971&lt;J2971,"TAK","NIE")</f>
        <v>NIE</v>
      </c>
    </row>
    <row r="2972" customFormat="false" ht="15" hidden="false" customHeight="false" outlineLevel="0" collapsed="false">
      <c r="A2972" s="5" t="s">
        <v>597</v>
      </c>
      <c r="B2972" s="5" t="s">
        <v>95</v>
      </c>
      <c r="C2972" s="5" t="n">
        <v>2022</v>
      </c>
      <c r="D2972" s="5" t="s">
        <v>92</v>
      </c>
      <c r="E2972" s="5" t="s">
        <v>89</v>
      </c>
      <c r="F2972" s="5" t="s">
        <v>39</v>
      </c>
      <c r="G2972" s="6" t="n">
        <v>419</v>
      </c>
      <c r="H2972" s="6" t="n">
        <v>108</v>
      </c>
      <c r="I2972" s="7" t="n">
        <f aca="false">(G2972-H2972)/G2972</f>
        <v>0.742243436754177</v>
      </c>
      <c r="J2972" s="15" t="n">
        <v>0.4401</v>
      </c>
      <c r="K2972" s="11" t="str">
        <f aca="false">IF(I2972&lt;J2972,"TAK","NIE")</f>
        <v>NIE</v>
      </c>
    </row>
    <row r="2973" customFormat="false" ht="15" hidden="false" customHeight="false" outlineLevel="0" collapsed="false">
      <c r="A2973" s="5" t="s">
        <v>598</v>
      </c>
      <c r="B2973" s="5" t="s">
        <v>95</v>
      </c>
      <c r="C2973" s="5" t="n">
        <v>2022</v>
      </c>
      <c r="D2973" s="5" t="s">
        <v>92</v>
      </c>
      <c r="E2973" s="5" t="s">
        <v>89</v>
      </c>
      <c r="F2973" s="5" t="s">
        <v>39</v>
      </c>
      <c r="G2973" s="6" t="n">
        <v>429</v>
      </c>
      <c r="H2973" s="6" t="n">
        <v>118</v>
      </c>
      <c r="I2973" s="7" t="n">
        <f aca="false">(G2973-H2973)/G2973</f>
        <v>0.724941724941725</v>
      </c>
      <c r="J2973" s="15" t="n">
        <v>0.4401</v>
      </c>
      <c r="K2973" s="11" t="str">
        <f aca="false">IF(I2973&lt;J2973,"TAK","NIE")</f>
        <v>NIE</v>
      </c>
    </row>
    <row r="2974" customFormat="false" ht="15" hidden="false" customHeight="false" outlineLevel="0" collapsed="false">
      <c r="A2974" s="5" t="s">
        <v>599</v>
      </c>
      <c r="B2974" s="5" t="s">
        <v>95</v>
      </c>
      <c r="C2974" s="5" t="n">
        <v>2022</v>
      </c>
      <c r="D2974" s="5" t="s">
        <v>92</v>
      </c>
      <c r="E2974" s="5" t="s">
        <v>89</v>
      </c>
      <c r="F2974" s="5" t="s">
        <v>39</v>
      </c>
      <c r="G2974" s="6" t="n">
        <v>429</v>
      </c>
      <c r="H2974" s="6" t="n">
        <v>109</v>
      </c>
      <c r="I2974" s="7" t="n">
        <f aca="false">(G2974-H2974)/G2974</f>
        <v>0.745920745920746</v>
      </c>
      <c r="J2974" s="15" t="n">
        <v>0.4401</v>
      </c>
      <c r="K2974" s="11" t="str">
        <f aca="false">IF(I2974&lt;J2974,"TAK","NIE")</f>
        <v>NIE</v>
      </c>
    </row>
    <row r="2975" customFormat="false" ht="15" hidden="false" customHeight="false" outlineLevel="0" collapsed="false">
      <c r="A2975" s="5" t="s">
        <v>600</v>
      </c>
      <c r="B2975" s="5" t="s">
        <v>95</v>
      </c>
      <c r="C2975" s="5" t="n">
        <v>2022</v>
      </c>
      <c r="D2975" s="5" t="s">
        <v>92</v>
      </c>
      <c r="E2975" s="5" t="s">
        <v>89</v>
      </c>
      <c r="F2975" s="5" t="s">
        <v>39</v>
      </c>
      <c r="G2975" s="6" t="n">
        <v>429</v>
      </c>
      <c r="H2975" s="6" t="n">
        <v>113</v>
      </c>
      <c r="I2975" s="7" t="n">
        <f aca="false">(G2975-H2975)/G2975</f>
        <v>0.736596736596737</v>
      </c>
      <c r="J2975" s="15" t="n">
        <v>0.4401</v>
      </c>
      <c r="K2975" s="11" t="str">
        <f aca="false">IF(I2975&lt;J2975,"TAK","NIE")</f>
        <v>NIE</v>
      </c>
    </row>
    <row r="2976" customFormat="false" ht="15" hidden="false" customHeight="false" outlineLevel="0" collapsed="false">
      <c r="A2976" s="5" t="s">
        <v>601</v>
      </c>
      <c r="B2976" s="5" t="s">
        <v>95</v>
      </c>
      <c r="C2976" s="5" t="n">
        <v>2022</v>
      </c>
      <c r="D2976" s="5" t="s">
        <v>92</v>
      </c>
      <c r="E2976" s="5" t="s">
        <v>89</v>
      </c>
      <c r="F2976" s="5" t="s">
        <v>39</v>
      </c>
      <c r="G2976" s="6" t="n">
        <v>421</v>
      </c>
      <c r="H2976" s="6" t="n">
        <v>167</v>
      </c>
      <c r="I2976" s="7" t="n">
        <f aca="false">(G2976-H2976)/G2976</f>
        <v>0.60332541567696</v>
      </c>
      <c r="J2976" s="15" t="n">
        <v>0.4401</v>
      </c>
      <c r="K2976" s="11" t="str">
        <f aca="false">IF(I2976&lt;J2976,"TAK","NIE")</f>
        <v>NIE</v>
      </c>
    </row>
    <row r="2977" customFormat="false" ht="15" hidden="false" customHeight="false" outlineLevel="0" collapsed="false">
      <c r="A2977" s="5" t="s">
        <v>602</v>
      </c>
      <c r="B2977" s="5" t="s">
        <v>95</v>
      </c>
      <c r="C2977" s="5" t="n">
        <v>2022</v>
      </c>
      <c r="D2977" s="5" t="s">
        <v>92</v>
      </c>
      <c r="E2977" s="5" t="s">
        <v>89</v>
      </c>
      <c r="F2977" s="5" t="s">
        <v>39</v>
      </c>
      <c r="G2977" s="6" t="n">
        <v>429</v>
      </c>
      <c r="H2977" s="6" t="n">
        <v>151</v>
      </c>
      <c r="I2977" s="7" t="n">
        <f aca="false">(G2977-H2977)/G2977</f>
        <v>0.648018648018648</v>
      </c>
      <c r="J2977" s="15" t="n">
        <v>0.4401</v>
      </c>
      <c r="K2977" s="11" t="str">
        <f aca="false">IF(I2977&lt;J2977,"TAK","NIE")</f>
        <v>NIE</v>
      </c>
    </row>
    <row r="2978" customFormat="false" ht="15" hidden="false" customHeight="false" outlineLevel="0" collapsed="false">
      <c r="A2978" s="5" t="s">
        <v>603</v>
      </c>
      <c r="B2978" s="5" t="s">
        <v>95</v>
      </c>
      <c r="C2978" s="5" t="n">
        <v>2022</v>
      </c>
      <c r="D2978" s="5" t="s">
        <v>92</v>
      </c>
      <c r="E2978" s="5" t="s">
        <v>89</v>
      </c>
      <c r="F2978" s="5" t="s">
        <v>39</v>
      </c>
      <c r="G2978" s="6" t="n">
        <v>419</v>
      </c>
      <c r="H2978" s="6" t="n">
        <v>114</v>
      </c>
      <c r="I2978" s="7" t="n">
        <f aca="false">(G2978-H2978)/G2978</f>
        <v>0.727923627684964</v>
      </c>
      <c r="J2978" s="15" t="n">
        <v>0.4401</v>
      </c>
      <c r="K2978" s="11" t="str">
        <f aca="false">IF(I2978&lt;J2978,"TAK","NIE")</f>
        <v>NIE</v>
      </c>
    </row>
    <row r="2979" customFormat="false" ht="15" hidden="false" customHeight="false" outlineLevel="0" collapsed="false">
      <c r="A2979" s="5" t="s">
        <v>604</v>
      </c>
      <c r="B2979" s="5" t="s">
        <v>95</v>
      </c>
      <c r="C2979" s="5" t="n">
        <v>2022</v>
      </c>
      <c r="D2979" s="5" t="s">
        <v>92</v>
      </c>
      <c r="E2979" s="5" t="s">
        <v>89</v>
      </c>
      <c r="F2979" s="5" t="s">
        <v>39</v>
      </c>
      <c r="G2979" s="6" t="n">
        <v>429</v>
      </c>
      <c r="H2979" s="6" t="n">
        <v>68</v>
      </c>
      <c r="I2979" s="7" t="n">
        <f aca="false">(G2979-H2979)/G2979</f>
        <v>0.841491841491842</v>
      </c>
      <c r="J2979" s="15" t="n">
        <v>0.4401</v>
      </c>
      <c r="K2979" s="11" t="str">
        <f aca="false">IF(I2979&lt;J2979,"TAK","NIE")</f>
        <v>NIE</v>
      </c>
    </row>
    <row r="2980" customFormat="false" ht="15" hidden="false" customHeight="false" outlineLevel="0" collapsed="false">
      <c r="A2980" s="5" t="s">
        <v>605</v>
      </c>
      <c r="B2980" s="5" t="s">
        <v>95</v>
      </c>
      <c r="C2980" s="5" t="n">
        <v>2022</v>
      </c>
      <c r="D2980" s="5" t="s">
        <v>92</v>
      </c>
      <c r="E2980" s="5" t="s">
        <v>89</v>
      </c>
      <c r="F2980" s="5" t="s">
        <v>39</v>
      </c>
      <c r="G2980" s="6" t="n">
        <v>421</v>
      </c>
      <c r="H2980" s="6" t="n">
        <v>161</v>
      </c>
      <c r="I2980" s="7" t="n">
        <f aca="false">(G2980-H2980)/G2980</f>
        <v>0.617577197149644</v>
      </c>
      <c r="J2980" s="15" t="n">
        <v>0.4401</v>
      </c>
      <c r="K2980" s="11" t="str">
        <f aca="false">IF(I2980&lt;J2980,"TAK","NIE")</f>
        <v>NIE</v>
      </c>
    </row>
    <row r="2981" customFormat="false" ht="15" hidden="false" customHeight="false" outlineLevel="0" collapsed="false">
      <c r="A2981" s="5" t="s">
        <v>607</v>
      </c>
      <c r="B2981" s="5" t="s">
        <v>95</v>
      </c>
      <c r="C2981" s="5" t="n">
        <v>2022</v>
      </c>
      <c r="D2981" s="5" t="s">
        <v>92</v>
      </c>
      <c r="E2981" s="5" t="s">
        <v>89</v>
      </c>
      <c r="F2981" s="5" t="s">
        <v>39</v>
      </c>
      <c r="G2981" s="6" t="n">
        <v>429</v>
      </c>
      <c r="H2981" s="6" t="n">
        <v>48</v>
      </c>
      <c r="I2981" s="7" t="n">
        <f aca="false">(G2981-H2981)/G2981</f>
        <v>0.888111888111888</v>
      </c>
      <c r="J2981" s="15" t="n">
        <v>0.4401</v>
      </c>
      <c r="K2981" s="11" t="str">
        <f aca="false">IF(I2981&lt;J2981,"TAK","NIE")</f>
        <v>NIE</v>
      </c>
    </row>
    <row r="2982" customFormat="false" ht="15" hidden="false" customHeight="false" outlineLevel="0" collapsed="false">
      <c r="A2982" s="5" t="s">
        <v>610</v>
      </c>
      <c r="B2982" s="5" t="s">
        <v>95</v>
      </c>
      <c r="C2982" s="5" t="n">
        <v>2022</v>
      </c>
      <c r="D2982" s="5" t="s">
        <v>92</v>
      </c>
      <c r="E2982" s="5" t="s">
        <v>89</v>
      </c>
      <c r="F2982" s="5" t="s">
        <v>39</v>
      </c>
      <c r="G2982" s="6" t="n">
        <v>429</v>
      </c>
      <c r="H2982" s="6" t="n">
        <v>68</v>
      </c>
      <c r="I2982" s="7" t="n">
        <f aca="false">(G2982-H2982)/G2982</f>
        <v>0.841491841491842</v>
      </c>
      <c r="J2982" s="15" t="n">
        <v>0.4401</v>
      </c>
      <c r="K2982" s="11" t="str">
        <f aca="false">IF(I2982&lt;J2982,"TAK","NIE")</f>
        <v>NIE</v>
      </c>
    </row>
    <row r="2983" customFormat="false" ht="15" hidden="false" customHeight="false" outlineLevel="0" collapsed="false">
      <c r="A2983" s="5" t="s">
        <v>611</v>
      </c>
      <c r="B2983" s="5" t="s">
        <v>95</v>
      </c>
      <c r="C2983" s="5" t="n">
        <v>2022</v>
      </c>
      <c r="D2983" s="5" t="s">
        <v>92</v>
      </c>
      <c r="E2983" s="5" t="s">
        <v>89</v>
      </c>
      <c r="F2983" s="5" t="s">
        <v>39</v>
      </c>
      <c r="G2983" s="6" t="n">
        <v>429</v>
      </c>
      <c r="H2983" s="6" t="n">
        <v>148</v>
      </c>
      <c r="I2983" s="7" t="n">
        <f aca="false">(G2983-H2983)/G2983</f>
        <v>0.655011655011655</v>
      </c>
      <c r="J2983" s="15" t="n">
        <v>0.4401</v>
      </c>
      <c r="K2983" s="11" t="str">
        <f aca="false">IF(I2983&lt;J2983,"TAK","NIE")</f>
        <v>NIE</v>
      </c>
    </row>
    <row r="2984" customFormat="false" ht="15" hidden="false" customHeight="false" outlineLevel="0" collapsed="false">
      <c r="A2984" s="5" t="s">
        <v>612</v>
      </c>
      <c r="B2984" s="5" t="s">
        <v>95</v>
      </c>
      <c r="C2984" s="5" t="n">
        <v>2022</v>
      </c>
      <c r="D2984" s="5" t="s">
        <v>92</v>
      </c>
      <c r="E2984" s="5" t="s">
        <v>89</v>
      </c>
      <c r="F2984" s="5" t="s">
        <v>39</v>
      </c>
      <c r="G2984" s="6" t="n">
        <v>429</v>
      </c>
      <c r="H2984" s="6" t="n">
        <v>71</v>
      </c>
      <c r="I2984" s="7" t="n">
        <f aca="false">(G2984-H2984)/G2984</f>
        <v>0.834498834498835</v>
      </c>
      <c r="J2984" s="15" t="n">
        <v>0.4401</v>
      </c>
      <c r="K2984" s="11" t="str">
        <f aca="false">IF(I2984&lt;J2984,"TAK","NIE")</f>
        <v>NIE</v>
      </c>
    </row>
    <row r="2985" customFormat="false" ht="15" hidden="false" customHeight="false" outlineLevel="0" collapsed="false">
      <c r="A2985" s="5" t="s">
        <v>616</v>
      </c>
      <c r="B2985" s="5" t="s">
        <v>95</v>
      </c>
      <c r="C2985" s="5" t="n">
        <v>2022</v>
      </c>
      <c r="D2985" s="5" t="s">
        <v>92</v>
      </c>
      <c r="E2985" s="5" t="s">
        <v>89</v>
      </c>
      <c r="F2985" s="5" t="s">
        <v>39</v>
      </c>
      <c r="G2985" s="6" t="n">
        <v>429</v>
      </c>
      <c r="H2985" s="6" t="n">
        <v>134</v>
      </c>
      <c r="I2985" s="7" t="n">
        <f aca="false">(G2985-H2985)/G2985</f>
        <v>0.687645687645688</v>
      </c>
      <c r="J2985" s="15" t="n">
        <v>0.4401</v>
      </c>
      <c r="K2985" s="11" t="str">
        <f aca="false">IF(I2985&lt;J2985,"TAK","NIE")</f>
        <v>NIE</v>
      </c>
    </row>
    <row r="2986" customFormat="false" ht="15" hidden="false" customHeight="false" outlineLevel="0" collapsed="false">
      <c r="A2986" s="5" t="s">
        <v>597</v>
      </c>
      <c r="B2986" s="5" t="s">
        <v>95</v>
      </c>
      <c r="C2986" s="5" t="n">
        <v>2022</v>
      </c>
      <c r="D2986" s="5" t="s">
        <v>92</v>
      </c>
      <c r="E2986" s="5" t="s">
        <v>89</v>
      </c>
      <c r="F2986" s="5" t="s">
        <v>40</v>
      </c>
      <c r="G2986" s="6" t="n">
        <v>721</v>
      </c>
      <c r="H2986" s="6" t="n">
        <v>317</v>
      </c>
      <c r="I2986" s="7" t="n">
        <f aca="false">(G2986-H2986)/G2986</f>
        <v>0.560332871012483</v>
      </c>
      <c r="J2986" s="15" t="n">
        <v>0.3386</v>
      </c>
      <c r="K2986" s="11" t="str">
        <f aca="false">IF(I2986&lt;J2986,"TAK","NIE")</f>
        <v>NIE</v>
      </c>
    </row>
    <row r="2987" customFormat="false" ht="15" hidden="false" customHeight="false" outlineLevel="0" collapsed="false">
      <c r="A2987" s="5" t="s">
        <v>598</v>
      </c>
      <c r="B2987" s="5" t="s">
        <v>95</v>
      </c>
      <c r="C2987" s="5" t="n">
        <v>2022</v>
      </c>
      <c r="D2987" s="5" t="s">
        <v>92</v>
      </c>
      <c r="E2987" s="5" t="s">
        <v>89</v>
      </c>
      <c r="F2987" s="5" t="s">
        <v>40</v>
      </c>
      <c r="G2987" s="6" t="n">
        <v>738</v>
      </c>
      <c r="H2987" s="6" t="n">
        <v>187</v>
      </c>
      <c r="I2987" s="7" t="n">
        <f aca="false">(G2987-H2987)/G2987</f>
        <v>0.746612466124661</v>
      </c>
      <c r="J2987" s="15" t="n">
        <v>0.3386</v>
      </c>
      <c r="K2987" s="11" t="str">
        <f aca="false">IF(I2987&lt;J2987,"TAK","NIE")</f>
        <v>NIE</v>
      </c>
    </row>
    <row r="2988" customFormat="false" ht="15" hidden="false" customHeight="false" outlineLevel="0" collapsed="false">
      <c r="A2988" s="5" t="s">
        <v>599</v>
      </c>
      <c r="B2988" s="5" t="s">
        <v>95</v>
      </c>
      <c r="C2988" s="5" t="n">
        <v>2022</v>
      </c>
      <c r="D2988" s="5" t="s">
        <v>92</v>
      </c>
      <c r="E2988" s="5" t="s">
        <v>89</v>
      </c>
      <c r="F2988" s="5" t="s">
        <v>40</v>
      </c>
      <c r="G2988" s="6" t="n">
        <v>738</v>
      </c>
      <c r="H2988" s="6" t="n">
        <v>270</v>
      </c>
      <c r="I2988" s="7" t="n">
        <f aca="false">(G2988-H2988)/G2988</f>
        <v>0.634146341463415</v>
      </c>
      <c r="J2988" s="15" t="n">
        <v>0.3386</v>
      </c>
      <c r="K2988" s="11" t="str">
        <f aca="false">IF(I2988&lt;J2988,"TAK","NIE")</f>
        <v>NIE</v>
      </c>
    </row>
    <row r="2989" customFormat="false" ht="15" hidden="false" customHeight="false" outlineLevel="0" collapsed="false">
      <c r="A2989" s="5" t="s">
        <v>600</v>
      </c>
      <c r="B2989" s="5" t="s">
        <v>95</v>
      </c>
      <c r="C2989" s="5" t="n">
        <v>2022</v>
      </c>
      <c r="D2989" s="5" t="s">
        <v>92</v>
      </c>
      <c r="E2989" s="5" t="s">
        <v>89</v>
      </c>
      <c r="F2989" s="5" t="s">
        <v>40</v>
      </c>
      <c r="G2989" s="6" t="n">
        <v>738</v>
      </c>
      <c r="H2989" s="6" t="n">
        <v>300</v>
      </c>
      <c r="I2989" s="7" t="n">
        <f aca="false">(G2989-H2989)/G2989</f>
        <v>0.59349593495935</v>
      </c>
      <c r="J2989" s="15" t="n">
        <v>0.3386</v>
      </c>
      <c r="K2989" s="11" t="str">
        <f aca="false">IF(I2989&lt;J2989,"TAK","NIE")</f>
        <v>NIE</v>
      </c>
    </row>
    <row r="2990" customFormat="false" ht="15" hidden="false" customHeight="false" outlineLevel="0" collapsed="false">
      <c r="A2990" s="5" t="s">
        <v>601</v>
      </c>
      <c r="B2990" s="5" t="s">
        <v>95</v>
      </c>
      <c r="C2990" s="5" t="n">
        <v>2022</v>
      </c>
      <c r="D2990" s="5" t="s">
        <v>92</v>
      </c>
      <c r="E2990" s="5" t="s">
        <v>89</v>
      </c>
      <c r="F2990" s="5" t="s">
        <v>40</v>
      </c>
      <c r="G2990" s="6" t="n">
        <v>721</v>
      </c>
      <c r="H2990" s="6" t="n">
        <v>218</v>
      </c>
      <c r="I2990" s="7" t="n">
        <f aca="false">(G2990-H2990)/G2990</f>
        <v>0.697642163661581</v>
      </c>
      <c r="J2990" s="15" t="n">
        <v>0.3386</v>
      </c>
      <c r="K2990" s="11" t="str">
        <f aca="false">IF(I2990&lt;J2990,"TAK","NIE")</f>
        <v>NIE</v>
      </c>
    </row>
    <row r="2991" customFormat="false" ht="15" hidden="false" customHeight="false" outlineLevel="0" collapsed="false">
      <c r="A2991" s="5" t="s">
        <v>602</v>
      </c>
      <c r="B2991" s="5" t="s">
        <v>95</v>
      </c>
      <c r="C2991" s="5" t="n">
        <v>2022</v>
      </c>
      <c r="D2991" s="5" t="s">
        <v>92</v>
      </c>
      <c r="E2991" s="5" t="s">
        <v>89</v>
      </c>
      <c r="F2991" s="5" t="s">
        <v>40</v>
      </c>
      <c r="G2991" s="6" t="n">
        <v>738</v>
      </c>
      <c r="H2991" s="6" t="n">
        <v>330</v>
      </c>
      <c r="I2991" s="7" t="n">
        <f aca="false">(G2991-H2991)/G2991</f>
        <v>0.552845528455285</v>
      </c>
      <c r="J2991" s="15" t="n">
        <v>0.3386</v>
      </c>
      <c r="K2991" s="11" t="str">
        <f aca="false">IF(I2991&lt;J2991,"TAK","NIE")</f>
        <v>NIE</v>
      </c>
    </row>
    <row r="2992" customFormat="false" ht="15" hidden="false" customHeight="false" outlineLevel="0" collapsed="false">
      <c r="A2992" s="5" t="s">
        <v>603</v>
      </c>
      <c r="B2992" s="5" t="s">
        <v>95</v>
      </c>
      <c r="C2992" s="5" t="n">
        <v>2022</v>
      </c>
      <c r="D2992" s="5" t="s">
        <v>92</v>
      </c>
      <c r="E2992" s="5" t="s">
        <v>89</v>
      </c>
      <c r="F2992" s="5" t="s">
        <v>40</v>
      </c>
      <c r="G2992" s="6" t="n">
        <v>721</v>
      </c>
      <c r="H2992" s="6" t="n">
        <v>401</v>
      </c>
      <c r="I2992" s="7" t="n">
        <f aca="false">(G2992-H2992)/G2992</f>
        <v>0.443828016643551</v>
      </c>
      <c r="J2992" s="15" t="n">
        <v>0.3386</v>
      </c>
      <c r="K2992" s="11" t="str">
        <f aca="false">IF(I2992&lt;J2992,"TAK","NIE")</f>
        <v>NIE</v>
      </c>
    </row>
    <row r="2993" customFormat="false" ht="15" hidden="false" customHeight="false" outlineLevel="0" collapsed="false">
      <c r="A2993" s="5" t="s">
        <v>604</v>
      </c>
      <c r="B2993" s="5" t="s">
        <v>95</v>
      </c>
      <c r="C2993" s="5" t="n">
        <v>2022</v>
      </c>
      <c r="D2993" s="5" t="s">
        <v>92</v>
      </c>
      <c r="E2993" s="5" t="s">
        <v>89</v>
      </c>
      <c r="F2993" s="5" t="s">
        <v>40</v>
      </c>
      <c r="G2993" s="6" t="n">
        <v>738</v>
      </c>
      <c r="H2993" s="6" t="n">
        <v>326</v>
      </c>
      <c r="I2993" s="7" t="n">
        <f aca="false">(G2993-H2993)/G2993</f>
        <v>0.558265582655827</v>
      </c>
      <c r="J2993" s="15" t="n">
        <v>0.3386</v>
      </c>
      <c r="K2993" s="11" t="str">
        <f aca="false">IF(I2993&lt;J2993,"TAK","NIE")</f>
        <v>NIE</v>
      </c>
    </row>
    <row r="2994" customFormat="false" ht="15" hidden="false" customHeight="false" outlineLevel="0" collapsed="false">
      <c r="A2994" s="5" t="s">
        <v>605</v>
      </c>
      <c r="B2994" s="5" t="s">
        <v>95</v>
      </c>
      <c r="C2994" s="5" t="n">
        <v>2022</v>
      </c>
      <c r="D2994" s="5" t="s">
        <v>92</v>
      </c>
      <c r="E2994" s="5" t="s">
        <v>89</v>
      </c>
      <c r="F2994" s="5" t="s">
        <v>40</v>
      </c>
      <c r="G2994" s="6" t="n">
        <v>721</v>
      </c>
      <c r="H2994" s="6" t="n">
        <v>259</v>
      </c>
      <c r="I2994" s="7" t="n">
        <f aca="false">(G2994-H2994)/G2994</f>
        <v>0.640776699029126</v>
      </c>
      <c r="J2994" s="15" t="n">
        <v>0.3386</v>
      </c>
      <c r="K2994" s="11" t="str">
        <f aca="false">IF(I2994&lt;J2994,"TAK","NIE")</f>
        <v>NIE</v>
      </c>
    </row>
    <row r="2995" customFormat="false" ht="15" hidden="false" customHeight="false" outlineLevel="0" collapsed="false">
      <c r="A2995" s="5" t="s">
        <v>607</v>
      </c>
      <c r="B2995" s="5" t="s">
        <v>95</v>
      </c>
      <c r="C2995" s="5" t="n">
        <v>2022</v>
      </c>
      <c r="D2995" s="5" t="s">
        <v>92</v>
      </c>
      <c r="E2995" s="5" t="s">
        <v>89</v>
      </c>
      <c r="F2995" s="5" t="s">
        <v>40</v>
      </c>
      <c r="G2995" s="6" t="n">
        <v>738</v>
      </c>
      <c r="H2995" s="6" t="n">
        <v>223</v>
      </c>
      <c r="I2995" s="7" t="n">
        <f aca="false">(G2995-H2995)/G2995</f>
        <v>0.697831978319783</v>
      </c>
      <c r="J2995" s="15" t="n">
        <v>0.3386</v>
      </c>
      <c r="K2995" s="11" t="str">
        <f aca="false">IF(I2995&lt;J2995,"TAK","NIE")</f>
        <v>NIE</v>
      </c>
    </row>
    <row r="2996" customFormat="false" ht="15" hidden="false" customHeight="false" outlineLevel="0" collapsed="false">
      <c r="A2996" s="5" t="s">
        <v>610</v>
      </c>
      <c r="B2996" s="5" t="s">
        <v>95</v>
      </c>
      <c r="C2996" s="5" t="n">
        <v>2022</v>
      </c>
      <c r="D2996" s="5" t="s">
        <v>92</v>
      </c>
      <c r="E2996" s="5" t="s">
        <v>89</v>
      </c>
      <c r="F2996" s="5" t="s">
        <v>40</v>
      </c>
      <c r="G2996" s="6" t="n">
        <v>738</v>
      </c>
      <c r="H2996" s="6" t="n">
        <v>203</v>
      </c>
      <c r="I2996" s="7" t="n">
        <f aca="false">(G2996-H2996)/G2996</f>
        <v>0.724932249322493</v>
      </c>
      <c r="J2996" s="15" t="n">
        <v>0.3386</v>
      </c>
      <c r="K2996" s="11" t="str">
        <f aca="false">IF(I2996&lt;J2996,"TAK","NIE")</f>
        <v>NIE</v>
      </c>
    </row>
    <row r="2997" customFormat="false" ht="15" hidden="false" customHeight="false" outlineLevel="0" collapsed="false">
      <c r="A2997" s="5" t="s">
        <v>611</v>
      </c>
      <c r="B2997" s="5" t="s">
        <v>95</v>
      </c>
      <c r="C2997" s="5" t="n">
        <v>2022</v>
      </c>
      <c r="D2997" s="5" t="s">
        <v>92</v>
      </c>
      <c r="E2997" s="5" t="s">
        <v>89</v>
      </c>
      <c r="F2997" s="5" t="s">
        <v>40</v>
      </c>
      <c r="G2997" s="6" t="n">
        <v>738</v>
      </c>
      <c r="H2997" s="6" t="n">
        <v>413</v>
      </c>
      <c r="I2997" s="7" t="n">
        <f aca="false">(G2997-H2997)/G2997</f>
        <v>0.440379403794038</v>
      </c>
      <c r="J2997" s="15" t="n">
        <v>0.3386</v>
      </c>
      <c r="K2997" s="11" t="str">
        <f aca="false">IF(I2997&lt;J2997,"TAK","NIE")</f>
        <v>NIE</v>
      </c>
    </row>
    <row r="2998" customFormat="false" ht="15" hidden="false" customHeight="false" outlineLevel="0" collapsed="false">
      <c r="A2998" s="5" t="s">
        <v>612</v>
      </c>
      <c r="B2998" s="5" t="s">
        <v>95</v>
      </c>
      <c r="C2998" s="5" t="n">
        <v>2022</v>
      </c>
      <c r="D2998" s="5" t="s">
        <v>92</v>
      </c>
      <c r="E2998" s="5" t="s">
        <v>89</v>
      </c>
      <c r="F2998" s="5" t="s">
        <v>40</v>
      </c>
      <c r="G2998" s="6" t="n">
        <v>738</v>
      </c>
      <c r="H2998" s="6" t="n">
        <v>223</v>
      </c>
      <c r="I2998" s="7" t="n">
        <f aca="false">(G2998-H2998)/G2998</f>
        <v>0.697831978319783</v>
      </c>
      <c r="J2998" s="15" t="n">
        <v>0.3386</v>
      </c>
      <c r="K2998" s="11" t="str">
        <f aca="false">IF(I2998&lt;J2998,"TAK","NIE")</f>
        <v>NIE</v>
      </c>
    </row>
    <row r="2999" customFormat="false" ht="15" hidden="false" customHeight="false" outlineLevel="0" collapsed="false">
      <c r="A2999" s="5" t="s">
        <v>616</v>
      </c>
      <c r="B2999" s="5" t="s">
        <v>95</v>
      </c>
      <c r="C2999" s="5" t="n">
        <v>2022</v>
      </c>
      <c r="D2999" s="5" t="s">
        <v>92</v>
      </c>
      <c r="E2999" s="5" t="s">
        <v>89</v>
      </c>
      <c r="F2999" s="5" t="s">
        <v>40</v>
      </c>
      <c r="G2999" s="6" t="n">
        <v>738</v>
      </c>
      <c r="H2999" s="6" t="n">
        <v>339</v>
      </c>
      <c r="I2999" s="7" t="n">
        <f aca="false">(G2999-H2999)/G2999</f>
        <v>0.540650406504065</v>
      </c>
      <c r="J2999" s="15" t="n">
        <v>0.3386</v>
      </c>
      <c r="K2999" s="11" t="str">
        <f aca="false">IF(I2999&lt;J2999,"TAK","NIE")</f>
        <v>NIE</v>
      </c>
    </row>
    <row r="3000" customFormat="false" ht="15" hidden="false" customHeight="false" outlineLevel="0" collapsed="false">
      <c r="A3000" s="5" t="s">
        <v>617</v>
      </c>
      <c r="B3000" s="5" t="s">
        <v>76</v>
      </c>
      <c r="C3000" s="5" t="n">
        <v>2022</v>
      </c>
      <c r="D3000" s="5" t="s">
        <v>77</v>
      </c>
      <c r="E3000" s="5" t="s">
        <v>55</v>
      </c>
      <c r="F3000" s="5" t="s">
        <v>39</v>
      </c>
      <c r="G3000" s="6" t="n">
        <v>765</v>
      </c>
      <c r="H3000" s="6" t="n">
        <v>64</v>
      </c>
      <c r="I3000" s="7" t="n">
        <f aca="false">(G3000-H3000)/G3000</f>
        <v>0.916339869281046</v>
      </c>
      <c r="J3000" s="15" t="n">
        <v>0.6688</v>
      </c>
      <c r="K3000" s="11" t="str">
        <f aca="false">IF(I3000&lt;J3000,"TAK","NIE")</f>
        <v>NIE</v>
      </c>
    </row>
    <row r="3001" customFormat="false" ht="15" hidden="false" customHeight="false" outlineLevel="0" collapsed="false">
      <c r="A3001" s="5" t="s">
        <v>618</v>
      </c>
      <c r="B3001" s="5" t="s">
        <v>76</v>
      </c>
      <c r="C3001" s="5" t="n">
        <v>2022</v>
      </c>
      <c r="D3001" s="5" t="s">
        <v>77</v>
      </c>
      <c r="E3001" s="5" t="s">
        <v>55</v>
      </c>
      <c r="F3001" s="5" t="s">
        <v>39</v>
      </c>
      <c r="G3001" s="6" t="n">
        <v>765</v>
      </c>
      <c r="H3001" s="6" t="n">
        <v>63</v>
      </c>
      <c r="I3001" s="7" t="n">
        <f aca="false">(G3001-H3001)/G3001</f>
        <v>0.917647058823529</v>
      </c>
      <c r="J3001" s="15" t="n">
        <v>0.6688</v>
      </c>
      <c r="K3001" s="11" t="str">
        <f aca="false">IF(I3001&lt;J3001,"TAK","NIE")</f>
        <v>NIE</v>
      </c>
    </row>
    <row r="3002" customFormat="false" ht="15" hidden="false" customHeight="false" outlineLevel="0" collapsed="false">
      <c r="A3002" s="5" t="s">
        <v>619</v>
      </c>
      <c r="B3002" s="5" t="s">
        <v>76</v>
      </c>
      <c r="C3002" s="5" t="n">
        <v>2022</v>
      </c>
      <c r="D3002" s="5" t="s">
        <v>77</v>
      </c>
      <c r="E3002" s="5" t="s">
        <v>55</v>
      </c>
      <c r="F3002" s="5" t="s">
        <v>39</v>
      </c>
      <c r="G3002" s="6" t="n">
        <v>767</v>
      </c>
      <c r="H3002" s="6" t="n">
        <v>125</v>
      </c>
      <c r="I3002" s="7" t="n">
        <f aca="false">(G3002-H3002)/G3002</f>
        <v>0.837027379400261</v>
      </c>
      <c r="J3002" s="15" t="n">
        <v>0.6688</v>
      </c>
      <c r="K3002" s="11" t="str">
        <f aca="false">IF(I3002&lt;J3002,"TAK","NIE")</f>
        <v>NIE</v>
      </c>
    </row>
    <row r="3003" customFormat="false" ht="15" hidden="false" customHeight="false" outlineLevel="0" collapsed="false">
      <c r="A3003" s="5" t="s">
        <v>620</v>
      </c>
      <c r="B3003" s="5" t="s">
        <v>76</v>
      </c>
      <c r="C3003" s="5" t="n">
        <v>2022</v>
      </c>
      <c r="D3003" s="5" t="s">
        <v>77</v>
      </c>
      <c r="E3003" s="5" t="s">
        <v>55</v>
      </c>
      <c r="F3003" s="5" t="s">
        <v>39</v>
      </c>
      <c r="G3003" s="6" t="n">
        <v>767</v>
      </c>
      <c r="H3003" s="6" t="n">
        <v>75</v>
      </c>
      <c r="I3003" s="7" t="n">
        <f aca="false">(G3003-H3003)/G3003</f>
        <v>0.902216427640156</v>
      </c>
      <c r="J3003" s="15" t="n">
        <v>0.6688</v>
      </c>
      <c r="K3003" s="11" t="str">
        <f aca="false">IF(I3003&lt;J3003,"TAK","NIE")</f>
        <v>NIE</v>
      </c>
    </row>
    <row r="3004" customFormat="false" ht="15" hidden="false" customHeight="false" outlineLevel="0" collapsed="false">
      <c r="A3004" s="5" t="s">
        <v>621</v>
      </c>
      <c r="B3004" s="5" t="s">
        <v>76</v>
      </c>
      <c r="C3004" s="5" t="n">
        <v>2022</v>
      </c>
      <c r="D3004" s="5" t="s">
        <v>77</v>
      </c>
      <c r="E3004" s="5" t="s">
        <v>55</v>
      </c>
      <c r="F3004" s="5" t="s">
        <v>39</v>
      </c>
      <c r="G3004" s="6" t="n">
        <v>765</v>
      </c>
      <c r="H3004" s="6" t="n">
        <v>54</v>
      </c>
      <c r="I3004" s="7" t="n">
        <f aca="false">(G3004-H3004)/G3004</f>
        <v>0.929411764705882</v>
      </c>
      <c r="J3004" s="15" t="n">
        <v>0.6688</v>
      </c>
      <c r="K3004" s="11" t="str">
        <f aca="false">IF(I3004&lt;J3004,"TAK","NIE")</f>
        <v>NIE</v>
      </c>
    </row>
    <row r="3005" customFormat="false" ht="15" hidden="false" customHeight="false" outlineLevel="0" collapsed="false">
      <c r="A3005" s="5" t="s">
        <v>622</v>
      </c>
      <c r="B3005" s="5" t="s">
        <v>76</v>
      </c>
      <c r="C3005" s="5" t="n">
        <v>2022</v>
      </c>
      <c r="D3005" s="5" t="s">
        <v>77</v>
      </c>
      <c r="E3005" s="5" t="s">
        <v>55</v>
      </c>
      <c r="F3005" s="5" t="s">
        <v>39</v>
      </c>
      <c r="G3005" s="6" t="n">
        <v>767</v>
      </c>
      <c r="H3005" s="6" t="n">
        <v>2</v>
      </c>
      <c r="I3005" s="7" t="n">
        <f aca="false">(G3005-H3005)/G3005</f>
        <v>0.997392438070404</v>
      </c>
      <c r="J3005" s="15" t="n">
        <v>0.6688</v>
      </c>
      <c r="K3005" s="11" t="str">
        <f aca="false">IF(I3005&lt;J3005,"TAK","NIE")</f>
        <v>NIE</v>
      </c>
    </row>
    <row r="3006" customFormat="false" ht="15" hidden="false" customHeight="false" outlineLevel="0" collapsed="false">
      <c r="A3006" s="5" t="s">
        <v>623</v>
      </c>
      <c r="B3006" s="5" t="s">
        <v>76</v>
      </c>
      <c r="C3006" s="5" t="n">
        <v>2022</v>
      </c>
      <c r="D3006" s="5" t="s">
        <v>77</v>
      </c>
      <c r="E3006" s="5" t="s">
        <v>55</v>
      </c>
      <c r="F3006" s="5" t="s">
        <v>39</v>
      </c>
      <c r="G3006" s="6" t="n">
        <v>767</v>
      </c>
      <c r="H3006" s="6" t="n">
        <v>28</v>
      </c>
      <c r="I3006" s="7" t="n">
        <f aca="false">(G3006-H3006)/G3006</f>
        <v>0.963494132985658</v>
      </c>
      <c r="J3006" s="15" t="n">
        <v>0.6688</v>
      </c>
      <c r="K3006" s="11" t="str">
        <f aca="false">IF(I3006&lt;J3006,"TAK","NIE")</f>
        <v>NIE</v>
      </c>
    </row>
    <row r="3007" customFormat="false" ht="15" hidden="false" customHeight="false" outlineLevel="0" collapsed="false">
      <c r="A3007" s="5" t="s">
        <v>624</v>
      </c>
      <c r="B3007" s="5" t="s">
        <v>76</v>
      </c>
      <c r="C3007" s="5" t="n">
        <v>2022</v>
      </c>
      <c r="D3007" s="5" t="s">
        <v>77</v>
      </c>
      <c r="E3007" s="5" t="s">
        <v>55</v>
      </c>
      <c r="F3007" s="5" t="s">
        <v>39</v>
      </c>
      <c r="G3007" s="6" t="n">
        <v>767</v>
      </c>
      <c r="H3007" s="6" t="n">
        <v>117</v>
      </c>
      <c r="I3007" s="7" t="n">
        <f aca="false">(G3007-H3007)/G3007</f>
        <v>0.847457627118644</v>
      </c>
      <c r="J3007" s="15" t="n">
        <v>0.6688</v>
      </c>
      <c r="K3007" s="11" t="str">
        <f aca="false">IF(I3007&lt;J3007,"TAK","NIE")</f>
        <v>NIE</v>
      </c>
    </row>
    <row r="3008" customFormat="false" ht="15" hidden="false" customHeight="false" outlineLevel="0" collapsed="false">
      <c r="A3008" s="5" t="s">
        <v>625</v>
      </c>
      <c r="B3008" s="5" t="s">
        <v>76</v>
      </c>
      <c r="C3008" s="5" t="n">
        <v>2022</v>
      </c>
      <c r="D3008" s="5" t="s">
        <v>77</v>
      </c>
      <c r="E3008" s="5" t="s">
        <v>55</v>
      </c>
      <c r="F3008" s="5" t="s">
        <v>39</v>
      </c>
      <c r="G3008" s="6" t="n">
        <v>735</v>
      </c>
      <c r="H3008" s="6" t="n">
        <v>134</v>
      </c>
      <c r="I3008" s="7" t="n">
        <f aca="false">(G3008-H3008)/G3008</f>
        <v>0.817687074829932</v>
      </c>
      <c r="J3008" s="15" t="n">
        <v>0.6688</v>
      </c>
      <c r="K3008" s="11" t="str">
        <f aca="false">IF(I3008&lt;J3008,"TAK","NIE")</f>
        <v>NIE</v>
      </c>
    </row>
    <row r="3009" customFormat="false" ht="15" hidden="false" customHeight="false" outlineLevel="0" collapsed="false">
      <c r="A3009" s="5" t="s">
        <v>626</v>
      </c>
      <c r="B3009" s="5" t="s">
        <v>76</v>
      </c>
      <c r="C3009" s="5" t="n">
        <v>2022</v>
      </c>
      <c r="D3009" s="5" t="s">
        <v>77</v>
      </c>
      <c r="E3009" s="5" t="s">
        <v>55</v>
      </c>
      <c r="F3009" s="5" t="s">
        <v>39</v>
      </c>
      <c r="G3009" s="6" t="n">
        <v>733</v>
      </c>
      <c r="H3009" s="6" t="n">
        <v>36</v>
      </c>
      <c r="I3009" s="7" t="n">
        <f aca="false">(G3009-H3009)/G3009</f>
        <v>0.950886766712142</v>
      </c>
      <c r="J3009" s="15" t="n">
        <v>0.6688</v>
      </c>
      <c r="K3009" s="11" t="str">
        <f aca="false">IF(I3009&lt;J3009,"TAK","NIE")</f>
        <v>NIE</v>
      </c>
    </row>
    <row r="3010" customFormat="false" ht="15" hidden="false" customHeight="false" outlineLevel="0" collapsed="false">
      <c r="A3010" s="5" t="s">
        <v>627</v>
      </c>
      <c r="B3010" s="5" t="s">
        <v>76</v>
      </c>
      <c r="C3010" s="5" t="n">
        <v>2022</v>
      </c>
      <c r="D3010" s="5" t="s">
        <v>77</v>
      </c>
      <c r="E3010" s="5" t="s">
        <v>55</v>
      </c>
      <c r="F3010" s="5" t="s">
        <v>39</v>
      </c>
      <c r="G3010" s="6" t="n">
        <v>765</v>
      </c>
      <c r="H3010" s="6" t="n">
        <v>194</v>
      </c>
      <c r="I3010" s="7" t="n">
        <f aca="false">(G3010-H3010)/G3010</f>
        <v>0.74640522875817</v>
      </c>
      <c r="J3010" s="15" t="n">
        <v>0.6688</v>
      </c>
      <c r="K3010" s="11" t="str">
        <f aca="false">IF(I3010&lt;J3010,"TAK","NIE")</f>
        <v>NIE</v>
      </c>
    </row>
    <row r="3011" customFormat="false" ht="15" hidden="false" customHeight="false" outlineLevel="0" collapsed="false">
      <c r="A3011" s="5" t="s">
        <v>628</v>
      </c>
      <c r="B3011" s="5" t="s">
        <v>76</v>
      </c>
      <c r="C3011" s="5" t="n">
        <v>2022</v>
      </c>
      <c r="D3011" s="5" t="s">
        <v>77</v>
      </c>
      <c r="E3011" s="5" t="s">
        <v>55</v>
      </c>
      <c r="F3011" s="5" t="s">
        <v>39</v>
      </c>
      <c r="G3011" s="6" t="n">
        <v>767</v>
      </c>
      <c r="H3011" s="6" t="n">
        <v>189</v>
      </c>
      <c r="I3011" s="7" t="n">
        <f aca="false">(G3011-H3011)/G3011</f>
        <v>0.753585397653194</v>
      </c>
      <c r="J3011" s="15" t="n">
        <v>0.6688</v>
      </c>
      <c r="K3011" s="11" t="str">
        <f aca="false">IF(I3011&lt;J3011,"TAK","NIE")</f>
        <v>NIE</v>
      </c>
    </row>
    <row r="3012" customFormat="false" ht="15" hidden="false" customHeight="false" outlineLevel="0" collapsed="false">
      <c r="A3012" s="5" t="s">
        <v>629</v>
      </c>
      <c r="B3012" s="5" t="s">
        <v>76</v>
      </c>
      <c r="C3012" s="5" t="n">
        <v>2022</v>
      </c>
      <c r="D3012" s="5" t="s">
        <v>77</v>
      </c>
      <c r="E3012" s="5" t="s">
        <v>55</v>
      </c>
      <c r="F3012" s="5" t="s">
        <v>39</v>
      </c>
      <c r="G3012" s="6" t="n">
        <v>767</v>
      </c>
      <c r="H3012" s="6" t="n">
        <v>60</v>
      </c>
      <c r="I3012" s="7" t="n">
        <f aca="false">(G3012-H3012)/G3012</f>
        <v>0.921773142112125</v>
      </c>
      <c r="J3012" s="15" t="n">
        <v>0.6688</v>
      </c>
      <c r="K3012" s="11" t="str">
        <f aca="false">IF(I3012&lt;J3012,"TAK","NIE")</f>
        <v>NIE</v>
      </c>
    </row>
    <row r="3013" customFormat="false" ht="15" hidden="false" customHeight="false" outlineLevel="0" collapsed="false">
      <c r="A3013" s="5" t="s">
        <v>630</v>
      </c>
      <c r="B3013" s="5" t="s">
        <v>76</v>
      </c>
      <c r="C3013" s="5" t="n">
        <v>2022</v>
      </c>
      <c r="D3013" s="5" t="s">
        <v>77</v>
      </c>
      <c r="E3013" s="5" t="s">
        <v>55</v>
      </c>
      <c r="F3013" s="5" t="s">
        <v>39</v>
      </c>
      <c r="G3013" s="6" t="n">
        <v>758</v>
      </c>
      <c r="H3013" s="6" t="n">
        <v>195</v>
      </c>
      <c r="I3013" s="7" t="n">
        <f aca="false">(G3013-H3013)/G3013</f>
        <v>0.742744063324538</v>
      </c>
      <c r="J3013" s="15" t="n">
        <v>0.6688</v>
      </c>
      <c r="K3013" s="11" t="str">
        <f aca="false">IF(I3013&lt;J3013,"TAK","NIE")</f>
        <v>NIE</v>
      </c>
    </row>
    <row r="3014" customFormat="false" ht="15" hidden="false" customHeight="false" outlineLevel="0" collapsed="false">
      <c r="A3014" s="5" t="s">
        <v>631</v>
      </c>
      <c r="B3014" s="5" t="s">
        <v>76</v>
      </c>
      <c r="C3014" s="5" t="n">
        <v>2022</v>
      </c>
      <c r="D3014" s="5" t="s">
        <v>77</v>
      </c>
      <c r="E3014" s="5" t="s">
        <v>55</v>
      </c>
      <c r="F3014" s="5" t="s">
        <v>39</v>
      </c>
      <c r="G3014" s="6" t="n">
        <v>767</v>
      </c>
      <c r="H3014" s="6" t="n">
        <v>102</v>
      </c>
      <c r="I3014" s="7" t="n">
        <f aca="false">(G3014-H3014)/G3014</f>
        <v>0.867014341590613</v>
      </c>
      <c r="J3014" s="15" t="n">
        <v>0.6688</v>
      </c>
      <c r="K3014" s="11" t="str">
        <f aca="false">IF(I3014&lt;J3014,"TAK","NIE")</f>
        <v>NIE</v>
      </c>
    </row>
    <row r="3015" customFormat="false" ht="15" hidden="false" customHeight="false" outlineLevel="0" collapsed="false">
      <c r="A3015" s="5" t="s">
        <v>632</v>
      </c>
      <c r="B3015" s="5" t="s">
        <v>76</v>
      </c>
      <c r="C3015" s="5" t="n">
        <v>2022</v>
      </c>
      <c r="D3015" s="5" t="s">
        <v>77</v>
      </c>
      <c r="E3015" s="5" t="s">
        <v>55</v>
      </c>
      <c r="F3015" s="5" t="s">
        <v>39</v>
      </c>
      <c r="G3015" s="6" t="n">
        <v>765</v>
      </c>
      <c r="H3015" s="6" t="n">
        <v>88</v>
      </c>
      <c r="I3015" s="7" t="n">
        <f aca="false">(G3015-H3015)/G3015</f>
        <v>0.884967320261438</v>
      </c>
      <c r="J3015" s="15" t="n">
        <v>0.6688</v>
      </c>
      <c r="K3015" s="11" t="str">
        <f aca="false">IF(I3015&lt;J3015,"TAK","NIE")</f>
        <v>NIE</v>
      </c>
    </row>
    <row r="3016" customFormat="false" ht="15" hidden="false" customHeight="false" outlineLevel="0" collapsed="false">
      <c r="A3016" s="5" t="s">
        <v>633</v>
      </c>
      <c r="B3016" s="5" t="s">
        <v>76</v>
      </c>
      <c r="C3016" s="5" t="n">
        <v>2022</v>
      </c>
      <c r="D3016" s="5" t="s">
        <v>77</v>
      </c>
      <c r="E3016" s="5" t="s">
        <v>55</v>
      </c>
      <c r="F3016" s="5" t="s">
        <v>39</v>
      </c>
      <c r="G3016" s="6" t="n">
        <v>767</v>
      </c>
      <c r="H3016" s="6" t="n">
        <v>16</v>
      </c>
      <c r="I3016" s="7" t="n">
        <f aca="false">(G3016-H3016)/G3016</f>
        <v>0.979139504563233</v>
      </c>
      <c r="J3016" s="15" t="n">
        <v>0.6688</v>
      </c>
      <c r="K3016" s="11" t="str">
        <f aca="false">IF(I3016&lt;J3016,"TAK","NIE")</f>
        <v>NIE</v>
      </c>
    </row>
    <row r="3017" customFormat="false" ht="15" hidden="false" customHeight="false" outlineLevel="0" collapsed="false">
      <c r="A3017" s="5" t="s">
        <v>634</v>
      </c>
      <c r="B3017" s="5" t="s">
        <v>76</v>
      </c>
      <c r="C3017" s="5" t="n">
        <v>2022</v>
      </c>
      <c r="D3017" s="5" t="s">
        <v>77</v>
      </c>
      <c r="E3017" s="5" t="s">
        <v>55</v>
      </c>
      <c r="F3017" s="5" t="s">
        <v>39</v>
      </c>
      <c r="G3017" s="6" t="n">
        <v>765</v>
      </c>
      <c r="H3017" s="6" t="n">
        <v>124</v>
      </c>
      <c r="I3017" s="7" t="n">
        <f aca="false">(G3017-H3017)/G3017</f>
        <v>0.837908496732026</v>
      </c>
      <c r="J3017" s="15" t="n">
        <v>0.6688</v>
      </c>
      <c r="K3017" s="11" t="str">
        <f aca="false">IF(I3017&lt;J3017,"TAK","NIE")</f>
        <v>NIE</v>
      </c>
    </row>
    <row r="3018" customFormat="false" ht="15" hidden="false" customHeight="false" outlineLevel="0" collapsed="false">
      <c r="A3018" s="5" t="s">
        <v>635</v>
      </c>
      <c r="B3018" s="5" t="s">
        <v>76</v>
      </c>
      <c r="C3018" s="5" t="n">
        <v>2022</v>
      </c>
      <c r="D3018" s="5" t="s">
        <v>77</v>
      </c>
      <c r="E3018" s="5" t="s">
        <v>55</v>
      </c>
      <c r="F3018" s="5" t="s">
        <v>39</v>
      </c>
      <c r="G3018" s="6" t="n">
        <v>765</v>
      </c>
      <c r="H3018" s="6" t="n">
        <v>161</v>
      </c>
      <c r="I3018" s="7" t="n">
        <f aca="false">(G3018-H3018)/G3018</f>
        <v>0.789542483660131</v>
      </c>
      <c r="J3018" s="15" t="n">
        <v>0.6688</v>
      </c>
      <c r="K3018" s="11" t="str">
        <f aca="false">IF(I3018&lt;J3018,"TAK","NIE")</f>
        <v>NIE</v>
      </c>
    </row>
    <row r="3019" customFormat="false" ht="15" hidden="false" customHeight="false" outlineLevel="0" collapsed="false">
      <c r="A3019" s="5" t="s">
        <v>636</v>
      </c>
      <c r="B3019" s="5" t="s">
        <v>76</v>
      </c>
      <c r="C3019" s="5" t="n">
        <v>2022</v>
      </c>
      <c r="D3019" s="5" t="s">
        <v>77</v>
      </c>
      <c r="E3019" s="5" t="s">
        <v>55</v>
      </c>
      <c r="F3019" s="5" t="s">
        <v>39</v>
      </c>
      <c r="G3019" s="6" t="n">
        <v>765</v>
      </c>
      <c r="H3019" s="6" t="n">
        <v>259</v>
      </c>
      <c r="I3019" s="7" t="n">
        <f aca="false">(G3019-H3019)/G3019</f>
        <v>0.661437908496732</v>
      </c>
      <c r="J3019" s="15" t="n">
        <v>0.6688</v>
      </c>
      <c r="K3019" s="11" t="str">
        <f aca="false">IF(I3019&lt;J3019,"TAK","NIE")</f>
        <v>TAK</v>
      </c>
    </row>
    <row r="3020" customFormat="false" ht="15" hidden="false" customHeight="false" outlineLevel="0" collapsed="false">
      <c r="A3020" s="5" t="s">
        <v>637</v>
      </c>
      <c r="B3020" s="5" t="s">
        <v>76</v>
      </c>
      <c r="C3020" s="5" t="n">
        <v>2022</v>
      </c>
      <c r="D3020" s="5" t="s">
        <v>77</v>
      </c>
      <c r="E3020" s="5" t="s">
        <v>55</v>
      </c>
      <c r="F3020" s="5" t="s">
        <v>39</v>
      </c>
      <c r="G3020" s="6" t="n">
        <v>765</v>
      </c>
      <c r="H3020" s="6" t="n">
        <v>1</v>
      </c>
      <c r="I3020" s="7" t="n">
        <f aca="false">(G3020-H3020)/G3020</f>
        <v>0.998692810457516</v>
      </c>
      <c r="J3020" s="15" t="n">
        <v>0.6688</v>
      </c>
      <c r="K3020" s="11" t="str">
        <f aca="false">IF(I3020&lt;J3020,"TAK","NIE")</f>
        <v>NIE</v>
      </c>
    </row>
    <row r="3021" customFormat="false" ht="15" hidden="false" customHeight="false" outlineLevel="0" collapsed="false">
      <c r="A3021" s="5" t="s">
        <v>638</v>
      </c>
      <c r="B3021" s="5" t="s">
        <v>76</v>
      </c>
      <c r="C3021" s="5" t="n">
        <v>2022</v>
      </c>
      <c r="D3021" s="5" t="s">
        <v>77</v>
      </c>
      <c r="E3021" s="5" t="s">
        <v>55</v>
      </c>
      <c r="F3021" s="5" t="s">
        <v>39</v>
      </c>
      <c r="G3021" s="6" t="n">
        <v>765</v>
      </c>
      <c r="H3021" s="6" t="n">
        <v>91</v>
      </c>
      <c r="I3021" s="7" t="n">
        <f aca="false">(G3021-H3021)/G3021</f>
        <v>0.881045751633987</v>
      </c>
      <c r="J3021" s="15" t="n">
        <v>0.6688</v>
      </c>
      <c r="K3021" s="11" t="str">
        <f aca="false">IF(I3021&lt;J3021,"TAK","NIE")</f>
        <v>NIE</v>
      </c>
    </row>
    <row r="3022" customFormat="false" ht="15" hidden="false" customHeight="false" outlineLevel="0" collapsed="false">
      <c r="A3022" s="5" t="s">
        <v>639</v>
      </c>
      <c r="B3022" s="5" t="s">
        <v>76</v>
      </c>
      <c r="C3022" s="5" t="n">
        <v>2022</v>
      </c>
      <c r="D3022" s="5" t="s">
        <v>77</v>
      </c>
      <c r="E3022" s="5" t="s">
        <v>55</v>
      </c>
      <c r="F3022" s="5" t="s">
        <v>39</v>
      </c>
      <c r="G3022" s="6" t="n">
        <v>765</v>
      </c>
      <c r="H3022" s="6" t="n">
        <v>122</v>
      </c>
      <c r="I3022" s="7" t="n">
        <f aca="false">(G3022-H3022)/G3022</f>
        <v>0.840522875816994</v>
      </c>
      <c r="J3022" s="15" t="n">
        <v>0.6688</v>
      </c>
      <c r="K3022" s="11" t="str">
        <f aca="false">IF(I3022&lt;J3022,"TAK","NIE")</f>
        <v>NIE</v>
      </c>
    </row>
    <row r="3023" customFormat="false" ht="15" hidden="false" customHeight="false" outlineLevel="0" collapsed="false">
      <c r="A3023" s="5" t="s">
        <v>640</v>
      </c>
      <c r="B3023" s="5" t="s">
        <v>76</v>
      </c>
      <c r="C3023" s="5" t="n">
        <v>2022</v>
      </c>
      <c r="D3023" s="5" t="s">
        <v>77</v>
      </c>
      <c r="E3023" s="5" t="s">
        <v>55</v>
      </c>
      <c r="F3023" s="5" t="s">
        <v>39</v>
      </c>
      <c r="G3023" s="6" t="n">
        <v>767</v>
      </c>
      <c r="H3023" s="6" t="n">
        <v>136</v>
      </c>
      <c r="I3023" s="7" t="n">
        <f aca="false">(G3023-H3023)/G3023</f>
        <v>0.822685788787484</v>
      </c>
      <c r="J3023" s="15" t="n">
        <v>0.6688</v>
      </c>
      <c r="K3023" s="11" t="str">
        <f aca="false">IF(I3023&lt;J3023,"TAK","NIE")</f>
        <v>NIE</v>
      </c>
    </row>
    <row r="3024" customFormat="false" ht="15" hidden="false" customHeight="false" outlineLevel="0" collapsed="false">
      <c r="A3024" s="5" t="s">
        <v>617</v>
      </c>
      <c r="B3024" s="5" t="s">
        <v>76</v>
      </c>
      <c r="C3024" s="5" t="n">
        <v>2022</v>
      </c>
      <c r="D3024" s="5" t="s">
        <v>77</v>
      </c>
      <c r="E3024" s="5" t="s">
        <v>55</v>
      </c>
      <c r="F3024" s="5" t="s">
        <v>40</v>
      </c>
      <c r="G3024" s="6" t="n">
        <v>494</v>
      </c>
      <c r="H3024" s="6" t="n">
        <v>163</v>
      </c>
      <c r="I3024" s="7" t="n">
        <f aca="false">(G3024-H3024)/G3024</f>
        <v>0.67004048582996</v>
      </c>
      <c r="J3024" s="15" t="n">
        <v>0.4736</v>
      </c>
      <c r="K3024" s="11" t="str">
        <f aca="false">IF(I3024&lt;J3024,"TAK","NIE")</f>
        <v>NIE</v>
      </c>
    </row>
    <row r="3025" customFormat="false" ht="15" hidden="false" customHeight="false" outlineLevel="0" collapsed="false">
      <c r="A3025" s="5" t="s">
        <v>618</v>
      </c>
      <c r="B3025" s="5" t="s">
        <v>76</v>
      </c>
      <c r="C3025" s="5" t="n">
        <v>2022</v>
      </c>
      <c r="D3025" s="5" t="s">
        <v>77</v>
      </c>
      <c r="E3025" s="5" t="s">
        <v>55</v>
      </c>
      <c r="F3025" s="5" t="s">
        <v>40</v>
      </c>
      <c r="G3025" s="6" t="n">
        <v>494</v>
      </c>
      <c r="H3025" s="6" t="n">
        <v>62</v>
      </c>
      <c r="I3025" s="7" t="n">
        <f aca="false">(G3025-H3025)/G3025</f>
        <v>0.874493927125506</v>
      </c>
      <c r="J3025" s="15" t="n">
        <v>0.4736</v>
      </c>
      <c r="K3025" s="11" t="str">
        <f aca="false">IF(I3025&lt;J3025,"TAK","NIE")</f>
        <v>NIE</v>
      </c>
    </row>
    <row r="3026" customFormat="false" ht="15" hidden="false" customHeight="false" outlineLevel="0" collapsed="false">
      <c r="A3026" s="5" t="s">
        <v>619</v>
      </c>
      <c r="B3026" s="5" t="s">
        <v>76</v>
      </c>
      <c r="C3026" s="5" t="n">
        <v>2022</v>
      </c>
      <c r="D3026" s="5" t="s">
        <v>77</v>
      </c>
      <c r="E3026" s="5" t="s">
        <v>55</v>
      </c>
      <c r="F3026" s="5" t="s">
        <v>40</v>
      </c>
      <c r="G3026" s="6" t="n">
        <v>495</v>
      </c>
      <c r="H3026" s="6" t="n">
        <v>189</v>
      </c>
      <c r="I3026" s="7" t="n">
        <f aca="false">(G3026-H3026)/G3026</f>
        <v>0.618181818181818</v>
      </c>
      <c r="J3026" s="15" t="n">
        <v>0.4736</v>
      </c>
      <c r="K3026" s="11" t="str">
        <f aca="false">IF(I3026&lt;J3026,"TAK","NIE")</f>
        <v>NIE</v>
      </c>
    </row>
    <row r="3027" customFormat="false" ht="15" hidden="false" customHeight="false" outlineLevel="0" collapsed="false">
      <c r="A3027" s="5" t="s">
        <v>620</v>
      </c>
      <c r="B3027" s="5" t="s">
        <v>76</v>
      </c>
      <c r="C3027" s="5" t="n">
        <v>2022</v>
      </c>
      <c r="D3027" s="5" t="s">
        <v>77</v>
      </c>
      <c r="E3027" s="5" t="s">
        <v>55</v>
      </c>
      <c r="F3027" s="5" t="s">
        <v>40</v>
      </c>
      <c r="G3027" s="6" t="n">
        <v>495</v>
      </c>
      <c r="H3027" s="6" t="n">
        <v>158</v>
      </c>
      <c r="I3027" s="7" t="n">
        <f aca="false">(G3027-H3027)/G3027</f>
        <v>0.680808080808081</v>
      </c>
      <c r="J3027" s="15" t="n">
        <v>0.4736</v>
      </c>
      <c r="K3027" s="11" t="str">
        <f aca="false">IF(I3027&lt;J3027,"TAK","NIE")</f>
        <v>NIE</v>
      </c>
    </row>
    <row r="3028" customFormat="false" ht="15" hidden="false" customHeight="false" outlineLevel="0" collapsed="false">
      <c r="A3028" s="5" t="s">
        <v>621</v>
      </c>
      <c r="B3028" s="5" t="s">
        <v>76</v>
      </c>
      <c r="C3028" s="5" t="n">
        <v>2022</v>
      </c>
      <c r="D3028" s="5" t="s">
        <v>77</v>
      </c>
      <c r="E3028" s="5" t="s">
        <v>55</v>
      </c>
      <c r="F3028" s="5" t="s">
        <v>40</v>
      </c>
      <c r="G3028" s="6" t="n">
        <v>494</v>
      </c>
      <c r="H3028" s="6" t="n">
        <v>69</v>
      </c>
      <c r="I3028" s="7" t="n">
        <f aca="false">(G3028-H3028)/G3028</f>
        <v>0.860323886639676</v>
      </c>
      <c r="J3028" s="15" t="n">
        <v>0.4736</v>
      </c>
      <c r="K3028" s="11" t="str">
        <f aca="false">IF(I3028&lt;J3028,"TAK","NIE")</f>
        <v>NIE</v>
      </c>
    </row>
    <row r="3029" customFormat="false" ht="15" hidden="false" customHeight="false" outlineLevel="0" collapsed="false">
      <c r="A3029" s="5" t="s">
        <v>622</v>
      </c>
      <c r="B3029" s="5" t="s">
        <v>76</v>
      </c>
      <c r="C3029" s="5" t="n">
        <v>2022</v>
      </c>
      <c r="D3029" s="5" t="s">
        <v>77</v>
      </c>
      <c r="E3029" s="5" t="s">
        <v>55</v>
      </c>
      <c r="F3029" s="5" t="s">
        <v>40</v>
      </c>
      <c r="G3029" s="6" t="n">
        <v>495</v>
      </c>
      <c r="H3029" s="6" t="n">
        <v>46</v>
      </c>
      <c r="I3029" s="7" t="n">
        <f aca="false">(G3029-H3029)/G3029</f>
        <v>0.907070707070707</v>
      </c>
      <c r="J3029" s="15" t="n">
        <v>0.4736</v>
      </c>
      <c r="K3029" s="11" t="str">
        <f aca="false">IF(I3029&lt;J3029,"TAK","NIE")</f>
        <v>NIE</v>
      </c>
    </row>
    <row r="3030" customFormat="false" ht="15" hidden="false" customHeight="false" outlineLevel="0" collapsed="false">
      <c r="A3030" s="5" t="s">
        <v>623</v>
      </c>
      <c r="B3030" s="5" t="s">
        <v>76</v>
      </c>
      <c r="C3030" s="5" t="n">
        <v>2022</v>
      </c>
      <c r="D3030" s="5" t="s">
        <v>77</v>
      </c>
      <c r="E3030" s="5" t="s">
        <v>55</v>
      </c>
      <c r="F3030" s="5" t="s">
        <v>40</v>
      </c>
      <c r="G3030" s="6" t="n">
        <v>495</v>
      </c>
      <c r="H3030" s="6" t="n">
        <v>104</v>
      </c>
      <c r="I3030" s="7" t="n">
        <f aca="false">(G3030-H3030)/G3030</f>
        <v>0.78989898989899</v>
      </c>
      <c r="J3030" s="15" t="n">
        <v>0.4736</v>
      </c>
      <c r="K3030" s="11" t="str">
        <f aca="false">IF(I3030&lt;J3030,"TAK","NIE")</f>
        <v>NIE</v>
      </c>
    </row>
    <row r="3031" customFormat="false" ht="15" hidden="false" customHeight="false" outlineLevel="0" collapsed="false">
      <c r="A3031" s="5" t="s">
        <v>624</v>
      </c>
      <c r="B3031" s="5" t="s">
        <v>76</v>
      </c>
      <c r="C3031" s="5" t="n">
        <v>2022</v>
      </c>
      <c r="D3031" s="5" t="s">
        <v>77</v>
      </c>
      <c r="E3031" s="5" t="s">
        <v>55</v>
      </c>
      <c r="F3031" s="5" t="s">
        <v>40</v>
      </c>
      <c r="G3031" s="6" t="n">
        <v>495</v>
      </c>
      <c r="H3031" s="6" t="n">
        <v>160</v>
      </c>
      <c r="I3031" s="7" t="n">
        <f aca="false">(G3031-H3031)/G3031</f>
        <v>0.676767676767677</v>
      </c>
      <c r="J3031" s="15" t="n">
        <v>0.4736</v>
      </c>
      <c r="K3031" s="11" t="str">
        <f aca="false">IF(I3031&lt;J3031,"TAK","NIE")</f>
        <v>NIE</v>
      </c>
    </row>
    <row r="3032" customFormat="false" ht="15" hidden="false" customHeight="false" outlineLevel="0" collapsed="false">
      <c r="A3032" s="5" t="s">
        <v>625</v>
      </c>
      <c r="B3032" s="5" t="s">
        <v>76</v>
      </c>
      <c r="C3032" s="5" t="n">
        <v>2022</v>
      </c>
      <c r="D3032" s="5" t="s">
        <v>77</v>
      </c>
      <c r="E3032" s="5" t="s">
        <v>55</v>
      </c>
      <c r="F3032" s="5" t="s">
        <v>40</v>
      </c>
      <c r="G3032" s="6" t="n">
        <v>470</v>
      </c>
      <c r="H3032" s="6" t="n">
        <v>152</v>
      </c>
      <c r="I3032" s="7" t="n">
        <f aca="false">(G3032-H3032)/G3032</f>
        <v>0.676595744680851</v>
      </c>
      <c r="J3032" s="15" t="n">
        <v>0.4736</v>
      </c>
      <c r="K3032" s="11" t="str">
        <f aca="false">IF(I3032&lt;J3032,"TAK","NIE")</f>
        <v>NIE</v>
      </c>
    </row>
    <row r="3033" customFormat="false" ht="15" hidden="false" customHeight="false" outlineLevel="0" collapsed="false">
      <c r="A3033" s="5" t="s">
        <v>626</v>
      </c>
      <c r="B3033" s="5" t="s">
        <v>76</v>
      </c>
      <c r="C3033" s="5" t="n">
        <v>2022</v>
      </c>
      <c r="D3033" s="5" t="s">
        <v>77</v>
      </c>
      <c r="E3033" s="5" t="s">
        <v>55</v>
      </c>
      <c r="F3033" s="5" t="s">
        <v>40</v>
      </c>
      <c r="G3033" s="6" t="n">
        <v>469</v>
      </c>
      <c r="H3033" s="6" t="n">
        <v>135</v>
      </c>
      <c r="I3033" s="7" t="n">
        <f aca="false">(G3033-H3033)/G3033</f>
        <v>0.712153518123667</v>
      </c>
      <c r="J3033" s="15" t="n">
        <v>0.4736</v>
      </c>
      <c r="K3033" s="11" t="str">
        <f aca="false">IF(I3033&lt;J3033,"TAK","NIE")</f>
        <v>NIE</v>
      </c>
    </row>
    <row r="3034" customFormat="false" ht="15" hidden="false" customHeight="false" outlineLevel="0" collapsed="false">
      <c r="A3034" s="5" t="s">
        <v>627</v>
      </c>
      <c r="B3034" s="5" t="s">
        <v>76</v>
      </c>
      <c r="C3034" s="5" t="n">
        <v>2022</v>
      </c>
      <c r="D3034" s="5" t="s">
        <v>77</v>
      </c>
      <c r="E3034" s="5" t="s">
        <v>55</v>
      </c>
      <c r="F3034" s="5" t="s">
        <v>40</v>
      </c>
      <c r="G3034" s="6" t="n">
        <v>494</v>
      </c>
      <c r="H3034" s="6" t="n">
        <v>93</v>
      </c>
      <c r="I3034" s="7" t="n">
        <f aca="false">(G3034-H3034)/G3034</f>
        <v>0.811740890688259</v>
      </c>
      <c r="J3034" s="15" t="n">
        <v>0.4736</v>
      </c>
      <c r="K3034" s="11" t="str">
        <f aca="false">IF(I3034&lt;J3034,"TAK","NIE")</f>
        <v>NIE</v>
      </c>
    </row>
    <row r="3035" customFormat="false" ht="15" hidden="false" customHeight="false" outlineLevel="0" collapsed="false">
      <c r="A3035" s="5" t="s">
        <v>628</v>
      </c>
      <c r="B3035" s="5" t="s">
        <v>76</v>
      </c>
      <c r="C3035" s="5" t="n">
        <v>2022</v>
      </c>
      <c r="D3035" s="5" t="s">
        <v>77</v>
      </c>
      <c r="E3035" s="5" t="s">
        <v>55</v>
      </c>
      <c r="F3035" s="5" t="s">
        <v>40</v>
      </c>
      <c r="G3035" s="6" t="n">
        <v>495</v>
      </c>
      <c r="H3035" s="6" t="n">
        <v>170</v>
      </c>
      <c r="I3035" s="7" t="n">
        <f aca="false">(G3035-H3035)/G3035</f>
        <v>0.656565656565657</v>
      </c>
      <c r="J3035" s="15" t="n">
        <v>0.4736</v>
      </c>
      <c r="K3035" s="11" t="str">
        <f aca="false">IF(I3035&lt;J3035,"TAK","NIE")</f>
        <v>NIE</v>
      </c>
    </row>
    <row r="3036" customFormat="false" ht="15" hidden="false" customHeight="false" outlineLevel="0" collapsed="false">
      <c r="A3036" s="5" t="s">
        <v>629</v>
      </c>
      <c r="B3036" s="5" t="s">
        <v>76</v>
      </c>
      <c r="C3036" s="5" t="n">
        <v>2022</v>
      </c>
      <c r="D3036" s="5" t="s">
        <v>77</v>
      </c>
      <c r="E3036" s="5" t="s">
        <v>55</v>
      </c>
      <c r="F3036" s="5" t="s">
        <v>40</v>
      </c>
      <c r="G3036" s="6" t="n">
        <v>495</v>
      </c>
      <c r="H3036" s="6" t="n">
        <v>119</v>
      </c>
      <c r="I3036" s="7" t="n">
        <f aca="false">(G3036-H3036)/G3036</f>
        <v>0.75959595959596</v>
      </c>
      <c r="J3036" s="15" t="n">
        <v>0.4736</v>
      </c>
      <c r="K3036" s="11" t="str">
        <f aca="false">IF(I3036&lt;J3036,"TAK","NIE")</f>
        <v>NIE</v>
      </c>
    </row>
    <row r="3037" customFormat="false" ht="15" hidden="false" customHeight="false" outlineLevel="0" collapsed="false">
      <c r="A3037" s="5" t="s">
        <v>630</v>
      </c>
      <c r="B3037" s="5" t="s">
        <v>76</v>
      </c>
      <c r="C3037" s="5" t="n">
        <v>2022</v>
      </c>
      <c r="D3037" s="5" t="s">
        <v>77</v>
      </c>
      <c r="E3037" s="5" t="s">
        <v>55</v>
      </c>
      <c r="F3037" s="5" t="s">
        <v>40</v>
      </c>
      <c r="G3037" s="6" t="n">
        <v>495</v>
      </c>
      <c r="H3037" s="6" t="n">
        <v>202</v>
      </c>
      <c r="I3037" s="7" t="n">
        <f aca="false">(G3037-H3037)/G3037</f>
        <v>0.591919191919192</v>
      </c>
      <c r="J3037" s="15" t="n">
        <v>0.4736</v>
      </c>
      <c r="K3037" s="11" t="str">
        <f aca="false">IF(I3037&lt;J3037,"TAK","NIE")</f>
        <v>NIE</v>
      </c>
    </row>
    <row r="3038" customFormat="false" ht="15" hidden="false" customHeight="false" outlineLevel="0" collapsed="false">
      <c r="A3038" s="5" t="s">
        <v>631</v>
      </c>
      <c r="B3038" s="5" t="s">
        <v>76</v>
      </c>
      <c r="C3038" s="5" t="n">
        <v>2022</v>
      </c>
      <c r="D3038" s="5" t="s">
        <v>77</v>
      </c>
      <c r="E3038" s="5" t="s">
        <v>55</v>
      </c>
      <c r="F3038" s="5" t="s">
        <v>40</v>
      </c>
      <c r="G3038" s="6" t="n">
        <v>495</v>
      </c>
      <c r="H3038" s="6" t="n">
        <v>124</v>
      </c>
      <c r="I3038" s="7" t="n">
        <f aca="false">(G3038-H3038)/G3038</f>
        <v>0.74949494949495</v>
      </c>
      <c r="J3038" s="15" t="n">
        <v>0.4736</v>
      </c>
      <c r="K3038" s="11" t="str">
        <f aca="false">IF(I3038&lt;J3038,"TAK","NIE")</f>
        <v>NIE</v>
      </c>
    </row>
    <row r="3039" customFormat="false" ht="15" hidden="false" customHeight="false" outlineLevel="0" collapsed="false">
      <c r="A3039" s="5" t="s">
        <v>632</v>
      </c>
      <c r="B3039" s="5" t="s">
        <v>76</v>
      </c>
      <c r="C3039" s="5" t="n">
        <v>2022</v>
      </c>
      <c r="D3039" s="5" t="s">
        <v>77</v>
      </c>
      <c r="E3039" s="5" t="s">
        <v>55</v>
      </c>
      <c r="F3039" s="5" t="s">
        <v>40</v>
      </c>
      <c r="G3039" s="6" t="n">
        <v>494</v>
      </c>
      <c r="H3039" s="6" t="n">
        <v>141</v>
      </c>
      <c r="I3039" s="7" t="n">
        <f aca="false">(G3039-H3039)/G3039</f>
        <v>0.714574898785425</v>
      </c>
      <c r="J3039" s="15" t="n">
        <v>0.4736</v>
      </c>
      <c r="K3039" s="11" t="str">
        <f aca="false">IF(I3039&lt;J3039,"TAK","NIE")</f>
        <v>NIE</v>
      </c>
    </row>
    <row r="3040" customFormat="false" ht="15" hidden="false" customHeight="false" outlineLevel="0" collapsed="false">
      <c r="A3040" s="5" t="s">
        <v>633</v>
      </c>
      <c r="B3040" s="5" t="s">
        <v>76</v>
      </c>
      <c r="C3040" s="5" t="n">
        <v>2022</v>
      </c>
      <c r="D3040" s="5" t="s">
        <v>77</v>
      </c>
      <c r="E3040" s="5" t="s">
        <v>55</v>
      </c>
      <c r="F3040" s="5" t="s">
        <v>40</v>
      </c>
      <c r="G3040" s="6" t="n">
        <v>495</v>
      </c>
      <c r="H3040" s="6" t="n">
        <v>107</v>
      </c>
      <c r="I3040" s="7" t="n">
        <f aca="false">(G3040-H3040)/G3040</f>
        <v>0.783838383838384</v>
      </c>
      <c r="J3040" s="15" t="n">
        <v>0.4736</v>
      </c>
      <c r="K3040" s="11" t="str">
        <f aca="false">IF(I3040&lt;J3040,"TAK","NIE")</f>
        <v>NIE</v>
      </c>
    </row>
    <row r="3041" customFormat="false" ht="15" hidden="false" customHeight="false" outlineLevel="0" collapsed="false">
      <c r="A3041" s="5" t="s">
        <v>634</v>
      </c>
      <c r="B3041" s="5" t="s">
        <v>76</v>
      </c>
      <c r="C3041" s="5" t="n">
        <v>2022</v>
      </c>
      <c r="D3041" s="5" t="s">
        <v>77</v>
      </c>
      <c r="E3041" s="5" t="s">
        <v>55</v>
      </c>
      <c r="F3041" s="5" t="s">
        <v>40</v>
      </c>
      <c r="G3041" s="6" t="n">
        <v>494</v>
      </c>
      <c r="H3041" s="6" t="n">
        <v>124</v>
      </c>
      <c r="I3041" s="7" t="n">
        <f aca="false">(G3041-H3041)/G3041</f>
        <v>0.748987854251012</v>
      </c>
      <c r="J3041" s="15" t="n">
        <v>0.4736</v>
      </c>
      <c r="K3041" s="11" t="str">
        <f aca="false">IF(I3041&lt;J3041,"TAK","NIE")</f>
        <v>NIE</v>
      </c>
    </row>
    <row r="3042" customFormat="false" ht="15" hidden="false" customHeight="false" outlineLevel="0" collapsed="false">
      <c r="A3042" s="5" t="s">
        <v>635</v>
      </c>
      <c r="B3042" s="5" t="s">
        <v>76</v>
      </c>
      <c r="C3042" s="5" t="n">
        <v>2022</v>
      </c>
      <c r="D3042" s="5" t="s">
        <v>77</v>
      </c>
      <c r="E3042" s="5" t="s">
        <v>55</v>
      </c>
      <c r="F3042" s="5" t="s">
        <v>40</v>
      </c>
      <c r="G3042" s="6" t="n">
        <v>494</v>
      </c>
      <c r="H3042" s="6" t="n">
        <v>210</v>
      </c>
      <c r="I3042" s="7" t="n">
        <f aca="false">(G3042-H3042)/G3042</f>
        <v>0.574898785425101</v>
      </c>
      <c r="J3042" s="15" t="n">
        <v>0.4736</v>
      </c>
      <c r="K3042" s="11" t="str">
        <f aca="false">IF(I3042&lt;J3042,"TAK","NIE")</f>
        <v>NIE</v>
      </c>
    </row>
    <row r="3043" customFormat="false" ht="15" hidden="false" customHeight="false" outlineLevel="0" collapsed="false">
      <c r="A3043" s="5" t="s">
        <v>636</v>
      </c>
      <c r="B3043" s="5" t="s">
        <v>76</v>
      </c>
      <c r="C3043" s="5" t="n">
        <v>2022</v>
      </c>
      <c r="D3043" s="5" t="s">
        <v>77</v>
      </c>
      <c r="E3043" s="5" t="s">
        <v>55</v>
      </c>
      <c r="F3043" s="5" t="s">
        <v>40</v>
      </c>
      <c r="G3043" s="6" t="n">
        <v>494</v>
      </c>
      <c r="H3043" s="6" t="n">
        <v>209</v>
      </c>
      <c r="I3043" s="7" t="n">
        <f aca="false">(G3043-H3043)/G3043</f>
        <v>0.576923076923077</v>
      </c>
      <c r="J3043" s="15" t="n">
        <v>0.4736</v>
      </c>
      <c r="K3043" s="11" t="str">
        <f aca="false">IF(I3043&lt;J3043,"TAK","NIE")</f>
        <v>NIE</v>
      </c>
    </row>
    <row r="3044" customFormat="false" ht="15" hidden="false" customHeight="false" outlineLevel="0" collapsed="false">
      <c r="A3044" s="5" t="s">
        <v>637</v>
      </c>
      <c r="B3044" s="5" t="s">
        <v>76</v>
      </c>
      <c r="C3044" s="5" t="n">
        <v>2022</v>
      </c>
      <c r="D3044" s="5" t="s">
        <v>77</v>
      </c>
      <c r="E3044" s="5" t="s">
        <v>55</v>
      </c>
      <c r="F3044" s="5" t="s">
        <v>40</v>
      </c>
      <c r="G3044" s="6" t="n">
        <v>494</v>
      </c>
      <c r="H3044" s="6" t="n">
        <v>20</v>
      </c>
      <c r="I3044" s="7" t="n">
        <f aca="false">(G3044-H3044)/G3044</f>
        <v>0.959514170040486</v>
      </c>
      <c r="J3044" s="15" t="n">
        <v>0.4736</v>
      </c>
      <c r="K3044" s="11" t="str">
        <f aca="false">IF(I3044&lt;J3044,"TAK","NIE")</f>
        <v>NIE</v>
      </c>
    </row>
    <row r="3045" customFormat="false" ht="15" hidden="false" customHeight="false" outlineLevel="0" collapsed="false">
      <c r="A3045" s="5" t="s">
        <v>638</v>
      </c>
      <c r="B3045" s="5" t="s">
        <v>76</v>
      </c>
      <c r="C3045" s="5" t="n">
        <v>2022</v>
      </c>
      <c r="D3045" s="5" t="s">
        <v>77</v>
      </c>
      <c r="E3045" s="5" t="s">
        <v>55</v>
      </c>
      <c r="F3045" s="5" t="s">
        <v>40</v>
      </c>
      <c r="G3045" s="6" t="n">
        <v>494</v>
      </c>
      <c r="H3045" s="6" t="n">
        <v>241</v>
      </c>
      <c r="I3045" s="7" t="n">
        <f aca="false">(G3045-H3045)/G3045</f>
        <v>0.512145748987854</v>
      </c>
      <c r="J3045" s="15" t="n">
        <v>0.4736</v>
      </c>
      <c r="K3045" s="11" t="str">
        <f aca="false">IF(I3045&lt;J3045,"TAK","NIE")</f>
        <v>NIE</v>
      </c>
    </row>
    <row r="3046" customFormat="false" ht="15" hidden="false" customHeight="false" outlineLevel="0" collapsed="false">
      <c r="A3046" s="5" t="s">
        <v>639</v>
      </c>
      <c r="B3046" s="5" t="s">
        <v>76</v>
      </c>
      <c r="C3046" s="5" t="n">
        <v>2022</v>
      </c>
      <c r="D3046" s="5" t="s">
        <v>77</v>
      </c>
      <c r="E3046" s="5" t="s">
        <v>55</v>
      </c>
      <c r="F3046" s="5" t="s">
        <v>40</v>
      </c>
      <c r="G3046" s="6" t="n">
        <v>494</v>
      </c>
      <c r="H3046" s="6" t="n">
        <v>162</v>
      </c>
      <c r="I3046" s="7" t="n">
        <f aca="false">(G3046-H3046)/G3046</f>
        <v>0.672064777327935</v>
      </c>
      <c r="J3046" s="15" t="n">
        <v>0.4736</v>
      </c>
      <c r="K3046" s="11" t="str">
        <f aca="false">IF(I3046&lt;J3046,"TAK","NIE")</f>
        <v>NIE</v>
      </c>
    </row>
    <row r="3047" customFormat="false" ht="15" hidden="false" customHeight="false" outlineLevel="0" collapsed="false">
      <c r="A3047" s="5" t="s">
        <v>640</v>
      </c>
      <c r="B3047" s="5" t="s">
        <v>76</v>
      </c>
      <c r="C3047" s="5" t="n">
        <v>2022</v>
      </c>
      <c r="D3047" s="5" t="s">
        <v>77</v>
      </c>
      <c r="E3047" s="5" t="s">
        <v>55</v>
      </c>
      <c r="F3047" s="5" t="s">
        <v>40</v>
      </c>
      <c r="G3047" s="6" t="n">
        <v>495</v>
      </c>
      <c r="H3047" s="6" t="n">
        <v>88</v>
      </c>
      <c r="I3047" s="7" t="n">
        <f aca="false">(G3047-H3047)/G3047</f>
        <v>0.822222222222222</v>
      </c>
      <c r="J3047" s="15" t="n">
        <v>0.4736</v>
      </c>
      <c r="K3047" s="11" t="str">
        <f aca="false">IF(I3047&lt;J3047,"TAK","NIE")</f>
        <v>NIE</v>
      </c>
    </row>
    <row r="3048" customFormat="false" ht="15" hidden="false" customHeight="false" outlineLevel="0" collapsed="false">
      <c r="A3048" s="5" t="s">
        <v>617</v>
      </c>
      <c r="B3048" s="5" t="s">
        <v>78</v>
      </c>
      <c r="C3048" s="5" t="n">
        <v>2022</v>
      </c>
      <c r="D3048" s="5" t="s">
        <v>77</v>
      </c>
      <c r="E3048" s="5" t="s">
        <v>57</v>
      </c>
      <c r="F3048" s="5" t="s">
        <v>39</v>
      </c>
      <c r="G3048" s="6" t="n">
        <v>625</v>
      </c>
      <c r="H3048" s="6" t="n">
        <v>130</v>
      </c>
      <c r="I3048" s="7" t="n">
        <f aca="false">(G3048-H3048)/G3048</f>
        <v>0.792</v>
      </c>
      <c r="J3048" s="15" t="n">
        <v>0.582</v>
      </c>
      <c r="K3048" s="11" t="str">
        <f aca="false">IF(I3048&lt;J3048,"TAK","NIE")</f>
        <v>NIE</v>
      </c>
    </row>
    <row r="3049" customFormat="false" ht="15" hidden="false" customHeight="false" outlineLevel="0" collapsed="false">
      <c r="A3049" s="5" t="s">
        <v>618</v>
      </c>
      <c r="B3049" s="5" t="s">
        <v>78</v>
      </c>
      <c r="C3049" s="5" t="n">
        <v>2022</v>
      </c>
      <c r="D3049" s="5" t="s">
        <v>77</v>
      </c>
      <c r="E3049" s="5" t="s">
        <v>57</v>
      </c>
      <c r="F3049" s="5" t="s">
        <v>39</v>
      </c>
      <c r="G3049" s="6" t="n">
        <v>625</v>
      </c>
      <c r="H3049" s="6" t="n">
        <v>35</v>
      </c>
      <c r="I3049" s="7" t="n">
        <f aca="false">(G3049-H3049)/G3049</f>
        <v>0.944</v>
      </c>
      <c r="J3049" s="15" t="n">
        <v>0.582</v>
      </c>
      <c r="K3049" s="11" t="str">
        <f aca="false">IF(I3049&lt;J3049,"TAK","NIE")</f>
        <v>NIE</v>
      </c>
    </row>
    <row r="3050" customFormat="false" ht="15" hidden="false" customHeight="false" outlineLevel="0" collapsed="false">
      <c r="A3050" s="5" t="s">
        <v>619</v>
      </c>
      <c r="B3050" s="5" t="s">
        <v>78</v>
      </c>
      <c r="C3050" s="5" t="n">
        <v>2022</v>
      </c>
      <c r="D3050" s="5" t="s">
        <v>77</v>
      </c>
      <c r="E3050" s="5" t="s">
        <v>57</v>
      </c>
      <c r="F3050" s="5" t="s">
        <v>39</v>
      </c>
      <c r="G3050" s="6" t="n">
        <v>625</v>
      </c>
      <c r="H3050" s="6" t="n">
        <v>112</v>
      </c>
      <c r="I3050" s="7" t="n">
        <f aca="false">(G3050-H3050)/G3050</f>
        <v>0.8208</v>
      </c>
      <c r="J3050" s="15" t="n">
        <v>0.582</v>
      </c>
      <c r="K3050" s="11" t="str">
        <f aca="false">IF(I3050&lt;J3050,"TAK","NIE")</f>
        <v>NIE</v>
      </c>
    </row>
    <row r="3051" customFormat="false" ht="15" hidden="false" customHeight="false" outlineLevel="0" collapsed="false">
      <c r="A3051" s="5" t="s">
        <v>620</v>
      </c>
      <c r="B3051" s="5" t="s">
        <v>78</v>
      </c>
      <c r="C3051" s="5" t="n">
        <v>2022</v>
      </c>
      <c r="D3051" s="5" t="s">
        <v>77</v>
      </c>
      <c r="E3051" s="5" t="s">
        <v>57</v>
      </c>
      <c r="F3051" s="5" t="s">
        <v>39</v>
      </c>
      <c r="G3051" s="6" t="n">
        <v>625</v>
      </c>
      <c r="H3051" s="6" t="n">
        <v>112</v>
      </c>
      <c r="I3051" s="7" t="n">
        <f aca="false">(G3051-H3051)/G3051</f>
        <v>0.8208</v>
      </c>
      <c r="J3051" s="15" t="n">
        <v>0.582</v>
      </c>
      <c r="K3051" s="11" t="str">
        <f aca="false">IF(I3051&lt;J3051,"TAK","NIE")</f>
        <v>NIE</v>
      </c>
    </row>
    <row r="3052" customFormat="false" ht="15" hidden="false" customHeight="false" outlineLevel="0" collapsed="false">
      <c r="A3052" s="5" t="s">
        <v>621</v>
      </c>
      <c r="B3052" s="5" t="s">
        <v>78</v>
      </c>
      <c r="C3052" s="5" t="n">
        <v>2022</v>
      </c>
      <c r="D3052" s="5" t="s">
        <v>77</v>
      </c>
      <c r="E3052" s="5" t="s">
        <v>57</v>
      </c>
      <c r="F3052" s="5" t="s">
        <v>39</v>
      </c>
      <c r="G3052" s="6" t="n">
        <v>625</v>
      </c>
      <c r="H3052" s="6" t="n">
        <v>30</v>
      </c>
      <c r="I3052" s="7" t="n">
        <f aca="false">(G3052-H3052)/G3052</f>
        <v>0.952</v>
      </c>
      <c r="J3052" s="15" t="n">
        <v>0.582</v>
      </c>
      <c r="K3052" s="11" t="str">
        <f aca="false">IF(I3052&lt;J3052,"TAK","NIE")</f>
        <v>NIE</v>
      </c>
    </row>
    <row r="3053" customFormat="false" ht="15" hidden="false" customHeight="false" outlineLevel="0" collapsed="false">
      <c r="A3053" s="5" t="s">
        <v>622</v>
      </c>
      <c r="B3053" s="5" t="s">
        <v>78</v>
      </c>
      <c r="C3053" s="5" t="n">
        <v>2022</v>
      </c>
      <c r="D3053" s="5" t="s">
        <v>77</v>
      </c>
      <c r="E3053" s="5" t="s">
        <v>57</v>
      </c>
      <c r="F3053" s="5" t="s">
        <v>39</v>
      </c>
      <c r="G3053" s="6" t="n">
        <v>625</v>
      </c>
      <c r="H3053" s="6" t="n">
        <v>25</v>
      </c>
      <c r="I3053" s="7" t="n">
        <f aca="false">(G3053-H3053)/G3053</f>
        <v>0.96</v>
      </c>
      <c r="J3053" s="15" t="n">
        <v>0.582</v>
      </c>
      <c r="K3053" s="11" t="str">
        <f aca="false">IF(I3053&lt;J3053,"TAK","NIE")</f>
        <v>NIE</v>
      </c>
    </row>
    <row r="3054" customFormat="false" ht="15" hidden="false" customHeight="false" outlineLevel="0" collapsed="false">
      <c r="A3054" s="5" t="s">
        <v>623</v>
      </c>
      <c r="B3054" s="5" t="s">
        <v>78</v>
      </c>
      <c r="C3054" s="5" t="n">
        <v>2022</v>
      </c>
      <c r="D3054" s="5" t="s">
        <v>77</v>
      </c>
      <c r="E3054" s="5" t="s">
        <v>57</v>
      </c>
      <c r="F3054" s="5" t="s">
        <v>39</v>
      </c>
      <c r="G3054" s="6" t="n">
        <v>625</v>
      </c>
      <c r="H3054" s="6" t="n">
        <v>48</v>
      </c>
      <c r="I3054" s="7" t="n">
        <f aca="false">(G3054-H3054)/G3054</f>
        <v>0.9232</v>
      </c>
      <c r="J3054" s="15" t="n">
        <v>0.582</v>
      </c>
      <c r="K3054" s="11" t="str">
        <f aca="false">IF(I3054&lt;J3054,"TAK","NIE")</f>
        <v>NIE</v>
      </c>
    </row>
    <row r="3055" customFormat="false" ht="15" hidden="false" customHeight="false" outlineLevel="0" collapsed="false">
      <c r="A3055" s="5" t="s">
        <v>624</v>
      </c>
      <c r="B3055" s="5" t="s">
        <v>78</v>
      </c>
      <c r="C3055" s="5" t="n">
        <v>2022</v>
      </c>
      <c r="D3055" s="5" t="s">
        <v>77</v>
      </c>
      <c r="E3055" s="5" t="s">
        <v>57</v>
      </c>
      <c r="F3055" s="5" t="s">
        <v>39</v>
      </c>
      <c r="G3055" s="6" t="n">
        <v>625</v>
      </c>
      <c r="H3055" s="6" t="n">
        <v>145</v>
      </c>
      <c r="I3055" s="7" t="n">
        <f aca="false">(G3055-H3055)/G3055</f>
        <v>0.768</v>
      </c>
      <c r="J3055" s="15" t="n">
        <v>0.582</v>
      </c>
      <c r="K3055" s="11" t="str">
        <f aca="false">IF(I3055&lt;J3055,"TAK","NIE")</f>
        <v>NIE</v>
      </c>
    </row>
    <row r="3056" customFormat="false" ht="15" hidden="false" customHeight="false" outlineLevel="0" collapsed="false">
      <c r="A3056" s="5" t="s">
        <v>625</v>
      </c>
      <c r="B3056" s="5" t="s">
        <v>78</v>
      </c>
      <c r="C3056" s="5" t="n">
        <v>2022</v>
      </c>
      <c r="D3056" s="5" t="s">
        <v>77</v>
      </c>
      <c r="E3056" s="5" t="s">
        <v>57</v>
      </c>
      <c r="F3056" s="5" t="s">
        <v>39</v>
      </c>
      <c r="G3056" s="6" t="n">
        <v>596</v>
      </c>
      <c r="H3056" s="6" t="n">
        <v>210</v>
      </c>
      <c r="I3056" s="7" t="n">
        <f aca="false">(G3056-H3056)/G3056</f>
        <v>0.647651006711409</v>
      </c>
      <c r="J3056" s="15" t="n">
        <v>0.582</v>
      </c>
      <c r="K3056" s="11" t="str">
        <f aca="false">IF(I3056&lt;J3056,"TAK","NIE")</f>
        <v>NIE</v>
      </c>
    </row>
    <row r="3057" customFormat="false" ht="15" hidden="false" customHeight="false" outlineLevel="0" collapsed="false">
      <c r="A3057" s="5" t="s">
        <v>626</v>
      </c>
      <c r="B3057" s="5" t="s">
        <v>78</v>
      </c>
      <c r="C3057" s="5" t="n">
        <v>2022</v>
      </c>
      <c r="D3057" s="5" t="s">
        <v>77</v>
      </c>
      <c r="E3057" s="5" t="s">
        <v>57</v>
      </c>
      <c r="F3057" s="5" t="s">
        <v>39</v>
      </c>
      <c r="G3057" s="6" t="n">
        <v>596</v>
      </c>
      <c r="H3057" s="6" t="n">
        <v>70</v>
      </c>
      <c r="I3057" s="7" t="n">
        <f aca="false">(G3057-H3057)/G3057</f>
        <v>0.88255033557047</v>
      </c>
      <c r="J3057" s="15" t="n">
        <v>0.582</v>
      </c>
      <c r="K3057" s="11" t="str">
        <f aca="false">IF(I3057&lt;J3057,"TAK","NIE")</f>
        <v>NIE</v>
      </c>
    </row>
    <row r="3058" customFormat="false" ht="15" hidden="false" customHeight="false" outlineLevel="0" collapsed="false">
      <c r="A3058" s="5" t="s">
        <v>627</v>
      </c>
      <c r="B3058" s="5" t="s">
        <v>78</v>
      </c>
      <c r="C3058" s="5" t="n">
        <v>2022</v>
      </c>
      <c r="D3058" s="5" t="s">
        <v>77</v>
      </c>
      <c r="E3058" s="5" t="s">
        <v>57</v>
      </c>
      <c r="F3058" s="5" t="s">
        <v>39</v>
      </c>
      <c r="G3058" s="6" t="n">
        <v>625</v>
      </c>
      <c r="H3058" s="6" t="n">
        <v>85</v>
      </c>
      <c r="I3058" s="7" t="n">
        <f aca="false">(G3058-H3058)/G3058</f>
        <v>0.864</v>
      </c>
      <c r="J3058" s="15" t="n">
        <v>0.582</v>
      </c>
      <c r="K3058" s="11" t="str">
        <f aca="false">IF(I3058&lt;J3058,"TAK","NIE")</f>
        <v>NIE</v>
      </c>
    </row>
    <row r="3059" customFormat="false" ht="15" hidden="false" customHeight="false" outlineLevel="0" collapsed="false">
      <c r="A3059" s="5" t="s">
        <v>628</v>
      </c>
      <c r="B3059" s="5" t="s">
        <v>78</v>
      </c>
      <c r="C3059" s="5" t="n">
        <v>2022</v>
      </c>
      <c r="D3059" s="5" t="s">
        <v>77</v>
      </c>
      <c r="E3059" s="5" t="s">
        <v>57</v>
      </c>
      <c r="F3059" s="5" t="s">
        <v>39</v>
      </c>
      <c r="G3059" s="6" t="n">
        <v>625</v>
      </c>
      <c r="H3059" s="6" t="n">
        <v>249</v>
      </c>
      <c r="I3059" s="7" t="n">
        <f aca="false">(G3059-H3059)/G3059</f>
        <v>0.6016</v>
      </c>
      <c r="J3059" s="15" t="n">
        <v>0.582</v>
      </c>
      <c r="K3059" s="11" t="str">
        <f aca="false">IF(I3059&lt;J3059,"TAK","NIE")</f>
        <v>NIE</v>
      </c>
    </row>
    <row r="3060" customFormat="false" ht="15" hidden="false" customHeight="false" outlineLevel="0" collapsed="false">
      <c r="A3060" s="5" t="s">
        <v>629</v>
      </c>
      <c r="B3060" s="5" t="s">
        <v>78</v>
      </c>
      <c r="C3060" s="5" t="n">
        <v>2022</v>
      </c>
      <c r="D3060" s="5" t="s">
        <v>77</v>
      </c>
      <c r="E3060" s="5" t="s">
        <v>57</v>
      </c>
      <c r="F3060" s="5" t="s">
        <v>39</v>
      </c>
      <c r="G3060" s="6" t="n">
        <v>625</v>
      </c>
      <c r="H3060" s="6" t="n">
        <v>76</v>
      </c>
      <c r="I3060" s="7" t="n">
        <f aca="false">(G3060-H3060)/G3060</f>
        <v>0.8784</v>
      </c>
      <c r="J3060" s="15" t="n">
        <v>0.582</v>
      </c>
      <c r="K3060" s="11" t="str">
        <f aca="false">IF(I3060&lt;J3060,"TAK","NIE")</f>
        <v>NIE</v>
      </c>
    </row>
    <row r="3061" customFormat="false" ht="15" hidden="false" customHeight="false" outlineLevel="0" collapsed="false">
      <c r="A3061" s="5" t="s">
        <v>630</v>
      </c>
      <c r="B3061" s="5" t="s">
        <v>78</v>
      </c>
      <c r="C3061" s="5" t="n">
        <v>2022</v>
      </c>
      <c r="D3061" s="5" t="s">
        <v>77</v>
      </c>
      <c r="E3061" s="5" t="s">
        <v>57</v>
      </c>
      <c r="F3061" s="5" t="s">
        <v>39</v>
      </c>
      <c r="G3061" s="6" t="n">
        <v>625</v>
      </c>
      <c r="H3061" s="6" t="n">
        <v>121</v>
      </c>
      <c r="I3061" s="7" t="n">
        <f aca="false">(G3061-H3061)/G3061</f>
        <v>0.8064</v>
      </c>
      <c r="J3061" s="15" t="n">
        <v>0.582</v>
      </c>
      <c r="K3061" s="11" t="str">
        <f aca="false">IF(I3061&lt;J3061,"TAK","NIE")</f>
        <v>NIE</v>
      </c>
    </row>
    <row r="3062" customFormat="false" ht="15" hidden="false" customHeight="false" outlineLevel="0" collapsed="false">
      <c r="A3062" s="5" t="s">
        <v>631</v>
      </c>
      <c r="B3062" s="5" t="s">
        <v>78</v>
      </c>
      <c r="C3062" s="5" t="n">
        <v>2022</v>
      </c>
      <c r="D3062" s="5" t="s">
        <v>77</v>
      </c>
      <c r="E3062" s="5" t="s">
        <v>57</v>
      </c>
      <c r="F3062" s="5" t="s">
        <v>39</v>
      </c>
      <c r="G3062" s="6" t="n">
        <v>625</v>
      </c>
      <c r="H3062" s="6" t="n">
        <v>43</v>
      </c>
      <c r="I3062" s="7" t="n">
        <f aca="false">(G3062-H3062)/G3062</f>
        <v>0.9312</v>
      </c>
      <c r="J3062" s="15" t="n">
        <v>0.582</v>
      </c>
      <c r="K3062" s="11" t="str">
        <f aca="false">IF(I3062&lt;J3062,"TAK","NIE")</f>
        <v>NIE</v>
      </c>
    </row>
    <row r="3063" customFormat="false" ht="15" hidden="false" customHeight="false" outlineLevel="0" collapsed="false">
      <c r="A3063" s="5" t="s">
        <v>632</v>
      </c>
      <c r="B3063" s="5" t="s">
        <v>78</v>
      </c>
      <c r="C3063" s="5" t="n">
        <v>2022</v>
      </c>
      <c r="D3063" s="5" t="s">
        <v>77</v>
      </c>
      <c r="E3063" s="5" t="s">
        <v>57</v>
      </c>
      <c r="F3063" s="5" t="s">
        <v>39</v>
      </c>
      <c r="G3063" s="6" t="n">
        <v>625</v>
      </c>
      <c r="H3063" s="6" t="n">
        <v>62</v>
      </c>
      <c r="I3063" s="7" t="n">
        <f aca="false">(G3063-H3063)/G3063</f>
        <v>0.9008</v>
      </c>
      <c r="J3063" s="15" t="n">
        <v>0.582</v>
      </c>
      <c r="K3063" s="11" t="str">
        <f aca="false">IF(I3063&lt;J3063,"TAK","NIE")</f>
        <v>NIE</v>
      </c>
    </row>
    <row r="3064" customFormat="false" ht="15" hidden="false" customHeight="false" outlineLevel="0" collapsed="false">
      <c r="A3064" s="5" t="s">
        <v>633</v>
      </c>
      <c r="B3064" s="5" t="s">
        <v>78</v>
      </c>
      <c r="C3064" s="5" t="n">
        <v>2022</v>
      </c>
      <c r="D3064" s="5" t="s">
        <v>77</v>
      </c>
      <c r="E3064" s="5" t="s">
        <v>57</v>
      </c>
      <c r="F3064" s="5" t="s">
        <v>39</v>
      </c>
      <c r="G3064" s="6" t="n">
        <v>625</v>
      </c>
      <c r="H3064" s="6" t="n">
        <v>118</v>
      </c>
      <c r="I3064" s="7" t="n">
        <f aca="false">(G3064-H3064)/G3064</f>
        <v>0.8112</v>
      </c>
      <c r="J3064" s="15" t="n">
        <v>0.582</v>
      </c>
      <c r="K3064" s="11" t="str">
        <f aca="false">IF(I3064&lt;J3064,"TAK","NIE")</f>
        <v>NIE</v>
      </c>
    </row>
    <row r="3065" customFormat="false" ht="15" hidden="false" customHeight="false" outlineLevel="0" collapsed="false">
      <c r="A3065" s="5" t="s">
        <v>634</v>
      </c>
      <c r="B3065" s="5" t="s">
        <v>78</v>
      </c>
      <c r="C3065" s="5" t="n">
        <v>2022</v>
      </c>
      <c r="D3065" s="5" t="s">
        <v>77</v>
      </c>
      <c r="E3065" s="5" t="s">
        <v>57</v>
      </c>
      <c r="F3065" s="5" t="s">
        <v>39</v>
      </c>
      <c r="G3065" s="6" t="n">
        <v>625</v>
      </c>
      <c r="H3065" s="6" t="n">
        <v>147</v>
      </c>
      <c r="I3065" s="7" t="n">
        <f aca="false">(G3065-H3065)/G3065</f>
        <v>0.7648</v>
      </c>
      <c r="J3065" s="15" t="n">
        <v>0.582</v>
      </c>
      <c r="K3065" s="11" t="str">
        <f aca="false">IF(I3065&lt;J3065,"TAK","NIE")</f>
        <v>NIE</v>
      </c>
    </row>
    <row r="3066" customFormat="false" ht="15" hidden="false" customHeight="false" outlineLevel="0" collapsed="false">
      <c r="A3066" s="5" t="s">
        <v>635</v>
      </c>
      <c r="B3066" s="5" t="s">
        <v>78</v>
      </c>
      <c r="C3066" s="5" t="n">
        <v>2022</v>
      </c>
      <c r="D3066" s="5" t="s">
        <v>77</v>
      </c>
      <c r="E3066" s="5" t="s">
        <v>57</v>
      </c>
      <c r="F3066" s="5" t="s">
        <v>39</v>
      </c>
      <c r="G3066" s="6" t="n">
        <v>625</v>
      </c>
      <c r="H3066" s="6" t="n">
        <v>129</v>
      </c>
      <c r="I3066" s="7" t="n">
        <f aca="false">(G3066-H3066)/G3066</f>
        <v>0.7936</v>
      </c>
      <c r="J3066" s="15" t="n">
        <v>0.582</v>
      </c>
      <c r="K3066" s="11" t="str">
        <f aca="false">IF(I3066&lt;J3066,"TAK","NIE")</f>
        <v>NIE</v>
      </c>
    </row>
    <row r="3067" customFormat="false" ht="15" hidden="false" customHeight="false" outlineLevel="0" collapsed="false">
      <c r="A3067" s="5" t="s">
        <v>636</v>
      </c>
      <c r="B3067" s="5" t="s">
        <v>78</v>
      </c>
      <c r="C3067" s="5" t="n">
        <v>2022</v>
      </c>
      <c r="D3067" s="5" t="s">
        <v>77</v>
      </c>
      <c r="E3067" s="5" t="s">
        <v>57</v>
      </c>
      <c r="F3067" s="5" t="s">
        <v>39</v>
      </c>
      <c r="G3067" s="6" t="n">
        <v>625</v>
      </c>
      <c r="H3067" s="6" t="n">
        <v>224</v>
      </c>
      <c r="I3067" s="7" t="n">
        <f aca="false">(G3067-H3067)/G3067</f>
        <v>0.6416</v>
      </c>
      <c r="J3067" s="15" t="n">
        <v>0.582</v>
      </c>
      <c r="K3067" s="11" t="str">
        <f aca="false">IF(I3067&lt;J3067,"TAK","NIE")</f>
        <v>NIE</v>
      </c>
    </row>
    <row r="3068" customFormat="false" ht="15" hidden="false" customHeight="false" outlineLevel="0" collapsed="false">
      <c r="A3068" s="5" t="s">
        <v>637</v>
      </c>
      <c r="B3068" s="5" t="s">
        <v>78</v>
      </c>
      <c r="C3068" s="5" t="n">
        <v>2022</v>
      </c>
      <c r="D3068" s="5" t="s">
        <v>77</v>
      </c>
      <c r="E3068" s="5" t="s">
        <v>57</v>
      </c>
      <c r="F3068" s="5" t="s">
        <v>39</v>
      </c>
      <c r="G3068" s="6" t="n">
        <v>625</v>
      </c>
      <c r="H3068" s="6" t="n">
        <v>34</v>
      </c>
      <c r="I3068" s="7" t="n">
        <f aca="false">(G3068-H3068)/G3068</f>
        <v>0.9456</v>
      </c>
      <c r="J3068" s="15" t="n">
        <v>0.582</v>
      </c>
      <c r="K3068" s="11" t="str">
        <f aca="false">IF(I3068&lt;J3068,"TAK","NIE")</f>
        <v>NIE</v>
      </c>
    </row>
    <row r="3069" customFormat="false" ht="15" hidden="false" customHeight="false" outlineLevel="0" collapsed="false">
      <c r="A3069" s="5" t="s">
        <v>639</v>
      </c>
      <c r="B3069" s="5" t="s">
        <v>78</v>
      </c>
      <c r="C3069" s="5" t="n">
        <v>2022</v>
      </c>
      <c r="D3069" s="5" t="s">
        <v>77</v>
      </c>
      <c r="E3069" s="5" t="s">
        <v>57</v>
      </c>
      <c r="F3069" s="5" t="s">
        <v>39</v>
      </c>
      <c r="G3069" s="6" t="n">
        <v>625</v>
      </c>
      <c r="H3069" s="6" t="n">
        <v>150</v>
      </c>
      <c r="I3069" s="7" t="n">
        <f aca="false">(G3069-H3069)/G3069</f>
        <v>0.76</v>
      </c>
      <c r="J3069" s="15" t="n">
        <v>0.582</v>
      </c>
      <c r="K3069" s="11" t="str">
        <f aca="false">IF(I3069&lt;J3069,"TAK","NIE")</f>
        <v>NIE</v>
      </c>
    </row>
    <row r="3070" customFormat="false" ht="15" hidden="false" customHeight="false" outlineLevel="0" collapsed="false">
      <c r="A3070" s="5" t="s">
        <v>640</v>
      </c>
      <c r="B3070" s="5" t="s">
        <v>78</v>
      </c>
      <c r="C3070" s="5" t="n">
        <v>2022</v>
      </c>
      <c r="D3070" s="5" t="s">
        <v>77</v>
      </c>
      <c r="E3070" s="5" t="s">
        <v>57</v>
      </c>
      <c r="F3070" s="5" t="s">
        <v>39</v>
      </c>
      <c r="G3070" s="6" t="n">
        <v>625</v>
      </c>
      <c r="H3070" s="6" t="n">
        <v>70</v>
      </c>
      <c r="I3070" s="7" t="n">
        <f aca="false">(G3070-H3070)/G3070</f>
        <v>0.888</v>
      </c>
      <c r="J3070" s="15" t="n">
        <v>0.582</v>
      </c>
      <c r="K3070" s="11" t="str">
        <f aca="false">IF(I3070&lt;J3070,"TAK","NIE")</f>
        <v>NIE</v>
      </c>
    </row>
    <row r="3071" customFormat="false" ht="15" hidden="false" customHeight="false" outlineLevel="0" collapsed="false">
      <c r="A3071" s="5" t="s">
        <v>617</v>
      </c>
      <c r="B3071" s="5" t="s">
        <v>78</v>
      </c>
      <c r="C3071" s="5" t="n">
        <v>2022</v>
      </c>
      <c r="D3071" s="5" t="s">
        <v>77</v>
      </c>
      <c r="E3071" s="5" t="s">
        <v>57</v>
      </c>
      <c r="F3071" s="5" t="s">
        <v>40</v>
      </c>
      <c r="G3071" s="6" t="n">
        <v>560</v>
      </c>
      <c r="H3071" s="6" t="n">
        <v>216</v>
      </c>
      <c r="I3071" s="7" t="n">
        <f aca="false">(G3071-H3071)/G3071</f>
        <v>0.614285714285714</v>
      </c>
      <c r="J3071" s="15" t="n">
        <v>0.4448</v>
      </c>
      <c r="K3071" s="11" t="str">
        <f aca="false">IF(I3071&lt;J3071,"TAK","NIE")</f>
        <v>NIE</v>
      </c>
    </row>
    <row r="3072" customFormat="false" ht="15" hidden="false" customHeight="false" outlineLevel="0" collapsed="false">
      <c r="A3072" s="5" t="s">
        <v>618</v>
      </c>
      <c r="B3072" s="5" t="s">
        <v>78</v>
      </c>
      <c r="C3072" s="5" t="n">
        <v>2022</v>
      </c>
      <c r="D3072" s="5" t="s">
        <v>77</v>
      </c>
      <c r="E3072" s="5" t="s">
        <v>57</v>
      </c>
      <c r="F3072" s="5" t="s">
        <v>40</v>
      </c>
      <c r="G3072" s="6" t="n">
        <v>560</v>
      </c>
      <c r="H3072" s="6" t="n">
        <v>168</v>
      </c>
      <c r="I3072" s="7" t="n">
        <f aca="false">(G3072-H3072)/G3072</f>
        <v>0.7</v>
      </c>
      <c r="J3072" s="15" t="n">
        <v>0.4448</v>
      </c>
      <c r="K3072" s="11" t="str">
        <f aca="false">IF(I3072&lt;J3072,"TAK","NIE")</f>
        <v>NIE</v>
      </c>
    </row>
    <row r="3073" customFormat="false" ht="15" hidden="false" customHeight="false" outlineLevel="0" collapsed="false">
      <c r="A3073" s="5" t="s">
        <v>619</v>
      </c>
      <c r="B3073" s="5" t="s">
        <v>78</v>
      </c>
      <c r="C3073" s="5" t="n">
        <v>2022</v>
      </c>
      <c r="D3073" s="5" t="s">
        <v>77</v>
      </c>
      <c r="E3073" s="5" t="s">
        <v>57</v>
      </c>
      <c r="F3073" s="5" t="s">
        <v>40</v>
      </c>
      <c r="G3073" s="6" t="n">
        <v>554</v>
      </c>
      <c r="H3073" s="6" t="n">
        <v>233</v>
      </c>
      <c r="I3073" s="7" t="n">
        <f aca="false">(G3073-H3073)/G3073</f>
        <v>0.57942238267148</v>
      </c>
      <c r="J3073" s="15" t="n">
        <v>0.4448</v>
      </c>
      <c r="K3073" s="11" t="str">
        <f aca="false">IF(I3073&lt;J3073,"TAK","NIE")</f>
        <v>NIE</v>
      </c>
    </row>
    <row r="3074" customFormat="false" ht="15" hidden="false" customHeight="false" outlineLevel="0" collapsed="false">
      <c r="A3074" s="5" t="s">
        <v>620</v>
      </c>
      <c r="B3074" s="5" t="s">
        <v>78</v>
      </c>
      <c r="C3074" s="5" t="n">
        <v>2022</v>
      </c>
      <c r="D3074" s="5" t="s">
        <v>77</v>
      </c>
      <c r="E3074" s="5" t="s">
        <v>57</v>
      </c>
      <c r="F3074" s="5" t="s">
        <v>40</v>
      </c>
      <c r="G3074" s="6" t="n">
        <v>554</v>
      </c>
      <c r="H3074" s="6" t="n">
        <v>174</v>
      </c>
      <c r="I3074" s="7" t="n">
        <f aca="false">(G3074-H3074)/G3074</f>
        <v>0.685920577617329</v>
      </c>
      <c r="J3074" s="15" t="n">
        <v>0.4448</v>
      </c>
      <c r="K3074" s="11" t="str">
        <f aca="false">IF(I3074&lt;J3074,"TAK","NIE")</f>
        <v>NIE</v>
      </c>
    </row>
    <row r="3075" customFormat="false" ht="15" hidden="false" customHeight="false" outlineLevel="0" collapsed="false">
      <c r="A3075" s="5" t="s">
        <v>621</v>
      </c>
      <c r="B3075" s="5" t="s">
        <v>78</v>
      </c>
      <c r="C3075" s="5" t="n">
        <v>2022</v>
      </c>
      <c r="D3075" s="5" t="s">
        <v>77</v>
      </c>
      <c r="E3075" s="5" t="s">
        <v>57</v>
      </c>
      <c r="F3075" s="5" t="s">
        <v>40</v>
      </c>
      <c r="G3075" s="6" t="n">
        <v>560</v>
      </c>
      <c r="H3075" s="6" t="n">
        <v>95</v>
      </c>
      <c r="I3075" s="7" t="n">
        <f aca="false">(G3075-H3075)/G3075</f>
        <v>0.830357142857143</v>
      </c>
      <c r="J3075" s="15" t="n">
        <v>0.4448</v>
      </c>
      <c r="K3075" s="11" t="str">
        <f aca="false">IF(I3075&lt;J3075,"TAK","NIE")</f>
        <v>NIE</v>
      </c>
    </row>
    <row r="3076" customFormat="false" ht="15" hidden="false" customHeight="false" outlineLevel="0" collapsed="false">
      <c r="A3076" s="5" t="s">
        <v>622</v>
      </c>
      <c r="B3076" s="5" t="s">
        <v>78</v>
      </c>
      <c r="C3076" s="5" t="n">
        <v>2022</v>
      </c>
      <c r="D3076" s="5" t="s">
        <v>77</v>
      </c>
      <c r="E3076" s="5" t="s">
        <v>57</v>
      </c>
      <c r="F3076" s="5" t="s">
        <v>40</v>
      </c>
      <c r="G3076" s="6" t="n">
        <v>554</v>
      </c>
      <c r="H3076" s="6" t="n">
        <v>116</v>
      </c>
      <c r="I3076" s="7" t="n">
        <f aca="false">(G3076-H3076)/G3076</f>
        <v>0.790613718411552</v>
      </c>
      <c r="J3076" s="15" t="n">
        <v>0.4448</v>
      </c>
      <c r="K3076" s="11" t="str">
        <f aca="false">IF(I3076&lt;J3076,"TAK","NIE")</f>
        <v>NIE</v>
      </c>
    </row>
    <row r="3077" customFormat="false" ht="15" hidden="false" customHeight="false" outlineLevel="0" collapsed="false">
      <c r="A3077" s="5" t="s">
        <v>623</v>
      </c>
      <c r="B3077" s="5" t="s">
        <v>78</v>
      </c>
      <c r="C3077" s="5" t="n">
        <v>2022</v>
      </c>
      <c r="D3077" s="5" t="s">
        <v>77</v>
      </c>
      <c r="E3077" s="5" t="s">
        <v>57</v>
      </c>
      <c r="F3077" s="5" t="s">
        <v>40</v>
      </c>
      <c r="G3077" s="6" t="n">
        <v>554</v>
      </c>
      <c r="H3077" s="6" t="n">
        <v>113</v>
      </c>
      <c r="I3077" s="7" t="n">
        <f aca="false">(G3077-H3077)/G3077</f>
        <v>0.796028880866426</v>
      </c>
      <c r="J3077" s="15" t="n">
        <v>0.4448</v>
      </c>
      <c r="K3077" s="11" t="str">
        <f aca="false">IF(I3077&lt;J3077,"TAK","NIE")</f>
        <v>NIE</v>
      </c>
    </row>
    <row r="3078" customFormat="false" ht="15" hidden="false" customHeight="false" outlineLevel="0" collapsed="false">
      <c r="A3078" s="5" t="s">
        <v>624</v>
      </c>
      <c r="B3078" s="5" t="s">
        <v>78</v>
      </c>
      <c r="C3078" s="5" t="n">
        <v>2022</v>
      </c>
      <c r="D3078" s="5" t="s">
        <v>77</v>
      </c>
      <c r="E3078" s="5" t="s">
        <v>57</v>
      </c>
      <c r="F3078" s="5" t="s">
        <v>40</v>
      </c>
      <c r="G3078" s="6" t="n">
        <v>554</v>
      </c>
      <c r="H3078" s="6" t="n">
        <v>187</v>
      </c>
      <c r="I3078" s="7" t="n">
        <f aca="false">(G3078-H3078)/G3078</f>
        <v>0.662454873646209</v>
      </c>
      <c r="J3078" s="15" t="n">
        <v>0.4448</v>
      </c>
      <c r="K3078" s="11" t="str">
        <f aca="false">IF(I3078&lt;J3078,"TAK","NIE")</f>
        <v>NIE</v>
      </c>
    </row>
    <row r="3079" customFormat="false" ht="15" hidden="false" customHeight="false" outlineLevel="0" collapsed="false">
      <c r="A3079" s="5" t="s">
        <v>625</v>
      </c>
      <c r="B3079" s="5" t="s">
        <v>78</v>
      </c>
      <c r="C3079" s="5" t="n">
        <v>2022</v>
      </c>
      <c r="D3079" s="5" t="s">
        <v>77</v>
      </c>
      <c r="E3079" s="5" t="s">
        <v>57</v>
      </c>
      <c r="F3079" s="5" t="s">
        <v>40</v>
      </c>
      <c r="G3079" s="6" t="n">
        <v>537</v>
      </c>
      <c r="H3079" s="6" t="n">
        <v>260</v>
      </c>
      <c r="I3079" s="7" t="n">
        <f aca="false">(G3079-H3079)/G3079</f>
        <v>0.515828677839851</v>
      </c>
      <c r="J3079" s="15" t="n">
        <v>0.4448</v>
      </c>
      <c r="K3079" s="11" t="str">
        <f aca="false">IF(I3079&lt;J3079,"TAK","NIE")</f>
        <v>NIE</v>
      </c>
    </row>
    <row r="3080" customFormat="false" ht="15" hidden="false" customHeight="false" outlineLevel="0" collapsed="false">
      <c r="A3080" s="5" t="s">
        <v>626</v>
      </c>
      <c r="B3080" s="5" t="s">
        <v>78</v>
      </c>
      <c r="C3080" s="5" t="n">
        <v>2022</v>
      </c>
      <c r="D3080" s="5" t="s">
        <v>77</v>
      </c>
      <c r="E3080" s="5" t="s">
        <v>57</v>
      </c>
      <c r="F3080" s="5" t="s">
        <v>40</v>
      </c>
      <c r="G3080" s="6" t="n">
        <v>543</v>
      </c>
      <c r="H3080" s="6" t="n">
        <v>142</v>
      </c>
      <c r="I3080" s="7" t="n">
        <f aca="false">(G3080-H3080)/G3080</f>
        <v>0.738489871086556</v>
      </c>
      <c r="J3080" s="15" t="n">
        <v>0.4448</v>
      </c>
      <c r="K3080" s="11" t="str">
        <f aca="false">IF(I3080&lt;J3080,"TAK","NIE")</f>
        <v>NIE</v>
      </c>
    </row>
    <row r="3081" customFormat="false" ht="15" hidden="false" customHeight="false" outlineLevel="0" collapsed="false">
      <c r="A3081" s="5" t="s">
        <v>627</v>
      </c>
      <c r="B3081" s="5" t="s">
        <v>78</v>
      </c>
      <c r="C3081" s="5" t="n">
        <v>2022</v>
      </c>
      <c r="D3081" s="5" t="s">
        <v>77</v>
      </c>
      <c r="E3081" s="5" t="s">
        <v>57</v>
      </c>
      <c r="F3081" s="5" t="s">
        <v>40</v>
      </c>
      <c r="G3081" s="6" t="n">
        <v>560</v>
      </c>
      <c r="H3081" s="6" t="n">
        <v>160</v>
      </c>
      <c r="I3081" s="7" t="n">
        <f aca="false">(G3081-H3081)/G3081</f>
        <v>0.714285714285714</v>
      </c>
      <c r="J3081" s="15" t="n">
        <v>0.4448</v>
      </c>
      <c r="K3081" s="11" t="str">
        <f aca="false">IF(I3081&lt;J3081,"TAK","NIE")</f>
        <v>NIE</v>
      </c>
    </row>
    <row r="3082" customFormat="false" ht="15" hidden="false" customHeight="false" outlineLevel="0" collapsed="false">
      <c r="A3082" s="5" t="s">
        <v>628</v>
      </c>
      <c r="B3082" s="5" t="s">
        <v>78</v>
      </c>
      <c r="C3082" s="5" t="n">
        <v>2022</v>
      </c>
      <c r="D3082" s="5" t="s">
        <v>77</v>
      </c>
      <c r="E3082" s="5" t="s">
        <v>57</v>
      </c>
      <c r="F3082" s="5" t="s">
        <v>40</v>
      </c>
      <c r="G3082" s="6" t="n">
        <v>554</v>
      </c>
      <c r="H3082" s="6" t="n">
        <v>325</v>
      </c>
      <c r="I3082" s="7" t="n">
        <f aca="false">(G3082-H3082)/G3082</f>
        <v>0.413357400722022</v>
      </c>
      <c r="J3082" s="15" t="n">
        <v>0.4448</v>
      </c>
      <c r="K3082" s="11" t="str">
        <f aca="false">IF(I3082&lt;J3082,"TAK","NIE")</f>
        <v>TAK</v>
      </c>
    </row>
    <row r="3083" customFormat="false" ht="15" hidden="false" customHeight="false" outlineLevel="0" collapsed="false">
      <c r="A3083" s="5" t="s">
        <v>629</v>
      </c>
      <c r="B3083" s="5" t="s">
        <v>78</v>
      </c>
      <c r="C3083" s="5" t="n">
        <v>2022</v>
      </c>
      <c r="D3083" s="5" t="s">
        <v>77</v>
      </c>
      <c r="E3083" s="5" t="s">
        <v>57</v>
      </c>
      <c r="F3083" s="5" t="s">
        <v>40</v>
      </c>
      <c r="G3083" s="6" t="n">
        <v>554</v>
      </c>
      <c r="H3083" s="6" t="n">
        <v>177</v>
      </c>
      <c r="I3083" s="7" t="n">
        <f aca="false">(G3083-H3083)/G3083</f>
        <v>0.680505415162455</v>
      </c>
      <c r="J3083" s="15" t="n">
        <v>0.4448</v>
      </c>
      <c r="K3083" s="11" t="str">
        <f aca="false">IF(I3083&lt;J3083,"TAK","NIE")</f>
        <v>NIE</v>
      </c>
    </row>
    <row r="3084" customFormat="false" ht="15" hidden="false" customHeight="false" outlineLevel="0" collapsed="false">
      <c r="A3084" s="5" t="s">
        <v>630</v>
      </c>
      <c r="B3084" s="5" t="s">
        <v>78</v>
      </c>
      <c r="C3084" s="5" t="n">
        <v>2022</v>
      </c>
      <c r="D3084" s="5" t="s">
        <v>77</v>
      </c>
      <c r="E3084" s="5" t="s">
        <v>57</v>
      </c>
      <c r="F3084" s="5" t="s">
        <v>40</v>
      </c>
      <c r="G3084" s="6" t="n">
        <v>541</v>
      </c>
      <c r="H3084" s="6" t="n">
        <v>198</v>
      </c>
      <c r="I3084" s="7" t="n">
        <f aca="false">(G3084-H3084)/G3084</f>
        <v>0.634011090573013</v>
      </c>
      <c r="J3084" s="15" t="n">
        <v>0.4448</v>
      </c>
      <c r="K3084" s="11" t="str">
        <f aca="false">IF(I3084&lt;J3084,"TAK","NIE")</f>
        <v>NIE</v>
      </c>
    </row>
    <row r="3085" customFormat="false" ht="15" hidden="false" customHeight="false" outlineLevel="0" collapsed="false">
      <c r="A3085" s="5" t="s">
        <v>631</v>
      </c>
      <c r="B3085" s="5" t="s">
        <v>78</v>
      </c>
      <c r="C3085" s="5" t="n">
        <v>2022</v>
      </c>
      <c r="D3085" s="5" t="s">
        <v>77</v>
      </c>
      <c r="E3085" s="5" t="s">
        <v>57</v>
      </c>
      <c r="F3085" s="5" t="s">
        <v>40</v>
      </c>
      <c r="G3085" s="6" t="n">
        <v>554</v>
      </c>
      <c r="H3085" s="6" t="n">
        <v>126</v>
      </c>
      <c r="I3085" s="7" t="n">
        <f aca="false">(G3085-H3085)/G3085</f>
        <v>0.772563176895307</v>
      </c>
      <c r="J3085" s="15" t="n">
        <v>0.4448</v>
      </c>
      <c r="K3085" s="11" t="str">
        <f aca="false">IF(I3085&lt;J3085,"TAK","NIE")</f>
        <v>NIE</v>
      </c>
    </row>
    <row r="3086" customFormat="false" ht="15" hidden="false" customHeight="false" outlineLevel="0" collapsed="false">
      <c r="A3086" s="5" t="s">
        <v>632</v>
      </c>
      <c r="B3086" s="5" t="s">
        <v>78</v>
      </c>
      <c r="C3086" s="5" t="n">
        <v>2022</v>
      </c>
      <c r="D3086" s="5" t="s">
        <v>77</v>
      </c>
      <c r="E3086" s="5" t="s">
        <v>57</v>
      </c>
      <c r="F3086" s="5" t="s">
        <v>40</v>
      </c>
      <c r="G3086" s="6" t="n">
        <v>560</v>
      </c>
      <c r="H3086" s="6" t="n">
        <v>166</v>
      </c>
      <c r="I3086" s="7" t="n">
        <f aca="false">(G3086-H3086)/G3086</f>
        <v>0.703571428571429</v>
      </c>
      <c r="J3086" s="15" t="n">
        <v>0.4448</v>
      </c>
      <c r="K3086" s="11" t="str">
        <f aca="false">IF(I3086&lt;J3086,"TAK","NIE")</f>
        <v>NIE</v>
      </c>
    </row>
    <row r="3087" customFormat="false" ht="15" hidden="false" customHeight="false" outlineLevel="0" collapsed="false">
      <c r="A3087" s="5" t="s">
        <v>633</v>
      </c>
      <c r="B3087" s="5" t="s">
        <v>78</v>
      </c>
      <c r="C3087" s="5" t="n">
        <v>2022</v>
      </c>
      <c r="D3087" s="5" t="s">
        <v>77</v>
      </c>
      <c r="E3087" s="5" t="s">
        <v>57</v>
      </c>
      <c r="F3087" s="5" t="s">
        <v>40</v>
      </c>
      <c r="G3087" s="6" t="n">
        <v>554</v>
      </c>
      <c r="H3087" s="6" t="n">
        <v>174</v>
      </c>
      <c r="I3087" s="7" t="n">
        <f aca="false">(G3087-H3087)/G3087</f>
        <v>0.685920577617329</v>
      </c>
      <c r="J3087" s="15" t="n">
        <v>0.4448</v>
      </c>
      <c r="K3087" s="11" t="str">
        <f aca="false">IF(I3087&lt;J3087,"TAK","NIE")</f>
        <v>NIE</v>
      </c>
    </row>
    <row r="3088" customFormat="false" ht="15" hidden="false" customHeight="false" outlineLevel="0" collapsed="false">
      <c r="A3088" s="5" t="s">
        <v>634</v>
      </c>
      <c r="B3088" s="5" t="s">
        <v>78</v>
      </c>
      <c r="C3088" s="5" t="n">
        <v>2022</v>
      </c>
      <c r="D3088" s="5" t="s">
        <v>77</v>
      </c>
      <c r="E3088" s="5" t="s">
        <v>57</v>
      </c>
      <c r="F3088" s="5" t="s">
        <v>40</v>
      </c>
      <c r="G3088" s="6" t="n">
        <v>560</v>
      </c>
      <c r="H3088" s="6" t="n">
        <v>166</v>
      </c>
      <c r="I3088" s="7" t="n">
        <f aca="false">(G3088-H3088)/G3088</f>
        <v>0.703571428571429</v>
      </c>
      <c r="J3088" s="15" t="n">
        <v>0.4448</v>
      </c>
      <c r="K3088" s="11" t="str">
        <f aca="false">IF(I3088&lt;J3088,"TAK","NIE")</f>
        <v>NIE</v>
      </c>
    </row>
    <row r="3089" customFormat="false" ht="15" hidden="false" customHeight="false" outlineLevel="0" collapsed="false">
      <c r="A3089" s="5" t="s">
        <v>635</v>
      </c>
      <c r="B3089" s="5" t="s">
        <v>78</v>
      </c>
      <c r="C3089" s="5" t="n">
        <v>2022</v>
      </c>
      <c r="D3089" s="5" t="s">
        <v>77</v>
      </c>
      <c r="E3089" s="5" t="s">
        <v>57</v>
      </c>
      <c r="F3089" s="5" t="s">
        <v>40</v>
      </c>
      <c r="G3089" s="6" t="n">
        <v>560</v>
      </c>
      <c r="H3089" s="6" t="n">
        <v>235</v>
      </c>
      <c r="I3089" s="7" t="n">
        <f aca="false">(G3089-H3089)/G3089</f>
        <v>0.580357142857143</v>
      </c>
      <c r="J3089" s="15" t="n">
        <v>0.4448</v>
      </c>
      <c r="K3089" s="11" t="str">
        <f aca="false">IF(I3089&lt;J3089,"TAK","NIE")</f>
        <v>NIE</v>
      </c>
    </row>
    <row r="3090" customFormat="false" ht="15" hidden="false" customHeight="false" outlineLevel="0" collapsed="false">
      <c r="A3090" s="5" t="s">
        <v>636</v>
      </c>
      <c r="B3090" s="5" t="s">
        <v>78</v>
      </c>
      <c r="C3090" s="5" t="n">
        <v>2022</v>
      </c>
      <c r="D3090" s="5" t="s">
        <v>77</v>
      </c>
      <c r="E3090" s="5" t="s">
        <v>57</v>
      </c>
      <c r="F3090" s="5" t="s">
        <v>40</v>
      </c>
      <c r="G3090" s="6" t="n">
        <v>560</v>
      </c>
      <c r="H3090" s="6" t="n">
        <v>247</v>
      </c>
      <c r="I3090" s="7" t="n">
        <f aca="false">(G3090-H3090)/G3090</f>
        <v>0.558928571428571</v>
      </c>
      <c r="J3090" s="15" t="n">
        <v>0.4448</v>
      </c>
      <c r="K3090" s="11" t="str">
        <f aca="false">IF(I3090&lt;J3090,"TAK","NIE")</f>
        <v>NIE</v>
      </c>
    </row>
    <row r="3091" customFormat="false" ht="15" hidden="false" customHeight="false" outlineLevel="0" collapsed="false">
      <c r="A3091" s="5" t="s">
        <v>637</v>
      </c>
      <c r="B3091" s="5" t="s">
        <v>78</v>
      </c>
      <c r="C3091" s="5" t="n">
        <v>2022</v>
      </c>
      <c r="D3091" s="5" t="s">
        <v>77</v>
      </c>
      <c r="E3091" s="5" t="s">
        <v>57</v>
      </c>
      <c r="F3091" s="5" t="s">
        <v>40</v>
      </c>
      <c r="G3091" s="6" t="n">
        <v>554</v>
      </c>
      <c r="H3091" s="6" t="n">
        <v>64</v>
      </c>
      <c r="I3091" s="7" t="n">
        <f aca="false">(G3091-H3091)/G3091</f>
        <v>0.884476534296029</v>
      </c>
      <c r="J3091" s="15" t="n">
        <v>0.4448</v>
      </c>
      <c r="K3091" s="11" t="str">
        <f aca="false">IF(I3091&lt;J3091,"TAK","NIE")</f>
        <v>NIE</v>
      </c>
    </row>
    <row r="3092" customFormat="false" ht="15" hidden="false" customHeight="false" outlineLevel="0" collapsed="false">
      <c r="A3092" s="5" t="s">
        <v>639</v>
      </c>
      <c r="B3092" s="5" t="s">
        <v>78</v>
      </c>
      <c r="C3092" s="5" t="n">
        <v>2022</v>
      </c>
      <c r="D3092" s="5" t="s">
        <v>77</v>
      </c>
      <c r="E3092" s="5" t="s">
        <v>57</v>
      </c>
      <c r="F3092" s="5" t="s">
        <v>40</v>
      </c>
      <c r="G3092" s="6" t="n">
        <v>560</v>
      </c>
      <c r="H3092" s="6" t="n">
        <v>195</v>
      </c>
      <c r="I3092" s="7" t="n">
        <f aca="false">(G3092-H3092)/G3092</f>
        <v>0.651785714285714</v>
      </c>
      <c r="J3092" s="15" t="n">
        <v>0.4448</v>
      </c>
      <c r="K3092" s="11" t="str">
        <f aca="false">IF(I3092&lt;J3092,"TAK","NIE")</f>
        <v>NIE</v>
      </c>
    </row>
    <row r="3093" customFormat="false" ht="15" hidden="false" customHeight="false" outlineLevel="0" collapsed="false">
      <c r="A3093" s="5" t="s">
        <v>640</v>
      </c>
      <c r="B3093" s="5" t="s">
        <v>78</v>
      </c>
      <c r="C3093" s="5" t="n">
        <v>2022</v>
      </c>
      <c r="D3093" s="5" t="s">
        <v>77</v>
      </c>
      <c r="E3093" s="5" t="s">
        <v>57</v>
      </c>
      <c r="F3093" s="5" t="s">
        <v>40</v>
      </c>
      <c r="G3093" s="6" t="n">
        <v>554</v>
      </c>
      <c r="H3093" s="6" t="n">
        <v>139</v>
      </c>
      <c r="I3093" s="7" t="n">
        <f aca="false">(G3093-H3093)/G3093</f>
        <v>0.749097472924188</v>
      </c>
      <c r="J3093" s="15" t="n">
        <v>0.4448</v>
      </c>
      <c r="K3093" s="11" t="str">
        <f aca="false">IF(I3093&lt;J3093,"TAK","NIE")</f>
        <v>NIE</v>
      </c>
    </row>
    <row r="3094" customFormat="false" ht="15" hidden="false" customHeight="false" outlineLevel="0" collapsed="false">
      <c r="A3094" s="5" t="s">
        <v>617</v>
      </c>
      <c r="B3094" s="5" t="s">
        <v>79</v>
      </c>
      <c r="C3094" s="5" t="n">
        <v>2022</v>
      </c>
      <c r="D3094" s="5" t="s">
        <v>77</v>
      </c>
      <c r="E3094" s="5" t="s">
        <v>75</v>
      </c>
      <c r="F3094" s="5" t="s">
        <v>39</v>
      </c>
      <c r="G3094" s="6" t="n">
        <v>561</v>
      </c>
      <c r="H3094" s="6" t="n">
        <v>187</v>
      </c>
      <c r="I3094" s="7" t="n">
        <f aca="false">(G3094-H3094)/G3094</f>
        <v>0.666666666666667</v>
      </c>
      <c r="J3094" s="15" t="n">
        <v>0.453</v>
      </c>
      <c r="K3094" s="11" t="str">
        <f aca="false">IF(I3094&lt;J3094,"TAK","NIE")</f>
        <v>NIE</v>
      </c>
    </row>
    <row r="3095" customFormat="false" ht="15" hidden="false" customHeight="false" outlineLevel="0" collapsed="false">
      <c r="A3095" s="5" t="s">
        <v>618</v>
      </c>
      <c r="B3095" s="5" t="s">
        <v>79</v>
      </c>
      <c r="C3095" s="5" t="n">
        <v>2022</v>
      </c>
      <c r="D3095" s="5" t="s">
        <v>77</v>
      </c>
      <c r="E3095" s="5" t="s">
        <v>75</v>
      </c>
      <c r="F3095" s="5" t="s">
        <v>39</v>
      </c>
      <c r="G3095" s="6" t="n">
        <v>565</v>
      </c>
      <c r="H3095" s="6" t="n">
        <v>82</v>
      </c>
      <c r="I3095" s="7" t="n">
        <f aca="false">(G3095-H3095)/G3095</f>
        <v>0.854867256637168</v>
      </c>
      <c r="J3095" s="15" t="n">
        <v>0.453</v>
      </c>
      <c r="K3095" s="11" t="str">
        <f aca="false">IF(I3095&lt;J3095,"TAK","NIE")</f>
        <v>NIE</v>
      </c>
    </row>
    <row r="3096" customFormat="false" ht="15" hidden="false" customHeight="false" outlineLevel="0" collapsed="false">
      <c r="A3096" s="5" t="s">
        <v>619</v>
      </c>
      <c r="B3096" s="5" t="s">
        <v>79</v>
      </c>
      <c r="C3096" s="5" t="n">
        <v>2022</v>
      </c>
      <c r="D3096" s="5" t="s">
        <v>77</v>
      </c>
      <c r="E3096" s="5" t="s">
        <v>75</v>
      </c>
      <c r="F3096" s="5" t="s">
        <v>39</v>
      </c>
      <c r="G3096" s="6" t="n">
        <v>561</v>
      </c>
      <c r="H3096" s="6" t="n">
        <v>79</v>
      </c>
      <c r="I3096" s="7" t="n">
        <f aca="false">(G3096-H3096)/G3096</f>
        <v>0.859180035650624</v>
      </c>
      <c r="J3096" s="15" t="n">
        <v>0.453</v>
      </c>
      <c r="K3096" s="11" t="str">
        <f aca="false">IF(I3096&lt;J3096,"TAK","NIE")</f>
        <v>NIE</v>
      </c>
    </row>
    <row r="3097" customFormat="false" ht="15" hidden="false" customHeight="false" outlineLevel="0" collapsed="false">
      <c r="A3097" s="5" t="s">
        <v>620</v>
      </c>
      <c r="B3097" s="5" t="s">
        <v>79</v>
      </c>
      <c r="C3097" s="5" t="n">
        <v>2022</v>
      </c>
      <c r="D3097" s="5" t="s">
        <v>77</v>
      </c>
      <c r="E3097" s="5" t="s">
        <v>75</v>
      </c>
      <c r="F3097" s="5" t="s">
        <v>39</v>
      </c>
      <c r="G3097" s="6" t="n">
        <v>561</v>
      </c>
      <c r="H3097" s="6" t="n">
        <v>173</v>
      </c>
      <c r="I3097" s="7" t="n">
        <f aca="false">(G3097-H3097)/G3097</f>
        <v>0.691622103386809</v>
      </c>
      <c r="J3097" s="15" t="n">
        <v>0.453</v>
      </c>
      <c r="K3097" s="11" t="str">
        <f aca="false">IF(I3097&lt;J3097,"TAK","NIE")</f>
        <v>NIE</v>
      </c>
    </row>
    <row r="3098" customFormat="false" ht="15" hidden="false" customHeight="false" outlineLevel="0" collapsed="false">
      <c r="A3098" s="5" t="s">
        <v>621</v>
      </c>
      <c r="B3098" s="5" t="s">
        <v>79</v>
      </c>
      <c r="C3098" s="5" t="n">
        <v>2022</v>
      </c>
      <c r="D3098" s="5" t="s">
        <v>77</v>
      </c>
      <c r="E3098" s="5" t="s">
        <v>75</v>
      </c>
      <c r="F3098" s="5" t="s">
        <v>39</v>
      </c>
      <c r="G3098" s="6" t="n">
        <v>565</v>
      </c>
      <c r="H3098" s="6" t="n">
        <v>60</v>
      </c>
      <c r="I3098" s="7" t="n">
        <f aca="false">(G3098-H3098)/G3098</f>
        <v>0.893805309734513</v>
      </c>
      <c r="J3098" s="15" t="n">
        <v>0.453</v>
      </c>
      <c r="K3098" s="11" t="str">
        <f aca="false">IF(I3098&lt;J3098,"TAK","NIE")</f>
        <v>NIE</v>
      </c>
    </row>
    <row r="3099" customFormat="false" ht="15" hidden="false" customHeight="false" outlineLevel="0" collapsed="false">
      <c r="A3099" s="5" t="s">
        <v>622</v>
      </c>
      <c r="B3099" s="5" t="s">
        <v>79</v>
      </c>
      <c r="C3099" s="5" t="n">
        <v>2022</v>
      </c>
      <c r="D3099" s="5" t="s">
        <v>77</v>
      </c>
      <c r="E3099" s="5" t="s">
        <v>75</v>
      </c>
      <c r="F3099" s="5" t="s">
        <v>39</v>
      </c>
      <c r="G3099" s="6" t="n">
        <v>561</v>
      </c>
      <c r="H3099" s="6" t="n">
        <v>63</v>
      </c>
      <c r="I3099" s="7" t="n">
        <f aca="false">(G3099-H3099)/G3099</f>
        <v>0.887700534759358</v>
      </c>
      <c r="J3099" s="15" t="n">
        <v>0.453</v>
      </c>
      <c r="K3099" s="11" t="str">
        <f aca="false">IF(I3099&lt;J3099,"TAK","NIE")</f>
        <v>NIE</v>
      </c>
    </row>
    <row r="3100" customFormat="false" ht="15" hidden="false" customHeight="false" outlineLevel="0" collapsed="false">
      <c r="A3100" s="5" t="s">
        <v>623</v>
      </c>
      <c r="B3100" s="5" t="s">
        <v>79</v>
      </c>
      <c r="C3100" s="5" t="n">
        <v>2022</v>
      </c>
      <c r="D3100" s="5" t="s">
        <v>77</v>
      </c>
      <c r="E3100" s="5" t="s">
        <v>75</v>
      </c>
      <c r="F3100" s="5" t="s">
        <v>39</v>
      </c>
      <c r="G3100" s="6" t="n">
        <v>565</v>
      </c>
      <c r="H3100" s="6" t="n">
        <v>88</v>
      </c>
      <c r="I3100" s="7" t="n">
        <f aca="false">(G3100-H3100)/G3100</f>
        <v>0.84424778761062</v>
      </c>
      <c r="J3100" s="15" t="n">
        <v>0.453</v>
      </c>
      <c r="K3100" s="11" t="str">
        <f aca="false">IF(I3100&lt;J3100,"TAK","NIE")</f>
        <v>NIE</v>
      </c>
    </row>
    <row r="3101" customFormat="false" ht="15" hidden="false" customHeight="false" outlineLevel="0" collapsed="false">
      <c r="A3101" s="5" t="s">
        <v>624</v>
      </c>
      <c r="B3101" s="5" t="s">
        <v>79</v>
      </c>
      <c r="C3101" s="5" t="n">
        <v>2022</v>
      </c>
      <c r="D3101" s="5" t="s">
        <v>77</v>
      </c>
      <c r="E3101" s="5" t="s">
        <v>75</v>
      </c>
      <c r="F3101" s="5" t="s">
        <v>39</v>
      </c>
      <c r="G3101" s="6" t="n">
        <v>561</v>
      </c>
      <c r="H3101" s="6" t="n">
        <v>98</v>
      </c>
      <c r="I3101" s="7" t="n">
        <f aca="false">(G3101-H3101)/G3101</f>
        <v>0.825311942959002</v>
      </c>
      <c r="J3101" s="15" t="n">
        <v>0.453</v>
      </c>
      <c r="K3101" s="11" t="str">
        <f aca="false">IF(I3101&lt;J3101,"TAK","NIE")</f>
        <v>NIE</v>
      </c>
    </row>
    <row r="3102" customFormat="false" ht="15" hidden="false" customHeight="false" outlineLevel="0" collapsed="false">
      <c r="A3102" s="5" t="s">
        <v>625</v>
      </c>
      <c r="B3102" s="5" t="s">
        <v>79</v>
      </c>
      <c r="C3102" s="5" t="n">
        <v>2022</v>
      </c>
      <c r="D3102" s="5" t="s">
        <v>77</v>
      </c>
      <c r="E3102" s="5" t="s">
        <v>75</v>
      </c>
      <c r="F3102" s="5" t="s">
        <v>39</v>
      </c>
      <c r="G3102" s="6" t="n">
        <v>541</v>
      </c>
      <c r="H3102" s="6" t="n">
        <v>179</v>
      </c>
      <c r="I3102" s="7" t="n">
        <f aca="false">(G3102-H3102)/G3102</f>
        <v>0.66913123844732</v>
      </c>
      <c r="J3102" s="15" t="n">
        <v>0.453</v>
      </c>
      <c r="K3102" s="11" t="str">
        <f aca="false">IF(I3102&lt;J3102,"TAK","NIE")</f>
        <v>NIE</v>
      </c>
    </row>
    <row r="3103" customFormat="false" ht="15" hidden="false" customHeight="false" outlineLevel="0" collapsed="false">
      <c r="A3103" s="5" t="s">
        <v>626</v>
      </c>
      <c r="B3103" s="5" t="s">
        <v>79</v>
      </c>
      <c r="C3103" s="5" t="n">
        <v>2022</v>
      </c>
      <c r="D3103" s="5" t="s">
        <v>77</v>
      </c>
      <c r="E3103" s="5" t="s">
        <v>75</v>
      </c>
      <c r="F3103" s="5" t="s">
        <v>39</v>
      </c>
      <c r="G3103" s="6" t="n">
        <v>541</v>
      </c>
      <c r="H3103" s="6" t="n">
        <v>140</v>
      </c>
      <c r="I3103" s="7" t="n">
        <f aca="false">(G3103-H3103)/G3103</f>
        <v>0.741219963031423</v>
      </c>
      <c r="J3103" s="15" t="n">
        <v>0.453</v>
      </c>
      <c r="K3103" s="11" t="str">
        <f aca="false">IF(I3103&lt;J3103,"TAK","NIE")</f>
        <v>NIE</v>
      </c>
    </row>
    <row r="3104" customFormat="false" ht="15" hidden="false" customHeight="false" outlineLevel="0" collapsed="false">
      <c r="A3104" s="5" t="s">
        <v>627</v>
      </c>
      <c r="B3104" s="5" t="s">
        <v>79</v>
      </c>
      <c r="C3104" s="5" t="n">
        <v>2022</v>
      </c>
      <c r="D3104" s="5" t="s">
        <v>77</v>
      </c>
      <c r="E3104" s="5" t="s">
        <v>75</v>
      </c>
      <c r="F3104" s="5" t="s">
        <v>39</v>
      </c>
      <c r="G3104" s="6" t="n">
        <v>561</v>
      </c>
      <c r="H3104" s="6" t="n">
        <v>157</v>
      </c>
      <c r="I3104" s="7" t="n">
        <f aca="false">(G3104-H3104)/G3104</f>
        <v>0.720142602495544</v>
      </c>
      <c r="J3104" s="15" t="n">
        <v>0.453</v>
      </c>
      <c r="K3104" s="11" t="str">
        <f aca="false">IF(I3104&lt;J3104,"TAK","NIE")</f>
        <v>NIE</v>
      </c>
    </row>
    <row r="3105" customFormat="false" ht="15" hidden="false" customHeight="false" outlineLevel="0" collapsed="false">
      <c r="A3105" s="5" t="s">
        <v>628</v>
      </c>
      <c r="B3105" s="5" t="s">
        <v>79</v>
      </c>
      <c r="C3105" s="5" t="n">
        <v>2022</v>
      </c>
      <c r="D3105" s="5" t="s">
        <v>77</v>
      </c>
      <c r="E3105" s="5" t="s">
        <v>75</v>
      </c>
      <c r="F3105" s="5" t="s">
        <v>39</v>
      </c>
      <c r="G3105" s="6" t="n">
        <v>558</v>
      </c>
      <c r="H3105" s="6" t="n">
        <v>334</v>
      </c>
      <c r="I3105" s="7" t="n">
        <f aca="false">(G3105-H3105)/G3105</f>
        <v>0.401433691756272</v>
      </c>
      <c r="J3105" s="15" t="n">
        <v>0.453</v>
      </c>
      <c r="K3105" s="11" t="str">
        <f aca="false">IF(I3105&lt;J3105,"TAK","NIE")</f>
        <v>TAK</v>
      </c>
    </row>
    <row r="3106" customFormat="false" ht="15" hidden="false" customHeight="false" outlineLevel="0" collapsed="false">
      <c r="A3106" s="5" t="s">
        <v>629</v>
      </c>
      <c r="B3106" s="5" t="s">
        <v>79</v>
      </c>
      <c r="C3106" s="5" t="n">
        <v>2022</v>
      </c>
      <c r="D3106" s="5" t="s">
        <v>77</v>
      </c>
      <c r="E3106" s="5" t="s">
        <v>75</v>
      </c>
      <c r="F3106" s="5" t="s">
        <v>39</v>
      </c>
      <c r="G3106" s="6" t="n">
        <v>561</v>
      </c>
      <c r="H3106" s="6" t="n">
        <v>130</v>
      </c>
      <c r="I3106" s="7" t="n">
        <f aca="false">(G3106-H3106)/G3106</f>
        <v>0.768270944741533</v>
      </c>
      <c r="J3106" s="15" t="n">
        <v>0.453</v>
      </c>
      <c r="K3106" s="11" t="str">
        <f aca="false">IF(I3106&lt;J3106,"TAK","NIE")</f>
        <v>NIE</v>
      </c>
    </row>
    <row r="3107" customFormat="false" ht="15" hidden="false" customHeight="false" outlineLevel="0" collapsed="false">
      <c r="A3107" s="5" t="s">
        <v>630</v>
      </c>
      <c r="B3107" s="5" t="s">
        <v>79</v>
      </c>
      <c r="C3107" s="5" t="n">
        <v>2022</v>
      </c>
      <c r="D3107" s="5" t="s">
        <v>77</v>
      </c>
      <c r="E3107" s="5" t="s">
        <v>75</v>
      </c>
      <c r="F3107" s="5" t="s">
        <v>39</v>
      </c>
      <c r="G3107" s="6" t="n">
        <v>565</v>
      </c>
      <c r="H3107" s="6" t="n">
        <v>196</v>
      </c>
      <c r="I3107" s="7" t="n">
        <f aca="false">(G3107-H3107)/G3107</f>
        <v>0.653097345132743</v>
      </c>
      <c r="J3107" s="15" t="n">
        <v>0.453</v>
      </c>
      <c r="K3107" s="11" t="str">
        <f aca="false">IF(I3107&lt;J3107,"TAK","NIE")</f>
        <v>NIE</v>
      </c>
    </row>
    <row r="3108" customFormat="false" ht="15" hidden="false" customHeight="false" outlineLevel="0" collapsed="false">
      <c r="A3108" s="5" t="s">
        <v>631</v>
      </c>
      <c r="B3108" s="5" t="s">
        <v>79</v>
      </c>
      <c r="C3108" s="5" t="n">
        <v>2022</v>
      </c>
      <c r="D3108" s="5" t="s">
        <v>77</v>
      </c>
      <c r="E3108" s="5" t="s">
        <v>75</v>
      </c>
      <c r="F3108" s="5" t="s">
        <v>39</v>
      </c>
      <c r="G3108" s="6" t="n">
        <v>561</v>
      </c>
      <c r="H3108" s="6" t="n">
        <v>81</v>
      </c>
      <c r="I3108" s="7" t="n">
        <f aca="false">(G3108-H3108)/G3108</f>
        <v>0.855614973262032</v>
      </c>
      <c r="J3108" s="15" t="n">
        <v>0.453</v>
      </c>
      <c r="K3108" s="11" t="str">
        <f aca="false">IF(I3108&lt;J3108,"TAK","NIE")</f>
        <v>NIE</v>
      </c>
    </row>
    <row r="3109" customFormat="false" ht="15" hidden="false" customHeight="false" outlineLevel="0" collapsed="false">
      <c r="A3109" s="5" t="s">
        <v>632</v>
      </c>
      <c r="B3109" s="5" t="s">
        <v>79</v>
      </c>
      <c r="C3109" s="5" t="n">
        <v>2022</v>
      </c>
      <c r="D3109" s="5" t="s">
        <v>77</v>
      </c>
      <c r="E3109" s="5" t="s">
        <v>75</v>
      </c>
      <c r="F3109" s="5" t="s">
        <v>39</v>
      </c>
      <c r="G3109" s="6" t="n">
        <v>561</v>
      </c>
      <c r="H3109" s="6" t="n">
        <v>67</v>
      </c>
      <c r="I3109" s="7" t="n">
        <f aca="false">(G3109-H3109)/G3109</f>
        <v>0.880570409982175</v>
      </c>
      <c r="J3109" s="15" t="n">
        <v>0.453</v>
      </c>
      <c r="K3109" s="11" t="str">
        <f aca="false">IF(I3109&lt;J3109,"TAK","NIE")</f>
        <v>NIE</v>
      </c>
    </row>
    <row r="3110" customFormat="false" ht="15" hidden="false" customHeight="false" outlineLevel="0" collapsed="false">
      <c r="A3110" s="5" t="s">
        <v>633</v>
      </c>
      <c r="B3110" s="5" t="s">
        <v>79</v>
      </c>
      <c r="C3110" s="5" t="n">
        <v>2022</v>
      </c>
      <c r="D3110" s="5" t="s">
        <v>77</v>
      </c>
      <c r="E3110" s="5" t="s">
        <v>75</v>
      </c>
      <c r="F3110" s="5" t="s">
        <v>39</v>
      </c>
      <c r="G3110" s="6" t="n">
        <v>565</v>
      </c>
      <c r="H3110" s="6" t="n">
        <v>126</v>
      </c>
      <c r="I3110" s="7" t="n">
        <f aca="false">(G3110-H3110)/G3110</f>
        <v>0.776991150442478</v>
      </c>
      <c r="J3110" s="15" t="n">
        <v>0.453</v>
      </c>
      <c r="K3110" s="11" t="str">
        <f aca="false">IF(I3110&lt;J3110,"TAK","NIE")</f>
        <v>NIE</v>
      </c>
    </row>
    <row r="3111" customFormat="false" ht="15" hidden="false" customHeight="false" outlineLevel="0" collapsed="false">
      <c r="A3111" s="5" t="s">
        <v>634</v>
      </c>
      <c r="B3111" s="5" t="s">
        <v>79</v>
      </c>
      <c r="C3111" s="5" t="n">
        <v>2022</v>
      </c>
      <c r="D3111" s="5" t="s">
        <v>77</v>
      </c>
      <c r="E3111" s="5" t="s">
        <v>75</v>
      </c>
      <c r="F3111" s="5" t="s">
        <v>39</v>
      </c>
      <c r="G3111" s="6" t="n">
        <v>565</v>
      </c>
      <c r="H3111" s="6" t="n">
        <v>185</v>
      </c>
      <c r="I3111" s="7" t="n">
        <f aca="false">(G3111-H3111)/G3111</f>
        <v>0.672566371681416</v>
      </c>
      <c r="J3111" s="15" t="n">
        <v>0.453</v>
      </c>
      <c r="K3111" s="11" t="str">
        <f aca="false">IF(I3111&lt;J3111,"TAK","NIE")</f>
        <v>NIE</v>
      </c>
    </row>
    <row r="3112" customFormat="false" ht="15" hidden="false" customHeight="false" outlineLevel="0" collapsed="false">
      <c r="A3112" s="5" t="s">
        <v>635</v>
      </c>
      <c r="B3112" s="5" t="s">
        <v>79</v>
      </c>
      <c r="C3112" s="5" t="n">
        <v>2022</v>
      </c>
      <c r="D3112" s="5" t="s">
        <v>77</v>
      </c>
      <c r="E3112" s="5" t="s">
        <v>75</v>
      </c>
      <c r="F3112" s="5" t="s">
        <v>39</v>
      </c>
      <c r="G3112" s="6" t="n">
        <v>565</v>
      </c>
      <c r="H3112" s="6" t="n">
        <v>171</v>
      </c>
      <c r="I3112" s="7" t="n">
        <f aca="false">(G3112-H3112)/G3112</f>
        <v>0.697345132743363</v>
      </c>
      <c r="J3112" s="15" t="n">
        <v>0.453</v>
      </c>
      <c r="K3112" s="11" t="str">
        <f aca="false">IF(I3112&lt;J3112,"TAK","NIE")</f>
        <v>NIE</v>
      </c>
    </row>
    <row r="3113" customFormat="false" ht="15" hidden="false" customHeight="false" outlineLevel="0" collapsed="false">
      <c r="A3113" s="5" t="s">
        <v>636</v>
      </c>
      <c r="B3113" s="5" t="s">
        <v>79</v>
      </c>
      <c r="C3113" s="5" t="n">
        <v>2022</v>
      </c>
      <c r="D3113" s="5" t="s">
        <v>77</v>
      </c>
      <c r="E3113" s="5" t="s">
        <v>75</v>
      </c>
      <c r="F3113" s="5" t="s">
        <v>39</v>
      </c>
      <c r="G3113" s="6" t="n">
        <v>561</v>
      </c>
      <c r="H3113" s="6" t="n">
        <v>164</v>
      </c>
      <c r="I3113" s="7" t="n">
        <f aca="false">(G3113-H3113)/G3113</f>
        <v>0.707664884135472</v>
      </c>
      <c r="J3113" s="15" t="n">
        <v>0.453</v>
      </c>
      <c r="K3113" s="11" t="str">
        <f aca="false">IF(I3113&lt;J3113,"TAK","NIE")</f>
        <v>NIE</v>
      </c>
    </row>
    <row r="3114" customFormat="false" ht="15" hidden="false" customHeight="false" outlineLevel="0" collapsed="false">
      <c r="A3114" s="5" t="s">
        <v>637</v>
      </c>
      <c r="B3114" s="5" t="s">
        <v>79</v>
      </c>
      <c r="C3114" s="5" t="n">
        <v>2022</v>
      </c>
      <c r="D3114" s="5" t="s">
        <v>77</v>
      </c>
      <c r="E3114" s="5" t="s">
        <v>75</v>
      </c>
      <c r="F3114" s="5" t="s">
        <v>39</v>
      </c>
      <c r="G3114" s="6" t="n">
        <v>565</v>
      </c>
      <c r="H3114" s="6" t="n">
        <v>62</v>
      </c>
      <c r="I3114" s="7" t="n">
        <f aca="false">(G3114-H3114)/G3114</f>
        <v>0.890265486725664</v>
      </c>
      <c r="J3114" s="15" t="n">
        <v>0.453</v>
      </c>
      <c r="K3114" s="11" t="str">
        <f aca="false">IF(I3114&lt;J3114,"TAK","NIE")</f>
        <v>NIE</v>
      </c>
    </row>
    <row r="3115" customFormat="false" ht="15" hidden="false" customHeight="false" outlineLevel="0" collapsed="false">
      <c r="A3115" s="5" t="s">
        <v>639</v>
      </c>
      <c r="B3115" s="5" t="s">
        <v>79</v>
      </c>
      <c r="C3115" s="5" t="n">
        <v>2022</v>
      </c>
      <c r="D3115" s="5" t="s">
        <v>77</v>
      </c>
      <c r="E3115" s="5" t="s">
        <v>75</v>
      </c>
      <c r="F3115" s="5" t="s">
        <v>39</v>
      </c>
      <c r="G3115" s="6" t="n">
        <v>561</v>
      </c>
      <c r="H3115" s="6" t="n">
        <v>135</v>
      </c>
      <c r="I3115" s="7" t="n">
        <f aca="false">(G3115-H3115)/G3115</f>
        <v>0.759358288770054</v>
      </c>
      <c r="J3115" s="15" t="n">
        <v>0.453</v>
      </c>
      <c r="K3115" s="11" t="str">
        <f aca="false">IF(I3115&lt;J3115,"TAK","NIE")</f>
        <v>NIE</v>
      </c>
    </row>
    <row r="3116" customFormat="false" ht="15" hidden="false" customHeight="false" outlineLevel="0" collapsed="false">
      <c r="A3116" s="5" t="s">
        <v>640</v>
      </c>
      <c r="B3116" s="5" t="s">
        <v>79</v>
      </c>
      <c r="C3116" s="5" t="n">
        <v>2022</v>
      </c>
      <c r="D3116" s="5" t="s">
        <v>77</v>
      </c>
      <c r="E3116" s="5" t="s">
        <v>75</v>
      </c>
      <c r="F3116" s="5" t="s">
        <v>39</v>
      </c>
      <c r="G3116" s="6" t="n">
        <v>561</v>
      </c>
      <c r="H3116" s="6" t="n">
        <v>93</v>
      </c>
      <c r="I3116" s="7" t="n">
        <f aca="false">(G3116-H3116)/G3116</f>
        <v>0.834224598930481</v>
      </c>
      <c r="J3116" s="15" t="n">
        <v>0.453</v>
      </c>
      <c r="K3116" s="11" t="str">
        <f aca="false">IF(I3116&lt;J3116,"TAK","NIE")</f>
        <v>NIE</v>
      </c>
    </row>
    <row r="3117" customFormat="false" ht="15" hidden="false" customHeight="false" outlineLevel="0" collapsed="false">
      <c r="A3117" s="5" t="s">
        <v>617</v>
      </c>
      <c r="B3117" s="5" t="s">
        <v>79</v>
      </c>
      <c r="C3117" s="5" t="n">
        <v>2022</v>
      </c>
      <c r="D3117" s="5" t="s">
        <v>77</v>
      </c>
      <c r="E3117" s="5" t="s">
        <v>75</v>
      </c>
      <c r="F3117" s="5" t="s">
        <v>40</v>
      </c>
      <c r="G3117" s="6" t="n">
        <v>735</v>
      </c>
      <c r="H3117" s="6" t="n">
        <v>296</v>
      </c>
      <c r="I3117" s="7" t="n">
        <f aca="false">(G3117-H3117)/G3117</f>
        <v>0.597278911564626</v>
      </c>
      <c r="J3117" s="15" t="n">
        <v>0.3285</v>
      </c>
      <c r="K3117" s="11" t="str">
        <f aca="false">IF(I3117&lt;J3117,"TAK","NIE")</f>
        <v>NIE</v>
      </c>
    </row>
    <row r="3118" customFormat="false" ht="15" hidden="false" customHeight="false" outlineLevel="0" collapsed="false">
      <c r="A3118" s="5" t="s">
        <v>618</v>
      </c>
      <c r="B3118" s="5" t="s">
        <v>79</v>
      </c>
      <c r="C3118" s="5" t="n">
        <v>2022</v>
      </c>
      <c r="D3118" s="5" t="s">
        <v>77</v>
      </c>
      <c r="E3118" s="5" t="s">
        <v>75</v>
      </c>
      <c r="F3118" s="5" t="s">
        <v>40</v>
      </c>
      <c r="G3118" s="6" t="n">
        <v>765</v>
      </c>
      <c r="H3118" s="6" t="n">
        <v>364</v>
      </c>
      <c r="I3118" s="7" t="n">
        <f aca="false">(G3118-H3118)/G3118</f>
        <v>0.524183006535948</v>
      </c>
      <c r="J3118" s="15" t="n">
        <v>0.3285</v>
      </c>
      <c r="K3118" s="11" t="str">
        <f aca="false">IF(I3118&lt;J3118,"TAK","NIE")</f>
        <v>NIE</v>
      </c>
    </row>
    <row r="3119" customFormat="false" ht="15" hidden="false" customHeight="false" outlineLevel="0" collapsed="false">
      <c r="A3119" s="5" t="s">
        <v>619</v>
      </c>
      <c r="B3119" s="5" t="s">
        <v>79</v>
      </c>
      <c r="C3119" s="5" t="n">
        <v>2022</v>
      </c>
      <c r="D3119" s="5" t="s">
        <v>77</v>
      </c>
      <c r="E3119" s="5" t="s">
        <v>75</v>
      </c>
      <c r="F3119" s="5" t="s">
        <v>40</v>
      </c>
      <c r="G3119" s="6" t="n">
        <v>732</v>
      </c>
      <c r="H3119" s="6" t="n">
        <v>350</v>
      </c>
      <c r="I3119" s="7" t="n">
        <f aca="false">(G3119-H3119)/G3119</f>
        <v>0.521857923497268</v>
      </c>
      <c r="J3119" s="15" t="n">
        <v>0.3285</v>
      </c>
      <c r="K3119" s="11" t="str">
        <f aca="false">IF(I3119&lt;J3119,"TAK","NIE")</f>
        <v>NIE</v>
      </c>
    </row>
    <row r="3120" customFormat="false" ht="15" hidden="false" customHeight="false" outlineLevel="0" collapsed="false">
      <c r="A3120" s="5" t="s">
        <v>620</v>
      </c>
      <c r="B3120" s="5" t="s">
        <v>79</v>
      </c>
      <c r="C3120" s="5" t="n">
        <v>2022</v>
      </c>
      <c r="D3120" s="5" t="s">
        <v>77</v>
      </c>
      <c r="E3120" s="5" t="s">
        <v>75</v>
      </c>
      <c r="F3120" s="5" t="s">
        <v>40</v>
      </c>
      <c r="G3120" s="6" t="n">
        <v>732</v>
      </c>
      <c r="H3120" s="6" t="n">
        <v>349</v>
      </c>
      <c r="I3120" s="7" t="n">
        <f aca="false">(G3120-H3120)/G3120</f>
        <v>0.523224043715847</v>
      </c>
      <c r="J3120" s="15" t="n">
        <v>0.3285</v>
      </c>
      <c r="K3120" s="11" t="str">
        <f aca="false">IF(I3120&lt;J3120,"TAK","NIE")</f>
        <v>NIE</v>
      </c>
    </row>
    <row r="3121" customFormat="false" ht="15" hidden="false" customHeight="false" outlineLevel="0" collapsed="false">
      <c r="A3121" s="5" t="s">
        <v>621</v>
      </c>
      <c r="B3121" s="5" t="s">
        <v>79</v>
      </c>
      <c r="C3121" s="5" t="n">
        <v>2022</v>
      </c>
      <c r="D3121" s="5" t="s">
        <v>77</v>
      </c>
      <c r="E3121" s="5" t="s">
        <v>75</v>
      </c>
      <c r="F3121" s="5" t="s">
        <v>40</v>
      </c>
      <c r="G3121" s="6" t="n">
        <v>765</v>
      </c>
      <c r="H3121" s="6" t="n">
        <v>158</v>
      </c>
      <c r="I3121" s="7" t="n">
        <f aca="false">(G3121-H3121)/G3121</f>
        <v>0.793464052287582</v>
      </c>
      <c r="J3121" s="15" t="n">
        <v>0.3285</v>
      </c>
      <c r="K3121" s="11" t="str">
        <f aca="false">IF(I3121&lt;J3121,"TAK","NIE")</f>
        <v>NIE</v>
      </c>
    </row>
    <row r="3122" customFormat="false" ht="15" hidden="false" customHeight="false" outlineLevel="0" collapsed="false">
      <c r="A3122" s="5" t="s">
        <v>622</v>
      </c>
      <c r="B3122" s="5" t="s">
        <v>79</v>
      </c>
      <c r="C3122" s="5" t="n">
        <v>2022</v>
      </c>
      <c r="D3122" s="5" t="s">
        <v>77</v>
      </c>
      <c r="E3122" s="5" t="s">
        <v>75</v>
      </c>
      <c r="F3122" s="5" t="s">
        <v>40</v>
      </c>
      <c r="G3122" s="6" t="n">
        <v>732</v>
      </c>
      <c r="H3122" s="6" t="n">
        <v>241</v>
      </c>
      <c r="I3122" s="7" t="n">
        <f aca="false">(G3122-H3122)/G3122</f>
        <v>0.670765027322404</v>
      </c>
      <c r="J3122" s="15" t="n">
        <v>0.3285</v>
      </c>
      <c r="K3122" s="11" t="str">
        <f aca="false">IF(I3122&lt;J3122,"TAK","NIE")</f>
        <v>NIE</v>
      </c>
    </row>
    <row r="3123" customFormat="false" ht="15" hidden="false" customHeight="false" outlineLevel="0" collapsed="false">
      <c r="A3123" s="5" t="s">
        <v>623</v>
      </c>
      <c r="B3123" s="5" t="s">
        <v>79</v>
      </c>
      <c r="C3123" s="5" t="n">
        <v>2022</v>
      </c>
      <c r="D3123" s="5" t="s">
        <v>77</v>
      </c>
      <c r="E3123" s="5" t="s">
        <v>75</v>
      </c>
      <c r="F3123" s="5" t="s">
        <v>40</v>
      </c>
      <c r="G3123" s="6" t="n">
        <v>762</v>
      </c>
      <c r="H3123" s="6" t="n">
        <v>172</v>
      </c>
      <c r="I3123" s="7" t="n">
        <f aca="false">(G3123-H3123)/G3123</f>
        <v>0.774278215223097</v>
      </c>
      <c r="J3123" s="15" t="n">
        <v>0.3285</v>
      </c>
      <c r="K3123" s="11" t="str">
        <f aca="false">IF(I3123&lt;J3123,"TAK","NIE")</f>
        <v>NIE</v>
      </c>
    </row>
    <row r="3124" customFormat="false" ht="15" hidden="false" customHeight="false" outlineLevel="0" collapsed="false">
      <c r="A3124" s="5" t="s">
        <v>624</v>
      </c>
      <c r="B3124" s="5" t="s">
        <v>79</v>
      </c>
      <c r="C3124" s="5" t="n">
        <v>2022</v>
      </c>
      <c r="D3124" s="5" t="s">
        <v>77</v>
      </c>
      <c r="E3124" s="5" t="s">
        <v>75</v>
      </c>
      <c r="F3124" s="5" t="s">
        <v>40</v>
      </c>
      <c r="G3124" s="6" t="n">
        <v>732</v>
      </c>
      <c r="H3124" s="6" t="n">
        <v>323</v>
      </c>
      <c r="I3124" s="7" t="n">
        <f aca="false">(G3124-H3124)/G3124</f>
        <v>0.558743169398907</v>
      </c>
      <c r="J3124" s="15" t="n">
        <v>0.3285</v>
      </c>
      <c r="K3124" s="11" t="str">
        <f aca="false">IF(I3124&lt;J3124,"TAK","NIE")</f>
        <v>NIE</v>
      </c>
    </row>
    <row r="3125" customFormat="false" ht="15" hidden="false" customHeight="false" outlineLevel="0" collapsed="false">
      <c r="A3125" s="5" t="s">
        <v>625</v>
      </c>
      <c r="B3125" s="5" t="s">
        <v>79</v>
      </c>
      <c r="C3125" s="5" t="n">
        <v>2022</v>
      </c>
      <c r="D3125" s="5" t="s">
        <v>77</v>
      </c>
      <c r="E3125" s="5" t="s">
        <v>75</v>
      </c>
      <c r="F3125" s="5" t="s">
        <v>40</v>
      </c>
      <c r="G3125" s="6" t="n">
        <v>726</v>
      </c>
      <c r="H3125" s="6" t="n">
        <v>369</v>
      </c>
      <c r="I3125" s="7" t="n">
        <f aca="false">(G3125-H3125)/G3125</f>
        <v>0.491735537190083</v>
      </c>
      <c r="J3125" s="15" t="n">
        <v>0.3285</v>
      </c>
      <c r="K3125" s="11" t="str">
        <f aca="false">IF(I3125&lt;J3125,"TAK","NIE")</f>
        <v>NIE</v>
      </c>
    </row>
    <row r="3126" customFormat="false" ht="15" hidden="false" customHeight="false" outlineLevel="0" collapsed="false">
      <c r="A3126" s="5" t="s">
        <v>626</v>
      </c>
      <c r="B3126" s="5" t="s">
        <v>79</v>
      </c>
      <c r="C3126" s="5" t="n">
        <v>2022</v>
      </c>
      <c r="D3126" s="5" t="s">
        <v>77</v>
      </c>
      <c r="E3126" s="5" t="s">
        <v>75</v>
      </c>
      <c r="F3126" s="5" t="s">
        <v>40</v>
      </c>
      <c r="G3126" s="6" t="n">
        <v>729</v>
      </c>
      <c r="H3126" s="6" t="n">
        <v>209</v>
      </c>
      <c r="I3126" s="7" t="n">
        <f aca="false">(G3126-H3126)/G3126</f>
        <v>0.713305898491084</v>
      </c>
      <c r="J3126" s="15" t="n">
        <v>0.3285</v>
      </c>
      <c r="K3126" s="11" t="str">
        <f aca="false">IF(I3126&lt;J3126,"TAK","NIE")</f>
        <v>NIE</v>
      </c>
    </row>
    <row r="3127" customFormat="false" ht="15" hidden="false" customHeight="false" outlineLevel="0" collapsed="false">
      <c r="A3127" s="5" t="s">
        <v>627</v>
      </c>
      <c r="B3127" s="5" t="s">
        <v>79</v>
      </c>
      <c r="C3127" s="5" t="n">
        <v>2022</v>
      </c>
      <c r="D3127" s="5" t="s">
        <v>77</v>
      </c>
      <c r="E3127" s="5" t="s">
        <v>75</v>
      </c>
      <c r="F3127" s="5" t="s">
        <v>40</v>
      </c>
      <c r="G3127" s="6" t="n">
        <v>735</v>
      </c>
      <c r="H3127" s="6" t="n">
        <v>326</v>
      </c>
      <c r="I3127" s="7" t="n">
        <f aca="false">(G3127-H3127)/G3127</f>
        <v>0.556462585034014</v>
      </c>
      <c r="J3127" s="15" t="n">
        <v>0.3285</v>
      </c>
      <c r="K3127" s="11" t="str">
        <f aca="false">IF(I3127&lt;J3127,"TAK","NIE")</f>
        <v>NIE</v>
      </c>
    </row>
    <row r="3128" customFormat="false" ht="15" hidden="false" customHeight="false" outlineLevel="0" collapsed="false">
      <c r="A3128" s="5" t="s">
        <v>628</v>
      </c>
      <c r="B3128" s="5" t="s">
        <v>79</v>
      </c>
      <c r="C3128" s="5" t="n">
        <v>2022</v>
      </c>
      <c r="D3128" s="5" t="s">
        <v>77</v>
      </c>
      <c r="E3128" s="5" t="s">
        <v>75</v>
      </c>
      <c r="F3128" s="5" t="s">
        <v>40</v>
      </c>
      <c r="G3128" s="6" t="n">
        <v>762</v>
      </c>
      <c r="H3128" s="6" t="n">
        <v>424</v>
      </c>
      <c r="I3128" s="7" t="n">
        <f aca="false">(G3128-H3128)/G3128</f>
        <v>0.443569553805774</v>
      </c>
      <c r="J3128" s="15" t="n">
        <v>0.3285</v>
      </c>
      <c r="K3128" s="11" t="str">
        <f aca="false">IF(I3128&lt;J3128,"TAK","NIE")</f>
        <v>NIE</v>
      </c>
    </row>
    <row r="3129" customFormat="false" ht="15" hidden="false" customHeight="false" outlineLevel="0" collapsed="false">
      <c r="A3129" s="5" t="s">
        <v>629</v>
      </c>
      <c r="B3129" s="5" t="s">
        <v>79</v>
      </c>
      <c r="C3129" s="5" t="n">
        <v>2022</v>
      </c>
      <c r="D3129" s="5" t="s">
        <v>77</v>
      </c>
      <c r="E3129" s="5" t="s">
        <v>75</v>
      </c>
      <c r="F3129" s="5" t="s">
        <v>40</v>
      </c>
      <c r="G3129" s="6" t="n">
        <v>732</v>
      </c>
      <c r="H3129" s="6" t="n">
        <v>242</v>
      </c>
      <c r="I3129" s="7" t="n">
        <f aca="false">(G3129-H3129)/G3129</f>
        <v>0.669398907103825</v>
      </c>
      <c r="J3129" s="15" t="n">
        <v>0.3285</v>
      </c>
      <c r="K3129" s="11" t="str">
        <f aca="false">IF(I3129&lt;J3129,"TAK","NIE")</f>
        <v>NIE</v>
      </c>
    </row>
    <row r="3130" customFormat="false" ht="15" hidden="false" customHeight="false" outlineLevel="0" collapsed="false">
      <c r="A3130" s="5" t="s">
        <v>630</v>
      </c>
      <c r="B3130" s="5" t="s">
        <v>79</v>
      </c>
      <c r="C3130" s="5" t="n">
        <v>2022</v>
      </c>
      <c r="D3130" s="5" t="s">
        <v>77</v>
      </c>
      <c r="E3130" s="5" t="s">
        <v>75</v>
      </c>
      <c r="F3130" s="5" t="s">
        <v>40</v>
      </c>
      <c r="G3130" s="6" t="n">
        <v>762</v>
      </c>
      <c r="H3130" s="6" t="n">
        <v>343</v>
      </c>
      <c r="I3130" s="7" t="n">
        <f aca="false">(G3130-H3130)/G3130</f>
        <v>0.5498687664042</v>
      </c>
      <c r="J3130" s="15" t="n">
        <v>0.3285</v>
      </c>
      <c r="K3130" s="11" t="str">
        <f aca="false">IF(I3130&lt;J3130,"TAK","NIE")</f>
        <v>NIE</v>
      </c>
    </row>
    <row r="3131" customFormat="false" ht="15" hidden="false" customHeight="false" outlineLevel="0" collapsed="false">
      <c r="A3131" s="5" t="s">
        <v>631</v>
      </c>
      <c r="B3131" s="5" t="s">
        <v>79</v>
      </c>
      <c r="C3131" s="5" t="n">
        <v>2022</v>
      </c>
      <c r="D3131" s="5" t="s">
        <v>77</v>
      </c>
      <c r="E3131" s="5" t="s">
        <v>75</v>
      </c>
      <c r="F3131" s="5" t="s">
        <v>40</v>
      </c>
      <c r="G3131" s="6" t="n">
        <v>732</v>
      </c>
      <c r="H3131" s="6" t="n">
        <v>240</v>
      </c>
      <c r="I3131" s="7" t="n">
        <f aca="false">(G3131-H3131)/G3131</f>
        <v>0.672131147540984</v>
      </c>
      <c r="J3131" s="15" t="n">
        <v>0.3285</v>
      </c>
      <c r="K3131" s="11" t="str">
        <f aca="false">IF(I3131&lt;J3131,"TAK","NIE")</f>
        <v>NIE</v>
      </c>
    </row>
    <row r="3132" customFormat="false" ht="15" hidden="false" customHeight="false" outlineLevel="0" collapsed="false">
      <c r="A3132" s="5" t="s">
        <v>632</v>
      </c>
      <c r="B3132" s="5" t="s">
        <v>79</v>
      </c>
      <c r="C3132" s="5" t="n">
        <v>2022</v>
      </c>
      <c r="D3132" s="5" t="s">
        <v>77</v>
      </c>
      <c r="E3132" s="5" t="s">
        <v>75</v>
      </c>
      <c r="F3132" s="5" t="s">
        <v>40</v>
      </c>
      <c r="G3132" s="6" t="n">
        <v>735</v>
      </c>
      <c r="H3132" s="6" t="n">
        <v>289</v>
      </c>
      <c r="I3132" s="7" t="n">
        <f aca="false">(G3132-H3132)/G3132</f>
        <v>0.606802721088435</v>
      </c>
      <c r="J3132" s="15" t="n">
        <v>0.3285</v>
      </c>
      <c r="K3132" s="11" t="str">
        <f aca="false">IF(I3132&lt;J3132,"TAK","NIE")</f>
        <v>NIE</v>
      </c>
    </row>
    <row r="3133" customFormat="false" ht="15" hidden="false" customHeight="false" outlineLevel="0" collapsed="false">
      <c r="A3133" s="5" t="s">
        <v>633</v>
      </c>
      <c r="B3133" s="5" t="s">
        <v>79</v>
      </c>
      <c r="C3133" s="5" t="n">
        <v>2022</v>
      </c>
      <c r="D3133" s="5" t="s">
        <v>77</v>
      </c>
      <c r="E3133" s="5" t="s">
        <v>75</v>
      </c>
      <c r="F3133" s="5" t="s">
        <v>40</v>
      </c>
      <c r="G3133" s="6" t="n">
        <v>762</v>
      </c>
      <c r="H3133" s="6" t="n">
        <v>310</v>
      </c>
      <c r="I3133" s="7" t="n">
        <f aca="false">(G3133-H3133)/G3133</f>
        <v>0.593175853018373</v>
      </c>
      <c r="J3133" s="15" t="n">
        <v>0.3285</v>
      </c>
      <c r="K3133" s="11" t="str">
        <f aca="false">IF(I3133&lt;J3133,"TAK","NIE")</f>
        <v>NIE</v>
      </c>
    </row>
    <row r="3134" customFormat="false" ht="15" hidden="false" customHeight="false" outlineLevel="0" collapsed="false">
      <c r="A3134" s="5" t="s">
        <v>634</v>
      </c>
      <c r="B3134" s="5" t="s">
        <v>79</v>
      </c>
      <c r="C3134" s="5" t="n">
        <v>2022</v>
      </c>
      <c r="D3134" s="5" t="s">
        <v>77</v>
      </c>
      <c r="E3134" s="5" t="s">
        <v>75</v>
      </c>
      <c r="F3134" s="5" t="s">
        <v>40</v>
      </c>
      <c r="G3134" s="6" t="n">
        <v>765</v>
      </c>
      <c r="H3134" s="6" t="n">
        <v>319</v>
      </c>
      <c r="I3134" s="7" t="n">
        <f aca="false">(G3134-H3134)/G3134</f>
        <v>0.583006535947713</v>
      </c>
      <c r="J3134" s="15" t="n">
        <v>0.3285</v>
      </c>
      <c r="K3134" s="11" t="str">
        <f aca="false">IF(I3134&lt;J3134,"TAK","NIE")</f>
        <v>NIE</v>
      </c>
    </row>
    <row r="3135" customFormat="false" ht="15" hidden="false" customHeight="false" outlineLevel="0" collapsed="false">
      <c r="A3135" s="5" t="s">
        <v>635</v>
      </c>
      <c r="B3135" s="5" t="s">
        <v>79</v>
      </c>
      <c r="C3135" s="5" t="n">
        <v>2022</v>
      </c>
      <c r="D3135" s="5" t="s">
        <v>77</v>
      </c>
      <c r="E3135" s="5" t="s">
        <v>75</v>
      </c>
      <c r="F3135" s="5" t="s">
        <v>40</v>
      </c>
      <c r="G3135" s="6" t="n">
        <v>765</v>
      </c>
      <c r="H3135" s="6" t="n">
        <v>304</v>
      </c>
      <c r="I3135" s="7" t="n">
        <f aca="false">(G3135-H3135)/G3135</f>
        <v>0.602614379084967</v>
      </c>
      <c r="J3135" s="15" t="n">
        <v>0.3285</v>
      </c>
      <c r="K3135" s="11" t="str">
        <f aca="false">IF(I3135&lt;J3135,"TAK","NIE")</f>
        <v>NIE</v>
      </c>
    </row>
    <row r="3136" customFormat="false" ht="15" hidden="false" customHeight="false" outlineLevel="0" collapsed="false">
      <c r="A3136" s="5" t="s">
        <v>636</v>
      </c>
      <c r="B3136" s="5" t="s">
        <v>79</v>
      </c>
      <c r="C3136" s="5" t="n">
        <v>2022</v>
      </c>
      <c r="D3136" s="5" t="s">
        <v>77</v>
      </c>
      <c r="E3136" s="5" t="s">
        <v>75</v>
      </c>
      <c r="F3136" s="5" t="s">
        <v>40</v>
      </c>
      <c r="G3136" s="6" t="n">
        <v>735</v>
      </c>
      <c r="H3136" s="6" t="n">
        <v>160</v>
      </c>
      <c r="I3136" s="7" t="n">
        <f aca="false">(G3136-H3136)/G3136</f>
        <v>0.782312925170068</v>
      </c>
      <c r="J3136" s="15" t="n">
        <v>0.3285</v>
      </c>
      <c r="K3136" s="11" t="str">
        <f aca="false">IF(I3136&lt;J3136,"TAK","NIE")</f>
        <v>NIE</v>
      </c>
    </row>
    <row r="3137" customFormat="false" ht="15" hidden="false" customHeight="false" outlineLevel="0" collapsed="false">
      <c r="A3137" s="5" t="s">
        <v>637</v>
      </c>
      <c r="B3137" s="5" t="s">
        <v>79</v>
      </c>
      <c r="C3137" s="5" t="n">
        <v>2022</v>
      </c>
      <c r="D3137" s="5" t="s">
        <v>77</v>
      </c>
      <c r="E3137" s="5" t="s">
        <v>75</v>
      </c>
      <c r="F3137" s="5" t="s">
        <v>40</v>
      </c>
      <c r="G3137" s="6" t="n">
        <v>765</v>
      </c>
      <c r="H3137" s="6" t="n">
        <v>135</v>
      </c>
      <c r="I3137" s="7" t="n">
        <f aca="false">(G3137-H3137)/G3137</f>
        <v>0.823529411764706</v>
      </c>
      <c r="J3137" s="15" t="n">
        <v>0.3285</v>
      </c>
      <c r="K3137" s="11" t="str">
        <f aca="false">IF(I3137&lt;J3137,"TAK","NIE")</f>
        <v>NIE</v>
      </c>
    </row>
    <row r="3138" customFormat="false" ht="15" hidden="false" customHeight="false" outlineLevel="0" collapsed="false">
      <c r="A3138" s="5" t="s">
        <v>639</v>
      </c>
      <c r="B3138" s="5" t="s">
        <v>79</v>
      </c>
      <c r="C3138" s="5" t="n">
        <v>2022</v>
      </c>
      <c r="D3138" s="5" t="s">
        <v>77</v>
      </c>
      <c r="E3138" s="5" t="s">
        <v>75</v>
      </c>
      <c r="F3138" s="5" t="s">
        <v>40</v>
      </c>
      <c r="G3138" s="6" t="n">
        <v>735</v>
      </c>
      <c r="H3138" s="6" t="n">
        <v>384</v>
      </c>
      <c r="I3138" s="7" t="n">
        <f aca="false">(G3138-H3138)/G3138</f>
        <v>0.477551020408163</v>
      </c>
      <c r="J3138" s="15" t="n">
        <v>0.3285</v>
      </c>
      <c r="K3138" s="11" t="str">
        <f aca="false">IF(I3138&lt;J3138,"TAK","NIE")</f>
        <v>NIE</v>
      </c>
    </row>
    <row r="3139" customFormat="false" ht="15" hidden="false" customHeight="false" outlineLevel="0" collapsed="false">
      <c r="A3139" s="5" t="s">
        <v>640</v>
      </c>
      <c r="B3139" s="5" t="s">
        <v>79</v>
      </c>
      <c r="C3139" s="5" t="n">
        <v>2022</v>
      </c>
      <c r="D3139" s="5" t="s">
        <v>77</v>
      </c>
      <c r="E3139" s="5" t="s">
        <v>75</v>
      </c>
      <c r="F3139" s="5" t="s">
        <v>40</v>
      </c>
      <c r="G3139" s="6" t="n">
        <v>732</v>
      </c>
      <c r="H3139" s="6" t="n">
        <v>234</v>
      </c>
      <c r="I3139" s="7" t="n">
        <f aca="false">(G3139-H3139)/G3139</f>
        <v>0.680327868852459</v>
      </c>
      <c r="J3139" s="15" t="n">
        <v>0.3285</v>
      </c>
      <c r="K3139" s="11" t="str">
        <f aca="false">IF(I3139&lt;J3139,"TAK","NIE")</f>
        <v>NIE</v>
      </c>
    </row>
    <row r="3140" customFormat="false" ht="15" hidden="false" customHeight="false" outlineLevel="0" collapsed="false">
      <c r="A3140" s="5" t="s">
        <v>617</v>
      </c>
      <c r="B3140" s="5" t="s">
        <v>80</v>
      </c>
      <c r="C3140" s="5" t="n">
        <v>2022</v>
      </c>
      <c r="D3140" s="5" t="s">
        <v>77</v>
      </c>
      <c r="E3140" s="5" t="s">
        <v>89</v>
      </c>
      <c r="F3140" s="5" t="s">
        <v>39</v>
      </c>
      <c r="G3140" s="6" t="n">
        <v>396</v>
      </c>
      <c r="H3140" s="6" t="n">
        <v>87</v>
      </c>
      <c r="I3140" s="7" t="n">
        <f aca="false">(G3140-H3140)/G3140</f>
        <v>0.78030303030303</v>
      </c>
      <c r="J3140" s="15" t="n">
        <v>0.5666</v>
      </c>
      <c r="K3140" s="11" t="str">
        <f aca="false">IF(I3140&lt;J3140,"TAK","NIE")</f>
        <v>NIE</v>
      </c>
    </row>
    <row r="3141" customFormat="false" ht="15" hidden="false" customHeight="false" outlineLevel="0" collapsed="false">
      <c r="A3141" s="5" t="s">
        <v>618</v>
      </c>
      <c r="B3141" s="5" t="s">
        <v>80</v>
      </c>
      <c r="C3141" s="5" t="n">
        <v>2022</v>
      </c>
      <c r="D3141" s="5" t="s">
        <v>77</v>
      </c>
      <c r="E3141" s="5" t="s">
        <v>89</v>
      </c>
      <c r="F3141" s="5" t="s">
        <v>39</v>
      </c>
      <c r="G3141" s="6" t="n">
        <v>406</v>
      </c>
      <c r="H3141" s="6" t="n">
        <v>82</v>
      </c>
      <c r="I3141" s="7" t="n">
        <f aca="false">(G3141-H3141)/G3141</f>
        <v>0.798029556650246</v>
      </c>
      <c r="J3141" s="15" t="n">
        <v>0.5666</v>
      </c>
      <c r="K3141" s="11" t="str">
        <f aca="false">IF(I3141&lt;J3141,"TAK","NIE")</f>
        <v>NIE</v>
      </c>
    </row>
    <row r="3142" customFormat="false" ht="15" hidden="false" customHeight="false" outlineLevel="0" collapsed="false">
      <c r="A3142" s="5" t="s">
        <v>619</v>
      </c>
      <c r="B3142" s="5" t="s">
        <v>80</v>
      </c>
      <c r="C3142" s="5" t="n">
        <v>2022</v>
      </c>
      <c r="D3142" s="5" t="s">
        <v>77</v>
      </c>
      <c r="E3142" s="5" t="s">
        <v>89</v>
      </c>
      <c r="F3142" s="5" t="s">
        <v>39</v>
      </c>
      <c r="G3142" s="6" t="n">
        <v>396</v>
      </c>
      <c r="H3142" s="6" t="n">
        <v>80</v>
      </c>
      <c r="I3142" s="7" t="n">
        <f aca="false">(G3142-H3142)/G3142</f>
        <v>0.797979797979798</v>
      </c>
      <c r="J3142" s="15" t="n">
        <v>0.5666</v>
      </c>
      <c r="K3142" s="11" t="str">
        <f aca="false">IF(I3142&lt;J3142,"TAK","NIE")</f>
        <v>NIE</v>
      </c>
    </row>
    <row r="3143" customFormat="false" ht="15" hidden="false" customHeight="false" outlineLevel="0" collapsed="false">
      <c r="A3143" s="5" t="s">
        <v>620</v>
      </c>
      <c r="B3143" s="5" t="s">
        <v>80</v>
      </c>
      <c r="C3143" s="5" t="n">
        <v>2022</v>
      </c>
      <c r="D3143" s="5" t="s">
        <v>77</v>
      </c>
      <c r="E3143" s="5" t="s">
        <v>89</v>
      </c>
      <c r="F3143" s="5" t="s">
        <v>39</v>
      </c>
      <c r="G3143" s="6" t="n">
        <v>396</v>
      </c>
      <c r="H3143" s="6" t="n">
        <v>79</v>
      </c>
      <c r="I3143" s="7" t="n">
        <f aca="false">(G3143-H3143)/G3143</f>
        <v>0.800505050505051</v>
      </c>
      <c r="J3143" s="15" t="n">
        <v>0.5666</v>
      </c>
      <c r="K3143" s="11" t="str">
        <f aca="false">IF(I3143&lt;J3143,"TAK","NIE")</f>
        <v>NIE</v>
      </c>
    </row>
    <row r="3144" customFormat="false" ht="15" hidden="false" customHeight="false" outlineLevel="0" collapsed="false">
      <c r="A3144" s="5" t="s">
        <v>621</v>
      </c>
      <c r="B3144" s="5" t="s">
        <v>80</v>
      </c>
      <c r="C3144" s="5" t="n">
        <v>2022</v>
      </c>
      <c r="D3144" s="5" t="s">
        <v>77</v>
      </c>
      <c r="E3144" s="5" t="s">
        <v>89</v>
      </c>
      <c r="F3144" s="5" t="s">
        <v>39</v>
      </c>
      <c r="G3144" s="6" t="n">
        <v>406</v>
      </c>
      <c r="H3144" s="6" t="n">
        <v>25</v>
      </c>
      <c r="I3144" s="7" t="n">
        <f aca="false">(G3144-H3144)/G3144</f>
        <v>0.938423645320197</v>
      </c>
      <c r="J3144" s="15" t="n">
        <v>0.5666</v>
      </c>
      <c r="K3144" s="11" t="str">
        <f aca="false">IF(I3144&lt;J3144,"TAK","NIE")</f>
        <v>NIE</v>
      </c>
    </row>
    <row r="3145" customFormat="false" ht="15" hidden="false" customHeight="false" outlineLevel="0" collapsed="false">
      <c r="A3145" s="5" t="s">
        <v>622</v>
      </c>
      <c r="B3145" s="5" t="s">
        <v>80</v>
      </c>
      <c r="C3145" s="5" t="n">
        <v>2022</v>
      </c>
      <c r="D3145" s="5" t="s">
        <v>77</v>
      </c>
      <c r="E3145" s="5" t="s">
        <v>89</v>
      </c>
      <c r="F3145" s="5" t="s">
        <v>39</v>
      </c>
      <c r="G3145" s="6" t="n">
        <v>396</v>
      </c>
      <c r="H3145" s="6" t="n">
        <v>27</v>
      </c>
      <c r="I3145" s="7" t="n">
        <f aca="false">(G3145-H3145)/G3145</f>
        <v>0.931818181818182</v>
      </c>
      <c r="J3145" s="15" t="n">
        <v>0.5666</v>
      </c>
      <c r="K3145" s="11" t="str">
        <f aca="false">IF(I3145&lt;J3145,"TAK","NIE")</f>
        <v>NIE</v>
      </c>
    </row>
    <row r="3146" customFormat="false" ht="15" hidden="false" customHeight="false" outlineLevel="0" collapsed="false">
      <c r="A3146" s="5" t="s">
        <v>623</v>
      </c>
      <c r="B3146" s="5" t="s">
        <v>80</v>
      </c>
      <c r="C3146" s="5" t="n">
        <v>2022</v>
      </c>
      <c r="D3146" s="5" t="s">
        <v>77</v>
      </c>
      <c r="E3146" s="5" t="s">
        <v>89</v>
      </c>
      <c r="F3146" s="5" t="s">
        <v>39</v>
      </c>
      <c r="G3146" s="6" t="n">
        <v>406</v>
      </c>
      <c r="H3146" s="6" t="n">
        <v>79</v>
      </c>
      <c r="I3146" s="7" t="n">
        <f aca="false">(G3146-H3146)/G3146</f>
        <v>0.805418719211823</v>
      </c>
      <c r="J3146" s="15" t="n">
        <v>0.5666</v>
      </c>
      <c r="K3146" s="11" t="str">
        <f aca="false">IF(I3146&lt;J3146,"TAK","NIE")</f>
        <v>NIE</v>
      </c>
    </row>
    <row r="3147" customFormat="false" ht="15" hidden="false" customHeight="false" outlineLevel="0" collapsed="false">
      <c r="A3147" s="5" t="s">
        <v>624</v>
      </c>
      <c r="B3147" s="5" t="s">
        <v>80</v>
      </c>
      <c r="C3147" s="5" t="n">
        <v>2022</v>
      </c>
      <c r="D3147" s="5" t="s">
        <v>77</v>
      </c>
      <c r="E3147" s="5" t="s">
        <v>89</v>
      </c>
      <c r="F3147" s="5" t="s">
        <v>39</v>
      </c>
      <c r="G3147" s="6" t="n">
        <v>396</v>
      </c>
      <c r="H3147" s="6" t="n">
        <v>116</v>
      </c>
      <c r="I3147" s="7" t="n">
        <f aca="false">(G3147-H3147)/G3147</f>
        <v>0.707070707070707</v>
      </c>
      <c r="J3147" s="15" t="n">
        <v>0.5666</v>
      </c>
      <c r="K3147" s="11" t="str">
        <f aca="false">IF(I3147&lt;J3147,"TAK","NIE")</f>
        <v>NIE</v>
      </c>
    </row>
    <row r="3148" customFormat="false" ht="15" hidden="false" customHeight="false" outlineLevel="0" collapsed="false">
      <c r="A3148" s="5" t="s">
        <v>625</v>
      </c>
      <c r="B3148" s="5" t="s">
        <v>80</v>
      </c>
      <c r="C3148" s="5" t="n">
        <v>2022</v>
      </c>
      <c r="D3148" s="5" t="s">
        <v>77</v>
      </c>
      <c r="E3148" s="5" t="s">
        <v>89</v>
      </c>
      <c r="F3148" s="5" t="s">
        <v>39</v>
      </c>
      <c r="G3148" s="6" t="n">
        <v>396</v>
      </c>
      <c r="H3148" s="6" t="n">
        <v>113</v>
      </c>
      <c r="I3148" s="7" t="n">
        <f aca="false">(G3148-H3148)/G3148</f>
        <v>0.714646464646465</v>
      </c>
      <c r="J3148" s="15" t="n">
        <v>0.5666</v>
      </c>
      <c r="K3148" s="11" t="str">
        <f aca="false">IF(I3148&lt;J3148,"TAK","NIE")</f>
        <v>NIE</v>
      </c>
    </row>
    <row r="3149" customFormat="false" ht="15" hidden="false" customHeight="false" outlineLevel="0" collapsed="false">
      <c r="A3149" s="5" t="s">
        <v>626</v>
      </c>
      <c r="B3149" s="5" t="s">
        <v>80</v>
      </c>
      <c r="C3149" s="5" t="n">
        <v>2022</v>
      </c>
      <c r="D3149" s="5" t="s">
        <v>77</v>
      </c>
      <c r="E3149" s="5" t="s">
        <v>89</v>
      </c>
      <c r="F3149" s="5" t="s">
        <v>39</v>
      </c>
      <c r="G3149" s="6" t="n">
        <v>396</v>
      </c>
      <c r="H3149" s="6" t="n">
        <v>107</v>
      </c>
      <c r="I3149" s="7" t="n">
        <f aca="false">(G3149-H3149)/G3149</f>
        <v>0.72979797979798</v>
      </c>
      <c r="J3149" s="15" t="n">
        <v>0.5666</v>
      </c>
      <c r="K3149" s="11" t="str">
        <f aca="false">IF(I3149&lt;J3149,"TAK","NIE")</f>
        <v>NIE</v>
      </c>
    </row>
    <row r="3150" customFormat="false" ht="15" hidden="false" customHeight="false" outlineLevel="0" collapsed="false">
      <c r="A3150" s="5" t="s">
        <v>627</v>
      </c>
      <c r="B3150" s="5" t="s">
        <v>80</v>
      </c>
      <c r="C3150" s="5" t="n">
        <v>2022</v>
      </c>
      <c r="D3150" s="5" t="s">
        <v>77</v>
      </c>
      <c r="E3150" s="5" t="s">
        <v>89</v>
      </c>
      <c r="F3150" s="5" t="s">
        <v>39</v>
      </c>
      <c r="G3150" s="6" t="n">
        <v>396</v>
      </c>
      <c r="H3150" s="6" t="n">
        <v>127</v>
      </c>
      <c r="I3150" s="7" t="n">
        <f aca="false">(G3150-H3150)/G3150</f>
        <v>0.679292929292929</v>
      </c>
      <c r="J3150" s="15" t="n">
        <v>0.5666</v>
      </c>
      <c r="K3150" s="11" t="str">
        <f aca="false">IF(I3150&lt;J3150,"TAK","NIE")</f>
        <v>NIE</v>
      </c>
    </row>
    <row r="3151" customFormat="false" ht="15" hidden="false" customHeight="false" outlineLevel="0" collapsed="false">
      <c r="A3151" s="5" t="s">
        <v>629</v>
      </c>
      <c r="B3151" s="5" t="s">
        <v>80</v>
      </c>
      <c r="C3151" s="5" t="n">
        <v>2022</v>
      </c>
      <c r="D3151" s="5" t="s">
        <v>77</v>
      </c>
      <c r="E3151" s="5" t="s">
        <v>89</v>
      </c>
      <c r="F3151" s="5" t="s">
        <v>39</v>
      </c>
      <c r="G3151" s="6" t="n">
        <v>396</v>
      </c>
      <c r="H3151" s="6" t="n">
        <v>72</v>
      </c>
      <c r="I3151" s="7" t="n">
        <f aca="false">(G3151-H3151)/G3151</f>
        <v>0.818181818181818</v>
      </c>
      <c r="J3151" s="15" t="n">
        <v>0.5666</v>
      </c>
      <c r="K3151" s="11" t="str">
        <f aca="false">IF(I3151&lt;J3151,"TAK","NIE")</f>
        <v>NIE</v>
      </c>
    </row>
    <row r="3152" customFormat="false" ht="15" hidden="false" customHeight="false" outlineLevel="0" collapsed="false">
      <c r="A3152" s="5" t="s">
        <v>630</v>
      </c>
      <c r="B3152" s="5" t="s">
        <v>80</v>
      </c>
      <c r="C3152" s="5" t="n">
        <v>2022</v>
      </c>
      <c r="D3152" s="5" t="s">
        <v>77</v>
      </c>
      <c r="E3152" s="5" t="s">
        <v>89</v>
      </c>
      <c r="F3152" s="5" t="s">
        <v>39</v>
      </c>
      <c r="G3152" s="6" t="n">
        <v>406</v>
      </c>
      <c r="H3152" s="6" t="n">
        <v>139</v>
      </c>
      <c r="I3152" s="7" t="n">
        <f aca="false">(G3152-H3152)/G3152</f>
        <v>0.657635467980296</v>
      </c>
      <c r="J3152" s="15" t="n">
        <v>0.5666</v>
      </c>
      <c r="K3152" s="11" t="str">
        <f aca="false">IF(I3152&lt;J3152,"TAK","NIE")</f>
        <v>NIE</v>
      </c>
    </row>
    <row r="3153" customFormat="false" ht="15" hidden="false" customHeight="false" outlineLevel="0" collapsed="false">
      <c r="A3153" s="5" t="s">
        <v>631</v>
      </c>
      <c r="B3153" s="5" t="s">
        <v>80</v>
      </c>
      <c r="C3153" s="5" t="n">
        <v>2022</v>
      </c>
      <c r="D3153" s="5" t="s">
        <v>77</v>
      </c>
      <c r="E3153" s="5" t="s">
        <v>89</v>
      </c>
      <c r="F3153" s="5" t="s">
        <v>39</v>
      </c>
      <c r="G3153" s="6" t="n">
        <v>396</v>
      </c>
      <c r="H3153" s="6" t="n">
        <v>70</v>
      </c>
      <c r="I3153" s="7" t="n">
        <f aca="false">(G3153-H3153)/G3153</f>
        <v>0.823232323232323</v>
      </c>
      <c r="J3153" s="15" t="n">
        <v>0.5666</v>
      </c>
      <c r="K3153" s="11" t="str">
        <f aca="false">IF(I3153&lt;J3153,"TAK","NIE")</f>
        <v>NIE</v>
      </c>
    </row>
    <row r="3154" customFormat="false" ht="15" hidden="false" customHeight="false" outlineLevel="0" collapsed="false">
      <c r="A3154" s="5" t="s">
        <v>632</v>
      </c>
      <c r="B3154" s="5" t="s">
        <v>80</v>
      </c>
      <c r="C3154" s="5" t="n">
        <v>2022</v>
      </c>
      <c r="D3154" s="5" t="s">
        <v>77</v>
      </c>
      <c r="E3154" s="5" t="s">
        <v>89</v>
      </c>
      <c r="F3154" s="5" t="s">
        <v>39</v>
      </c>
      <c r="G3154" s="6" t="n">
        <v>396</v>
      </c>
      <c r="H3154" s="6" t="n">
        <v>108</v>
      </c>
      <c r="I3154" s="7" t="n">
        <f aca="false">(G3154-H3154)/G3154</f>
        <v>0.727272727272727</v>
      </c>
      <c r="J3154" s="15" t="n">
        <v>0.5666</v>
      </c>
      <c r="K3154" s="11" t="str">
        <f aca="false">IF(I3154&lt;J3154,"TAK","NIE")</f>
        <v>NIE</v>
      </c>
    </row>
    <row r="3155" customFormat="false" ht="15" hidden="false" customHeight="false" outlineLevel="0" collapsed="false">
      <c r="A3155" s="5" t="s">
        <v>633</v>
      </c>
      <c r="B3155" s="5" t="s">
        <v>80</v>
      </c>
      <c r="C3155" s="5" t="n">
        <v>2022</v>
      </c>
      <c r="D3155" s="5" t="s">
        <v>77</v>
      </c>
      <c r="E3155" s="5" t="s">
        <v>89</v>
      </c>
      <c r="F3155" s="5" t="s">
        <v>39</v>
      </c>
      <c r="G3155" s="6" t="n">
        <v>406</v>
      </c>
      <c r="H3155" s="6" t="n">
        <v>115</v>
      </c>
      <c r="I3155" s="7" t="n">
        <f aca="false">(G3155-H3155)/G3155</f>
        <v>0.716748768472906</v>
      </c>
      <c r="J3155" s="15" t="n">
        <v>0.5666</v>
      </c>
      <c r="K3155" s="11" t="str">
        <f aca="false">IF(I3155&lt;J3155,"TAK","NIE")</f>
        <v>NIE</v>
      </c>
    </row>
    <row r="3156" customFormat="false" ht="15" hidden="false" customHeight="false" outlineLevel="0" collapsed="false">
      <c r="A3156" s="5" t="s">
        <v>634</v>
      </c>
      <c r="B3156" s="5" t="s">
        <v>80</v>
      </c>
      <c r="C3156" s="5" t="n">
        <v>2022</v>
      </c>
      <c r="D3156" s="5" t="s">
        <v>77</v>
      </c>
      <c r="E3156" s="5" t="s">
        <v>89</v>
      </c>
      <c r="F3156" s="5" t="s">
        <v>39</v>
      </c>
      <c r="G3156" s="6" t="n">
        <v>406</v>
      </c>
      <c r="H3156" s="6" t="n">
        <v>149</v>
      </c>
      <c r="I3156" s="7" t="n">
        <f aca="false">(G3156-H3156)/G3156</f>
        <v>0.633004926108374</v>
      </c>
      <c r="J3156" s="15" t="n">
        <v>0.5666</v>
      </c>
      <c r="K3156" s="11" t="str">
        <f aca="false">IF(I3156&lt;J3156,"TAK","NIE")</f>
        <v>NIE</v>
      </c>
    </row>
    <row r="3157" customFormat="false" ht="15" hidden="false" customHeight="false" outlineLevel="0" collapsed="false">
      <c r="A3157" s="5" t="s">
        <v>635</v>
      </c>
      <c r="B3157" s="5" t="s">
        <v>80</v>
      </c>
      <c r="C3157" s="5" t="n">
        <v>2022</v>
      </c>
      <c r="D3157" s="5" t="s">
        <v>77</v>
      </c>
      <c r="E3157" s="5" t="s">
        <v>89</v>
      </c>
      <c r="F3157" s="5" t="s">
        <v>39</v>
      </c>
      <c r="G3157" s="6" t="n">
        <v>406</v>
      </c>
      <c r="H3157" s="6" t="n">
        <v>91</v>
      </c>
      <c r="I3157" s="7" t="n">
        <f aca="false">(G3157-H3157)/G3157</f>
        <v>0.775862068965517</v>
      </c>
      <c r="J3157" s="15" t="n">
        <v>0.5666</v>
      </c>
      <c r="K3157" s="11" t="str">
        <f aca="false">IF(I3157&lt;J3157,"TAK","NIE")</f>
        <v>NIE</v>
      </c>
    </row>
    <row r="3158" customFormat="false" ht="15" hidden="false" customHeight="false" outlineLevel="0" collapsed="false">
      <c r="A3158" s="5" t="s">
        <v>636</v>
      </c>
      <c r="B3158" s="5" t="s">
        <v>80</v>
      </c>
      <c r="C3158" s="5" t="n">
        <v>2022</v>
      </c>
      <c r="D3158" s="5" t="s">
        <v>77</v>
      </c>
      <c r="E3158" s="5" t="s">
        <v>89</v>
      </c>
      <c r="F3158" s="5" t="s">
        <v>39</v>
      </c>
      <c r="G3158" s="6" t="n">
        <v>396</v>
      </c>
      <c r="H3158" s="6" t="n">
        <v>32</v>
      </c>
      <c r="I3158" s="7" t="n">
        <f aca="false">(G3158-H3158)/G3158</f>
        <v>0.919191919191919</v>
      </c>
      <c r="J3158" s="15" t="n">
        <v>0.5666</v>
      </c>
      <c r="K3158" s="11" t="str">
        <f aca="false">IF(I3158&lt;J3158,"TAK","NIE")</f>
        <v>NIE</v>
      </c>
    </row>
    <row r="3159" customFormat="false" ht="15" hidden="false" customHeight="false" outlineLevel="0" collapsed="false">
      <c r="A3159" s="5" t="s">
        <v>637</v>
      </c>
      <c r="B3159" s="5" t="s">
        <v>80</v>
      </c>
      <c r="C3159" s="5" t="n">
        <v>2022</v>
      </c>
      <c r="D3159" s="5" t="s">
        <v>77</v>
      </c>
      <c r="E3159" s="5" t="s">
        <v>89</v>
      </c>
      <c r="F3159" s="5" t="s">
        <v>39</v>
      </c>
      <c r="G3159" s="6" t="n">
        <v>406</v>
      </c>
      <c r="H3159" s="6" t="n">
        <v>17</v>
      </c>
      <c r="I3159" s="7" t="n">
        <f aca="false">(G3159-H3159)/G3159</f>
        <v>0.958128078817734</v>
      </c>
      <c r="J3159" s="15" t="n">
        <v>0.5666</v>
      </c>
      <c r="K3159" s="11" t="str">
        <f aca="false">IF(I3159&lt;J3159,"TAK","NIE")</f>
        <v>NIE</v>
      </c>
    </row>
    <row r="3160" customFormat="false" ht="15" hidden="false" customHeight="false" outlineLevel="0" collapsed="false">
      <c r="A3160" s="5" t="s">
        <v>639</v>
      </c>
      <c r="B3160" s="5" t="s">
        <v>80</v>
      </c>
      <c r="C3160" s="5" t="n">
        <v>2022</v>
      </c>
      <c r="D3160" s="5" t="s">
        <v>77</v>
      </c>
      <c r="E3160" s="5" t="s">
        <v>89</v>
      </c>
      <c r="F3160" s="5" t="s">
        <v>39</v>
      </c>
      <c r="G3160" s="6" t="n">
        <v>396</v>
      </c>
      <c r="H3160" s="6" t="n">
        <v>169</v>
      </c>
      <c r="I3160" s="7" t="n">
        <f aca="false">(G3160-H3160)/G3160</f>
        <v>0.573232323232323</v>
      </c>
      <c r="J3160" s="15" t="n">
        <v>0.5666</v>
      </c>
      <c r="K3160" s="11" t="str">
        <f aca="false">IF(I3160&lt;J3160,"TAK","NIE")</f>
        <v>NIE</v>
      </c>
    </row>
    <row r="3161" customFormat="false" ht="15" hidden="false" customHeight="false" outlineLevel="0" collapsed="false">
      <c r="A3161" s="5" t="s">
        <v>640</v>
      </c>
      <c r="B3161" s="5" t="s">
        <v>80</v>
      </c>
      <c r="C3161" s="5" t="n">
        <v>2022</v>
      </c>
      <c r="D3161" s="5" t="s">
        <v>77</v>
      </c>
      <c r="E3161" s="5" t="s">
        <v>89</v>
      </c>
      <c r="F3161" s="5" t="s">
        <v>39</v>
      </c>
      <c r="G3161" s="6" t="n">
        <v>396</v>
      </c>
      <c r="H3161" s="6" t="n">
        <v>82</v>
      </c>
      <c r="I3161" s="7" t="n">
        <f aca="false">(G3161-H3161)/G3161</f>
        <v>0.792929292929293</v>
      </c>
      <c r="J3161" s="15" t="n">
        <v>0.5666</v>
      </c>
      <c r="K3161" s="11" t="str">
        <f aca="false">IF(I3161&lt;J3161,"TAK","NIE")</f>
        <v>NIE</v>
      </c>
    </row>
    <row r="3162" customFormat="false" ht="15" hidden="false" customHeight="false" outlineLevel="0" collapsed="false">
      <c r="A3162" s="5" t="s">
        <v>617</v>
      </c>
      <c r="B3162" s="5" t="s">
        <v>80</v>
      </c>
      <c r="C3162" s="5" t="n">
        <v>2022</v>
      </c>
      <c r="D3162" s="5" t="s">
        <v>77</v>
      </c>
      <c r="E3162" s="5" t="s">
        <v>89</v>
      </c>
      <c r="F3162" s="5" t="s">
        <v>40</v>
      </c>
      <c r="G3162" s="6" t="n">
        <v>685</v>
      </c>
      <c r="H3162" s="6" t="n">
        <v>325</v>
      </c>
      <c r="I3162" s="7" t="n">
        <f aca="false">(G3162-H3162)/G3162</f>
        <v>0.525547445255475</v>
      </c>
      <c r="J3162" s="15" t="n">
        <v>0.269</v>
      </c>
      <c r="K3162" s="11" t="str">
        <f aca="false">IF(I3162&lt;J3162,"TAK","NIE")</f>
        <v>NIE</v>
      </c>
    </row>
    <row r="3163" customFormat="false" ht="15" hidden="false" customHeight="false" outlineLevel="0" collapsed="false">
      <c r="A3163" s="5" t="s">
        <v>618</v>
      </c>
      <c r="B3163" s="5" t="s">
        <v>80</v>
      </c>
      <c r="C3163" s="5" t="n">
        <v>2022</v>
      </c>
      <c r="D3163" s="5" t="s">
        <v>77</v>
      </c>
      <c r="E3163" s="5" t="s">
        <v>89</v>
      </c>
      <c r="F3163" s="5" t="s">
        <v>40</v>
      </c>
      <c r="G3163" s="6" t="n">
        <v>705</v>
      </c>
      <c r="H3163" s="6" t="n">
        <v>213</v>
      </c>
      <c r="I3163" s="7" t="n">
        <f aca="false">(G3163-H3163)/G3163</f>
        <v>0.697872340425532</v>
      </c>
      <c r="J3163" s="15" t="n">
        <v>0.269</v>
      </c>
      <c r="K3163" s="11" t="str">
        <f aca="false">IF(I3163&lt;J3163,"TAK","NIE")</f>
        <v>NIE</v>
      </c>
    </row>
    <row r="3164" customFormat="false" ht="15" hidden="false" customHeight="false" outlineLevel="0" collapsed="false">
      <c r="A3164" s="5" t="s">
        <v>619</v>
      </c>
      <c r="B3164" s="5" t="s">
        <v>80</v>
      </c>
      <c r="C3164" s="5" t="n">
        <v>2022</v>
      </c>
      <c r="D3164" s="5" t="s">
        <v>77</v>
      </c>
      <c r="E3164" s="5" t="s">
        <v>89</v>
      </c>
      <c r="F3164" s="5" t="s">
        <v>40</v>
      </c>
      <c r="G3164" s="6" t="n">
        <v>687</v>
      </c>
      <c r="H3164" s="6" t="n">
        <v>324</v>
      </c>
      <c r="I3164" s="7" t="n">
        <f aca="false">(G3164-H3164)/G3164</f>
        <v>0.528384279475983</v>
      </c>
      <c r="J3164" s="15" t="n">
        <v>0.269</v>
      </c>
      <c r="K3164" s="11" t="str">
        <f aca="false">IF(I3164&lt;J3164,"TAK","NIE")</f>
        <v>NIE</v>
      </c>
    </row>
    <row r="3165" customFormat="false" ht="15" hidden="false" customHeight="false" outlineLevel="0" collapsed="false">
      <c r="A3165" s="5" t="s">
        <v>620</v>
      </c>
      <c r="B3165" s="5" t="s">
        <v>80</v>
      </c>
      <c r="C3165" s="5" t="n">
        <v>2022</v>
      </c>
      <c r="D3165" s="5" t="s">
        <v>77</v>
      </c>
      <c r="E3165" s="5" t="s">
        <v>89</v>
      </c>
      <c r="F3165" s="5" t="s">
        <v>40</v>
      </c>
      <c r="G3165" s="6" t="n">
        <v>687</v>
      </c>
      <c r="H3165" s="6" t="n">
        <v>319</v>
      </c>
      <c r="I3165" s="7" t="n">
        <f aca="false">(G3165-H3165)/G3165</f>
        <v>0.53566229985444</v>
      </c>
      <c r="J3165" s="15" t="n">
        <v>0.269</v>
      </c>
      <c r="K3165" s="11" t="str">
        <f aca="false">IF(I3165&lt;J3165,"TAK","NIE")</f>
        <v>NIE</v>
      </c>
    </row>
    <row r="3166" customFormat="false" ht="15" hidden="false" customHeight="false" outlineLevel="0" collapsed="false">
      <c r="A3166" s="5" t="s">
        <v>621</v>
      </c>
      <c r="B3166" s="5" t="s">
        <v>80</v>
      </c>
      <c r="C3166" s="5" t="n">
        <v>2022</v>
      </c>
      <c r="D3166" s="5" t="s">
        <v>77</v>
      </c>
      <c r="E3166" s="5" t="s">
        <v>89</v>
      </c>
      <c r="F3166" s="5" t="s">
        <v>40</v>
      </c>
      <c r="G3166" s="6" t="n">
        <v>705</v>
      </c>
      <c r="H3166" s="6" t="n">
        <v>145</v>
      </c>
      <c r="I3166" s="7" t="n">
        <f aca="false">(G3166-H3166)/G3166</f>
        <v>0.794326241134752</v>
      </c>
      <c r="J3166" s="15" t="n">
        <v>0.269</v>
      </c>
      <c r="K3166" s="11" t="str">
        <f aca="false">IF(I3166&lt;J3166,"TAK","NIE")</f>
        <v>NIE</v>
      </c>
    </row>
    <row r="3167" customFormat="false" ht="15" hidden="false" customHeight="false" outlineLevel="0" collapsed="false">
      <c r="A3167" s="5" t="s">
        <v>622</v>
      </c>
      <c r="B3167" s="5" t="s">
        <v>80</v>
      </c>
      <c r="C3167" s="5" t="n">
        <v>2022</v>
      </c>
      <c r="D3167" s="5" t="s">
        <v>77</v>
      </c>
      <c r="E3167" s="5" t="s">
        <v>89</v>
      </c>
      <c r="F3167" s="5" t="s">
        <v>40</v>
      </c>
      <c r="G3167" s="6" t="n">
        <v>687</v>
      </c>
      <c r="H3167" s="6" t="n">
        <v>201</v>
      </c>
      <c r="I3167" s="7" t="n">
        <f aca="false">(G3167-H3167)/G3167</f>
        <v>0.707423580786026</v>
      </c>
      <c r="J3167" s="15" t="n">
        <v>0.269</v>
      </c>
      <c r="K3167" s="11" t="str">
        <f aca="false">IF(I3167&lt;J3167,"TAK","NIE")</f>
        <v>NIE</v>
      </c>
    </row>
    <row r="3168" customFormat="false" ht="15" hidden="false" customHeight="false" outlineLevel="0" collapsed="false">
      <c r="A3168" s="5" t="s">
        <v>623</v>
      </c>
      <c r="B3168" s="5" t="s">
        <v>80</v>
      </c>
      <c r="C3168" s="5" t="n">
        <v>2022</v>
      </c>
      <c r="D3168" s="5" t="s">
        <v>77</v>
      </c>
      <c r="E3168" s="5" t="s">
        <v>89</v>
      </c>
      <c r="F3168" s="5" t="s">
        <v>40</v>
      </c>
      <c r="G3168" s="6" t="n">
        <v>707</v>
      </c>
      <c r="H3168" s="6" t="n">
        <v>161</v>
      </c>
      <c r="I3168" s="7" t="n">
        <f aca="false">(G3168-H3168)/G3168</f>
        <v>0.772277227722772</v>
      </c>
      <c r="J3168" s="15" t="n">
        <v>0.269</v>
      </c>
      <c r="K3168" s="11" t="str">
        <f aca="false">IF(I3168&lt;J3168,"TAK","NIE")</f>
        <v>NIE</v>
      </c>
    </row>
    <row r="3169" customFormat="false" ht="15" hidden="false" customHeight="false" outlineLevel="0" collapsed="false">
      <c r="A3169" s="5" t="s">
        <v>624</v>
      </c>
      <c r="B3169" s="5" t="s">
        <v>80</v>
      </c>
      <c r="C3169" s="5" t="n">
        <v>2022</v>
      </c>
      <c r="D3169" s="5" t="s">
        <v>77</v>
      </c>
      <c r="E3169" s="5" t="s">
        <v>89</v>
      </c>
      <c r="F3169" s="5" t="s">
        <v>40</v>
      </c>
      <c r="G3169" s="6" t="n">
        <v>687</v>
      </c>
      <c r="H3169" s="6" t="n">
        <v>362</v>
      </c>
      <c r="I3169" s="7" t="n">
        <f aca="false">(G3169-H3169)/G3169</f>
        <v>0.473071324599709</v>
      </c>
      <c r="J3169" s="15" t="n">
        <v>0.269</v>
      </c>
      <c r="K3169" s="11" t="str">
        <f aca="false">IF(I3169&lt;J3169,"TAK","NIE")</f>
        <v>NIE</v>
      </c>
    </row>
    <row r="3170" customFormat="false" ht="15" hidden="false" customHeight="false" outlineLevel="0" collapsed="false">
      <c r="A3170" s="5" t="s">
        <v>625</v>
      </c>
      <c r="B3170" s="5" t="s">
        <v>80</v>
      </c>
      <c r="C3170" s="5" t="n">
        <v>2022</v>
      </c>
      <c r="D3170" s="5" t="s">
        <v>77</v>
      </c>
      <c r="E3170" s="5" t="s">
        <v>89</v>
      </c>
      <c r="F3170" s="5" t="s">
        <v>40</v>
      </c>
      <c r="G3170" s="6" t="n">
        <v>687</v>
      </c>
      <c r="H3170" s="6" t="n">
        <v>382</v>
      </c>
      <c r="I3170" s="7" t="n">
        <f aca="false">(G3170-H3170)/G3170</f>
        <v>0.443959243085881</v>
      </c>
      <c r="J3170" s="15" t="n">
        <v>0.269</v>
      </c>
      <c r="K3170" s="11" t="str">
        <f aca="false">IF(I3170&lt;J3170,"TAK","NIE")</f>
        <v>NIE</v>
      </c>
    </row>
    <row r="3171" customFormat="false" ht="15" hidden="false" customHeight="false" outlineLevel="0" collapsed="false">
      <c r="A3171" s="5" t="s">
        <v>626</v>
      </c>
      <c r="B3171" s="5" t="s">
        <v>80</v>
      </c>
      <c r="C3171" s="5" t="n">
        <v>2022</v>
      </c>
      <c r="D3171" s="5" t="s">
        <v>77</v>
      </c>
      <c r="E3171" s="5" t="s">
        <v>89</v>
      </c>
      <c r="F3171" s="5" t="s">
        <v>40</v>
      </c>
      <c r="G3171" s="6" t="n">
        <v>685</v>
      </c>
      <c r="H3171" s="6" t="n">
        <v>270</v>
      </c>
      <c r="I3171" s="7" t="n">
        <f aca="false">(G3171-H3171)/G3171</f>
        <v>0.605839416058394</v>
      </c>
      <c r="J3171" s="15" t="n">
        <v>0.269</v>
      </c>
      <c r="K3171" s="11" t="str">
        <f aca="false">IF(I3171&lt;J3171,"TAK","NIE")</f>
        <v>NIE</v>
      </c>
    </row>
    <row r="3172" customFormat="false" ht="15" hidden="false" customHeight="false" outlineLevel="0" collapsed="false">
      <c r="A3172" s="5" t="s">
        <v>627</v>
      </c>
      <c r="B3172" s="5" t="s">
        <v>80</v>
      </c>
      <c r="C3172" s="5" t="n">
        <v>2022</v>
      </c>
      <c r="D3172" s="5" t="s">
        <v>77</v>
      </c>
      <c r="E3172" s="5" t="s">
        <v>89</v>
      </c>
      <c r="F3172" s="5" t="s">
        <v>40</v>
      </c>
      <c r="G3172" s="6" t="n">
        <v>685</v>
      </c>
      <c r="H3172" s="6" t="n">
        <v>292</v>
      </c>
      <c r="I3172" s="7" t="n">
        <f aca="false">(G3172-H3172)/G3172</f>
        <v>0.573722627737226</v>
      </c>
      <c r="J3172" s="15" t="n">
        <v>0.269</v>
      </c>
      <c r="K3172" s="11" t="str">
        <f aca="false">IF(I3172&lt;J3172,"TAK","NIE")</f>
        <v>NIE</v>
      </c>
    </row>
    <row r="3173" customFormat="false" ht="15" hidden="false" customHeight="false" outlineLevel="0" collapsed="false">
      <c r="A3173" s="5" t="s">
        <v>629</v>
      </c>
      <c r="B3173" s="5" t="s">
        <v>80</v>
      </c>
      <c r="C3173" s="5" t="n">
        <v>2022</v>
      </c>
      <c r="D3173" s="5" t="s">
        <v>77</v>
      </c>
      <c r="E3173" s="5" t="s">
        <v>89</v>
      </c>
      <c r="F3173" s="5" t="s">
        <v>40</v>
      </c>
      <c r="G3173" s="6" t="n">
        <v>687</v>
      </c>
      <c r="H3173" s="6" t="n">
        <v>195</v>
      </c>
      <c r="I3173" s="7" t="n">
        <f aca="false">(G3173-H3173)/G3173</f>
        <v>0.716157205240175</v>
      </c>
      <c r="J3173" s="15" t="n">
        <v>0.269</v>
      </c>
      <c r="K3173" s="11" t="str">
        <f aca="false">IF(I3173&lt;J3173,"TAK","NIE")</f>
        <v>NIE</v>
      </c>
    </row>
    <row r="3174" customFormat="false" ht="15" hidden="false" customHeight="false" outlineLevel="0" collapsed="false">
      <c r="A3174" s="5" t="s">
        <v>630</v>
      </c>
      <c r="B3174" s="5" t="s">
        <v>80</v>
      </c>
      <c r="C3174" s="5" t="n">
        <v>2022</v>
      </c>
      <c r="D3174" s="5" t="s">
        <v>77</v>
      </c>
      <c r="E3174" s="5" t="s">
        <v>89</v>
      </c>
      <c r="F3174" s="5" t="s">
        <v>40</v>
      </c>
      <c r="G3174" s="6" t="n">
        <v>707</v>
      </c>
      <c r="H3174" s="6" t="n">
        <v>447</v>
      </c>
      <c r="I3174" s="7" t="n">
        <f aca="false">(G3174-H3174)/G3174</f>
        <v>0.367751060820368</v>
      </c>
      <c r="J3174" s="15" t="n">
        <v>0.269</v>
      </c>
      <c r="K3174" s="11" t="str">
        <f aca="false">IF(I3174&lt;J3174,"TAK","NIE")</f>
        <v>NIE</v>
      </c>
    </row>
    <row r="3175" customFormat="false" ht="15" hidden="false" customHeight="false" outlineLevel="0" collapsed="false">
      <c r="A3175" s="5" t="s">
        <v>631</v>
      </c>
      <c r="B3175" s="5" t="s">
        <v>80</v>
      </c>
      <c r="C3175" s="5" t="n">
        <v>2022</v>
      </c>
      <c r="D3175" s="5" t="s">
        <v>77</v>
      </c>
      <c r="E3175" s="5" t="s">
        <v>89</v>
      </c>
      <c r="F3175" s="5" t="s">
        <v>40</v>
      </c>
      <c r="G3175" s="6" t="n">
        <v>687</v>
      </c>
      <c r="H3175" s="6" t="n">
        <v>269</v>
      </c>
      <c r="I3175" s="7" t="n">
        <f aca="false">(G3175-H3175)/G3175</f>
        <v>0.60844250363901</v>
      </c>
      <c r="J3175" s="15" t="n">
        <v>0.269</v>
      </c>
      <c r="K3175" s="11" t="str">
        <f aca="false">IF(I3175&lt;J3175,"TAK","NIE")</f>
        <v>NIE</v>
      </c>
    </row>
    <row r="3176" customFormat="false" ht="15" hidden="false" customHeight="false" outlineLevel="0" collapsed="false">
      <c r="A3176" s="5" t="s">
        <v>632</v>
      </c>
      <c r="B3176" s="5" t="s">
        <v>80</v>
      </c>
      <c r="C3176" s="5" t="n">
        <v>2022</v>
      </c>
      <c r="D3176" s="5" t="s">
        <v>77</v>
      </c>
      <c r="E3176" s="5" t="s">
        <v>89</v>
      </c>
      <c r="F3176" s="5" t="s">
        <v>40</v>
      </c>
      <c r="G3176" s="6" t="n">
        <v>685</v>
      </c>
      <c r="H3176" s="6" t="n">
        <v>295</v>
      </c>
      <c r="I3176" s="7" t="n">
        <f aca="false">(G3176-H3176)/G3176</f>
        <v>0.569343065693431</v>
      </c>
      <c r="J3176" s="15" t="n">
        <v>0.269</v>
      </c>
      <c r="K3176" s="11" t="str">
        <f aca="false">IF(I3176&lt;J3176,"TAK","NIE")</f>
        <v>NIE</v>
      </c>
    </row>
    <row r="3177" customFormat="false" ht="15" hidden="false" customHeight="false" outlineLevel="0" collapsed="false">
      <c r="A3177" s="5" t="s">
        <v>633</v>
      </c>
      <c r="B3177" s="5" t="s">
        <v>80</v>
      </c>
      <c r="C3177" s="5" t="n">
        <v>2022</v>
      </c>
      <c r="D3177" s="5" t="s">
        <v>77</v>
      </c>
      <c r="E3177" s="5" t="s">
        <v>89</v>
      </c>
      <c r="F3177" s="5" t="s">
        <v>40</v>
      </c>
      <c r="G3177" s="6" t="n">
        <v>707</v>
      </c>
      <c r="H3177" s="6" t="n">
        <v>208</v>
      </c>
      <c r="I3177" s="7" t="n">
        <f aca="false">(G3177-H3177)/G3177</f>
        <v>0.705799151343706</v>
      </c>
      <c r="J3177" s="15" t="n">
        <v>0.269</v>
      </c>
      <c r="K3177" s="11" t="str">
        <f aca="false">IF(I3177&lt;J3177,"TAK","NIE")</f>
        <v>NIE</v>
      </c>
    </row>
    <row r="3178" customFormat="false" ht="15" hidden="false" customHeight="false" outlineLevel="0" collapsed="false">
      <c r="A3178" s="5" t="s">
        <v>634</v>
      </c>
      <c r="B3178" s="5" t="s">
        <v>80</v>
      </c>
      <c r="C3178" s="5" t="n">
        <v>2022</v>
      </c>
      <c r="D3178" s="5" t="s">
        <v>77</v>
      </c>
      <c r="E3178" s="5" t="s">
        <v>89</v>
      </c>
      <c r="F3178" s="5" t="s">
        <v>40</v>
      </c>
      <c r="G3178" s="6" t="n">
        <v>705</v>
      </c>
      <c r="H3178" s="6" t="n">
        <v>315</v>
      </c>
      <c r="I3178" s="7" t="n">
        <f aca="false">(G3178-H3178)/G3178</f>
        <v>0.553191489361702</v>
      </c>
      <c r="J3178" s="15" t="n">
        <v>0.269</v>
      </c>
      <c r="K3178" s="11" t="str">
        <f aca="false">IF(I3178&lt;J3178,"TAK","NIE")</f>
        <v>NIE</v>
      </c>
    </row>
    <row r="3179" customFormat="false" ht="15" hidden="false" customHeight="false" outlineLevel="0" collapsed="false">
      <c r="A3179" s="5" t="s">
        <v>635</v>
      </c>
      <c r="B3179" s="5" t="s">
        <v>80</v>
      </c>
      <c r="C3179" s="5" t="n">
        <v>2022</v>
      </c>
      <c r="D3179" s="5" t="s">
        <v>77</v>
      </c>
      <c r="E3179" s="5" t="s">
        <v>89</v>
      </c>
      <c r="F3179" s="5" t="s">
        <v>40</v>
      </c>
      <c r="G3179" s="6" t="n">
        <v>705</v>
      </c>
      <c r="H3179" s="6" t="n">
        <v>236</v>
      </c>
      <c r="I3179" s="7" t="n">
        <f aca="false">(G3179-H3179)/G3179</f>
        <v>0.665248226950355</v>
      </c>
      <c r="J3179" s="15" t="n">
        <v>0.269</v>
      </c>
      <c r="K3179" s="11" t="str">
        <f aca="false">IF(I3179&lt;J3179,"TAK","NIE")</f>
        <v>NIE</v>
      </c>
    </row>
    <row r="3180" customFormat="false" ht="15" hidden="false" customHeight="false" outlineLevel="0" collapsed="false">
      <c r="A3180" s="5" t="s">
        <v>636</v>
      </c>
      <c r="B3180" s="5" t="s">
        <v>80</v>
      </c>
      <c r="C3180" s="5" t="n">
        <v>2022</v>
      </c>
      <c r="D3180" s="5" t="s">
        <v>77</v>
      </c>
      <c r="E3180" s="5" t="s">
        <v>89</v>
      </c>
      <c r="F3180" s="5" t="s">
        <v>40</v>
      </c>
      <c r="G3180" s="6" t="n">
        <v>685</v>
      </c>
      <c r="H3180" s="6" t="n">
        <v>237</v>
      </c>
      <c r="I3180" s="7" t="n">
        <f aca="false">(G3180-H3180)/G3180</f>
        <v>0.654014598540146</v>
      </c>
      <c r="J3180" s="15" t="n">
        <v>0.269</v>
      </c>
      <c r="K3180" s="11" t="str">
        <f aca="false">IF(I3180&lt;J3180,"TAK","NIE")</f>
        <v>NIE</v>
      </c>
    </row>
    <row r="3181" customFormat="false" ht="15" hidden="false" customHeight="false" outlineLevel="0" collapsed="false">
      <c r="A3181" s="5" t="s">
        <v>637</v>
      </c>
      <c r="B3181" s="5" t="s">
        <v>80</v>
      </c>
      <c r="C3181" s="5" t="n">
        <v>2022</v>
      </c>
      <c r="D3181" s="5" t="s">
        <v>77</v>
      </c>
      <c r="E3181" s="5" t="s">
        <v>89</v>
      </c>
      <c r="F3181" s="5" t="s">
        <v>40</v>
      </c>
      <c r="G3181" s="6" t="n">
        <v>705</v>
      </c>
      <c r="H3181" s="6" t="n">
        <v>69</v>
      </c>
      <c r="I3181" s="7" t="n">
        <f aca="false">(G3181-H3181)/G3181</f>
        <v>0.902127659574468</v>
      </c>
      <c r="J3181" s="15" t="n">
        <v>0.269</v>
      </c>
      <c r="K3181" s="11" t="str">
        <f aca="false">IF(I3181&lt;J3181,"TAK","NIE")</f>
        <v>NIE</v>
      </c>
    </row>
    <row r="3182" customFormat="false" ht="15" hidden="false" customHeight="false" outlineLevel="0" collapsed="false">
      <c r="A3182" s="5" t="s">
        <v>639</v>
      </c>
      <c r="B3182" s="5" t="s">
        <v>80</v>
      </c>
      <c r="C3182" s="5" t="n">
        <v>2022</v>
      </c>
      <c r="D3182" s="5" t="s">
        <v>77</v>
      </c>
      <c r="E3182" s="5" t="s">
        <v>89</v>
      </c>
      <c r="F3182" s="5" t="s">
        <v>40</v>
      </c>
      <c r="G3182" s="6" t="n">
        <v>685</v>
      </c>
      <c r="H3182" s="6" t="n">
        <v>458</v>
      </c>
      <c r="I3182" s="7" t="n">
        <f aca="false">(G3182-H3182)/G3182</f>
        <v>0.331386861313869</v>
      </c>
      <c r="J3182" s="15" t="n">
        <v>0.269</v>
      </c>
      <c r="K3182" s="11" t="str">
        <f aca="false">IF(I3182&lt;J3182,"TAK","NIE")</f>
        <v>NIE</v>
      </c>
    </row>
    <row r="3183" customFormat="false" ht="15" hidden="false" customHeight="false" outlineLevel="0" collapsed="false">
      <c r="A3183" s="5" t="s">
        <v>640</v>
      </c>
      <c r="B3183" s="5" t="s">
        <v>80</v>
      </c>
      <c r="C3183" s="5" t="n">
        <v>2022</v>
      </c>
      <c r="D3183" s="5" t="s">
        <v>77</v>
      </c>
      <c r="E3183" s="5" t="s">
        <v>89</v>
      </c>
      <c r="F3183" s="5" t="s">
        <v>40</v>
      </c>
      <c r="G3183" s="6" t="n">
        <v>687</v>
      </c>
      <c r="H3183" s="6" t="n">
        <v>218</v>
      </c>
      <c r="I3183" s="7" t="n">
        <f aca="false">(G3183-H3183)/G3183</f>
        <v>0.682678311499272</v>
      </c>
      <c r="J3183" s="15" t="n">
        <v>0.269</v>
      </c>
      <c r="K3183" s="11" t="str">
        <f aca="false">IF(I3183&lt;J3183,"TAK","NIE")</f>
        <v>NIE</v>
      </c>
    </row>
    <row r="3184" customFormat="false" ht="15" hidden="false" customHeight="false" outlineLevel="0" collapsed="false">
      <c r="A3184" s="5" t="s">
        <v>641</v>
      </c>
      <c r="B3184" s="5" t="s">
        <v>82</v>
      </c>
      <c r="C3184" s="5" t="n">
        <v>2022</v>
      </c>
      <c r="D3184" s="5" t="s">
        <v>83</v>
      </c>
      <c r="E3184" s="5" t="s">
        <v>55</v>
      </c>
      <c r="F3184" s="5" t="s">
        <v>39</v>
      </c>
      <c r="G3184" s="6" t="n">
        <v>759</v>
      </c>
      <c r="H3184" s="6" t="n">
        <v>132</v>
      </c>
      <c r="I3184" s="7" t="n">
        <f aca="false">(G3184-H3184)/G3184</f>
        <v>0.826086956521739</v>
      </c>
      <c r="J3184" s="15" t="n">
        <v>0.6438</v>
      </c>
      <c r="K3184" s="11" t="str">
        <f aca="false">IF(I3184&lt;J3184,"TAK","NIE")</f>
        <v>NIE</v>
      </c>
    </row>
    <row r="3185" customFormat="false" ht="15" hidden="false" customHeight="false" outlineLevel="0" collapsed="false">
      <c r="A3185" s="5" t="s">
        <v>642</v>
      </c>
      <c r="B3185" s="5" t="s">
        <v>82</v>
      </c>
      <c r="C3185" s="5" t="n">
        <v>2022</v>
      </c>
      <c r="D3185" s="5" t="s">
        <v>83</v>
      </c>
      <c r="E3185" s="5" t="s">
        <v>55</v>
      </c>
      <c r="F3185" s="5" t="s">
        <v>39</v>
      </c>
      <c r="G3185" s="6" t="n">
        <v>612</v>
      </c>
      <c r="H3185" s="6" t="n">
        <v>68</v>
      </c>
      <c r="I3185" s="7" t="n">
        <f aca="false">(G3185-H3185)/G3185</f>
        <v>0.888888888888889</v>
      </c>
      <c r="J3185" s="15" t="n">
        <v>0.6438</v>
      </c>
      <c r="K3185" s="11" t="str">
        <f aca="false">IF(I3185&lt;J3185,"TAK","NIE")</f>
        <v>NIE</v>
      </c>
    </row>
    <row r="3186" customFormat="false" ht="15" hidden="false" customHeight="false" outlineLevel="0" collapsed="false">
      <c r="A3186" s="5" t="s">
        <v>643</v>
      </c>
      <c r="B3186" s="5" t="s">
        <v>82</v>
      </c>
      <c r="C3186" s="5" t="n">
        <v>2022</v>
      </c>
      <c r="D3186" s="5" t="s">
        <v>83</v>
      </c>
      <c r="E3186" s="5" t="s">
        <v>55</v>
      </c>
      <c r="F3186" s="5" t="s">
        <v>39</v>
      </c>
      <c r="G3186" s="6" t="n">
        <v>759</v>
      </c>
      <c r="H3186" s="6" t="n">
        <v>142</v>
      </c>
      <c r="I3186" s="7" t="n">
        <f aca="false">(G3186-H3186)/G3186</f>
        <v>0.812911725955204</v>
      </c>
      <c r="J3186" s="15" t="n">
        <v>0.6438</v>
      </c>
      <c r="K3186" s="11" t="str">
        <f aca="false">IF(I3186&lt;J3186,"TAK","NIE")</f>
        <v>NIE</v>
      </c>
    </row>
    <row r="3187" customFormat="false" ht="15" hidden="false" customHeight="false" outlineLevel="0" collapsed="false">
      <c r="A3187" s="5" t="s">
        <v>644</v>
      </c>
      <c r="B3187" s="5" t="s">
        <v>82</v>
      </c>
      <c r="C3187" s="5" t="n">
        <v>2022</v>
      </c>
      <c r="D3187" s="5" t="s">
        <v>83</v>
      </c>
      <c r="E3187" s="5" t="s">
        <v>55</v>
      </c>
      <c r="F3187" s="5" t="s">
        <v>39</v>
      </c>
      <c r="G3187" s="6" t="n">
        <v>759</v>
      </c>
      <c r="H3187" s="6" t="n">
        <v>109</v>
      </c>
      <c r="I3187" s="7" t="n">
        <f aca="false">(G3187-H3187)/G3187</f>
        <v>0.856389986824769</v>
      </c>
      <c r="J3187" s="15" t="n">
        <v>0.6438</v>
      </c>
      <c r="K3187" s="11" t="str">
        <f aca="false">IF(I3187&lt;J3187,"TAK","NIE")</f>
        <v>NIE</v>
      </c>
    </row>
    <row r="3188" customFormat="false" ht="15" hidden="false" customHeight="false" outlineLevel="0" collapsed="false">
      <c r="A3188" s="5" t="s">
        <v>645</v>
      </c>
      <c r="B3188" s="5" t="s">
        <v>82</v>
      </c>
      <c r="C3188" s="5" t="n">
        <v>2022</v>
      </c>
      <c r="D3188" s="5" t="s">
        <v>83</v>
      </c>
      <c r="E3188" s="5" t="s">
        <v>55</v>
      </c>
      <c r="F3188" s="5" t="s">
        <v>39</v>
      </c>
      <c r="G3188" s="6" t="n">
        <v>758</v>
      </c>
      <c r="H3188" s="6" t="n">
        <v>126</v>
      </c>
      <c r="I3188" s="7" t="n">
        <f aca="false">(G3188-H3188)/G3188</f>
        <v>0.83377308707124</v>
      </c>
      <c r="J3188" s="15" t="n">
        <v>0.6438</v>
      </c>
      <c r="K3188" s="11" t="str">
        <f aca="false">IF(I3188&lt;J3188,"TAK","NIE")</f>
        <v>NIE</v>
      </c>
    </row>
    <row r="3189" customFormat="false" ht="15" hidden="false" customHeight="false" outlineLevel="0" collapsed="false">
      <c r="A3189" s="5" t="s">
        <v>598</v>
      </c>
      <c r="B3189" s="5" t="s">
        <v>82</v>
      </c>
      <c r="C3189" s="5" t="n">
        <v>2022</v>
      </c>
      <c r="D3189" s="5" t="s">
        <v>83</v>
      </c>
      <c r="E3189" s="5" t="s">
        <v>55</v>
      </c>
      <c r="F3189" s="5" t="s">
        <v>39</v>
      </c>
      <c r="G3189" s="6" t="n">
        <v>76</v>
      </c>
      <c r="H3189" s="6" t="n">
        <v>3</v>
      </c>
      <c r="I3189" s="7" t="n">
        <f aca="false">(G3189-H3189)/G3189</f>
        <v>0.960526315789474</v>
      </c>
      <c r="J3189" s="15" t="n">
        <v>0.6438</v>
      </c>
      <c r="K3189" s="11" t="str">
        <f aca="false">IF(I3189&lt;J3189,"TAK","NIE")</f>
        <v>NIE</v>
      </c>
    </row>
    <row r="3190" customFormat="false" ht="15" hidden="false" customHeight="false" outlineLevel="0" collapsed="false">
      <c r="A3190" s="5" t="s">
        <v>646</v>
      </c>
      <c r="B3190" s="5" t="s">
        <v>82</v>
      </c>
      <c r="C3190" s="5" t="n">
        <v>2022</v>
      </c>
      <c r="D3190" s="5" t="s">
        <v>83</v>
      </c>
      <c r="E3190" s="5" t="s">
        <v>55</v>
      </c>
      <c r="F3190" s="5" t="s">
        <v>39</v>
      </c>
      <c r="G3190" s="6" t="n">
        <v>758</v>
      </c>
      <c r="H3190" s="6" t="n">
        <v>141</v>
      </c>
      <c r="I3190" s="7" t="n">
        <f aca="false">(G3190-H3190)/G3190</f>
        <v>0.813984168865435</v>
      </c>
      <c r="J3190" s="15" t="n">
        <v>0.6438</v>
      </c>
      <c r="K3190" s="11" t="str">
        <f aca="false">IF(I3190&lt;J3190,"TAK","NIE")</f>
        <v>NIE</v>
      </c>
    </row>
    <row r="3191" customFormat="false" ht="15" hidden="false" customHeight="false" outlineLevel="0" collapsed="false">
      <c r="A3191" s="5" t="s">
        <v>647</v>
      </c>
      <c r="B3191" s="5" t="s">
        <v>82</v>
      </c>
      <c r="C3191" s="5" t="n">
        <v>2022</v>
      </c>
      <c r="D3191" s="5" t="s">
        <v>83</v>
      </c>
      <c r="E3191" s="5" t="s">
        <v>55</v>
      </c>
      <c r="F3191" s="5" t="s">
        <v>39</v>
      </c>
      <c r="G3191" s="6" t="n">
        <v>759</v>
      </c>
      <c r="H3191" s="6" t="n">
        <v>7</v>
      </c>
      <c r="I3191" s="7" t="n">
        <f aca="false">(G3191-H3191)/G3191</f>
        <v>0.990777338603426</v>
      </c>
      <c r="J3191" s="15" t="n">
        <v>0.6438</v>
      </c>
      <c r="K3191" s="11" t="str">
        <f aca="false">IF(I3191&lt;J3191,"TAK","NIE")</f>
        <v>NIE</v>
      </c>
    </row>
    <row r="3192" customFormat="false" ht="15" hidden="false" customHeight="false" outlineLevel="0" collapsed="false">
      <c r="A3192" s="5" t="s">
        <v>648</v>
      </c>
      <c r="B3192" s="5" t="s">
        <v>82</v>
      </c>
      <c r="C3192" s="5" t="n">
        <v>2022</v>
      </c>
      <c r="D3192" s="5" t="s">
        <v>83</v>
      </c>
      <c r="E3192" s="5" t="s">
        <v>55</v>
      </c>
      <c r="F3192" s="5" t="s">
        <v>39</v>
      </c>
      <c r="G3192" s="6" t="n">
        <v>520</v>
      </c>
      <c r="H3192" s="6" t="n">
        <v>119</v>
      </c>
      <c r="I3192" s="7" t="n">
        <f aca="false">(G3192-H3192)/G3192</f>
        <v>0.771153846153846</v>
      </c>
      <c r="J3192" s="15" t="n">
        <v>0.6438</v>
      </c>
      <c r="K3192" s="11" t="str">
        <f aca="false">IF(I3192&lt;J3192,"TAK","NIE")</f>
        <v>NIE</v>
      </c>
    </row>
    <row r="3193" customFormat="false" ht="15" hidden="false" customHeight="false" outlineLevel="0" collapsed="false">
      <c r="A3193" s="5" t="s">
        <v>649</v>
      </c>
      <c r="B3193" s="5" t="s">
        <v>82</v>
      </c>
      <c r="C3193" s="5" t="n">
        <v>2022</v>
      </c>
      <c r="D3193" s="5" t="s">
        <v>83</v>
      </c>
      <c r="E3193" s="5" t="s">
        <v>55</v>
      </c>
      <c r="F3193" s="5" t="s">
        <v>39</v>
      </c>
      <c r="G3193" s="6" t="n">
        <v>709</v>
      </c>
      <c r="H3193" s="6" t="n">
        <v>81</v>
      </c>
      <c r="I3193" s="7" t="n">
        <f aca="false">(G3193-H3193)/G3193</f>
        <v>0.885754583921016</v>
      </c>
      <c r="J3193" s="15" t="n">
        <v>0.6438</v>
      </c>
      <c r="K3193" s="11" t="str">
        <f aca="false">IF(I3193&lt;J3193,"TAK","NIE")</f>
        <v>NIE</v>
      </c>
    </row>
    <row r="3194" customFormat="false" ht="15" hidden="false" customHeight="false" outlineLevel="0" collapsed="false">
      <c r="A3194" s="5" t="s">
        <v>650</v>
      </c>
      <c r="B3194" s="5" t="s">
        <v>82</v>
      </c>
      <c r="C3194" s="5" t="n">
        <v>2022</v>
      </c>
      <c r="D3194" s="5" t="s">
        <v>83</v>
      </c>
      <c r="E3194" s="5" t="s">
        <v>55</v>
      </c>
      <c r="F3194" s="5" t="s">
        <v>39</v>
      </c>
      <c r="G3194" s="6" t="n">
        <v>758</v>
      </c>
      <c r="H3194" s="6" t="n">
        <v>3</v>
      </c>
      <c r="I3194" s="7" t="n">
        <f aca="false">(G3194-H3194)/G3194</f>
        <v>0.996042216358839</v>
      </c>
      <c r="J3194" s="15" t="n">
        <v>0.6438</v>
      </c>
      <c r="K3194" s="11" t="str">
        <f aca="false">IF(I3194&lt;J3194,"TAK","NIE")</f>
        <v>NIE</v>
      </c>
    </row>
    <row r="3195" customFormat="false" ht="15" hidden="false" customHeight="false" outlineLevel="0" collapsed="false">
      <c r="A3195" s="5" t="s">
        <v>651</v>
      </c>
      <c r="B3195" s="5" t="s">
        <v>82</v>
      </c>
      <c r="C3195" s="5" t="n">
        <v>2022</v>
      </c>
      <c r="D3195" s="5" t="s">
        <v>83</v>
      </c>
      <c r="E3195" s="5" t="s">
        <v>55</v>
      </c>
      <c r="F3195" s="5" t="s">
        <v>39</v>
      </c>
      <c r="G3195" s="6" t="n">
        <v>759</v>
      </c>
      <c r="H3195" s="6" t="n">
        <v>16</v>
      </c>
      <c r="I3195" s="7" t="n">
        <f aca="false">(G3195-H3195)/G3195</f>
        <v>0.978919631093544</v>
      </c>
      <c r="J3195" s="15" t="n">
        <v>0.6438</v>
      </c>
      <c r="K3195" s="11" t="str">
        <f aca="false">IF(I3195&lt;J3195,"TAK","NIE")</f>
        <v>NIE</v>
      </c>
    </row>
    <row r="3196" customFormat="false" ht="15" hidden="false" customHeight="false" outlineLevel="0" collapsed="false">
      <c r="A3196" s="5" t="s">
        <v>652</v>
      </c>
      <c r="B3196" s="5" t="s">
        <v>82</v>
      </c>
      <c r="C3196" s="5" t="n">
        <v>2022</v>
      </c>
      <c r="D3196" s="5" t="s">
        <v>83</v>
      </c>
      <c r="E3196" s="5" t="s">
        <v>55</v>
      </c>
      <c r="F3196" s="5" t="s">
        <v>39</v>
      </c>
      <c r="G3196" s="6" t="n">
        <v>759</v>
      </c>
      <c r="H3196" s="6" t="n">
        <v>33</v>
      </c>
      <c r="I3196" s="7" t="n">
        <f aca="false">(G3196-H3196)/G3196</f>
        <v>0.956521739130435</v>
      </c>
      <c r="J3196" s="15" t="n">
        <v>0.6438</v>
      </c>
      <c r="K3196" s="11" t="str">
        <f aca="false">IF(I3196&lt;J3196,"TAK","NIE")</f>
        <v>NIE</v>
      </c>
    </row>
    <row r="3197" customFormat="false" ht="15" hidden="false" customHeight="false" outlineLevel="0" collapsed="false">
      <c r="A3197" s="5" t="s">
        <v>653</v>
      </c>
      <c r="B3197" s="5" t="s">
        <v>82</v>
      </c>
      <c r="C3197" s="5" t="n">
        <v>2022</v>
      </c>
      <c r="D3197" s="5" t="s">
        <v>83</v>
      </c>
      <c r="E3197" s="5" t="s">
        <v>55</v>
      </c>
      <c r="F3197" s="5" t="s">
        <v>39</v>
      </c>
      <c r="G3197" s="6" t="n">
        <v>758</v>
      </c>
      <c r="H3197" s="6" t="n">
        <v>88</v>
      </c>
      <c r="I3197" s="7" t="n">
        <f aca="false">(G3197-H3197)/G3197</f>
        <v>0.883905013192612</v>
      </c>
      <c r="J3197" s="15" t="n">
        <v>0.6438</v>
      </c>
      <c r="K3197" s="11" t="str">
        <f aca="false">IF(I3197&lt;J3197,"TAK","NIE")</f>
        <v>NIE</v>
      </c>
    </row>
    <row r="3198" customFormat="false" ht="15" hidden="false" customHeight="false" outlineLevel="0" collapsed="false">
      <c r="A3198" s="5" t="s">
        <v>654</v>
      </c>
      <c r="B3198" s="5" t="s">
        <v>82</v>
      </c>
      <c r="C3198" s="5" t="n">
        <v>2022</v>
      </c>
      <c r="D3198" s="5" t="s">
        <v>83</v>
      </c>
      <c r="E3198" s="5" t="s">
        <v>55</v>
      </c>
      <c r="F3198" s="5" t="s">
        <v>39</v>
      </c>
      <c r="G3198" s="6" t="n">
        <v>759</v>
      </c>
      <c r="H3198" s="6" t="n">
        <v>6</v>
      </c>
      <c r="I3198" s="7" t="n">
        <f aca="false">(G3198-H3198)/G3198</f>
        <v>0.992094861660079</v>
      </c>
      <c r="J3198" s="15" t="n">
        <v>0.6438</v>
      </c>
      <c r="K3198" s="11" t="str">
        <f aca="false">IF(I3198&lt;J3198,"TAK","NIE")</f>
        <v>NIE</v>
      </c>
    </row>
    <row r="3199" customFormat="false" ht="15" hidden="false" customHeight="false" outlineLevel="0" collapsed="false">
      <c r="A3199" s="5" t="s">
        <v>655</v>
      </c>
      <c r="B3199" s="5" t="s">
        <v>82</v>
      </c>
      <c r="C3199" s="5" t="n">
        <v>2022</v>
      </c>
      <c r="D3199" s="5" t="s">
        <v>83</v>
      </c>
      <c r="E3199" s="5" t="s">
        <v>55</v>
      </c>
      <c r="F3199" s="5" t="s">
        <v>39</v>
      </c>
      <c r="G3199" s="6" t="n">
        <v>759</v>
      </c>
      <c r="H3199" s="6" t="n">
        <v>154</v>
      </c>
      <c r="I3199" s="7" t="n">
        <f aca="false">(G3199-H3199)/G3199</f>
        <v>0.797101449275362</v>
      </c>
      <c r="J3199" s="15" t="n">
        <v>0.6438</v>
      </c>
      <c r="K3199" s="11" t="str">
        <f aca="false">IF(I3199&lt;J3199,"TAK","NIE")</f>
        <v>NIE</v>
      </c>
    </row>
    <row r="3200" customFormat="false" ht="15" hidden="false" customHeight="false" outlineLevel="0" collapsed="false">
      <c r="A3200" s="5" t="s">
        <v>656</v>
      </c>
      <c r="B3200" s="5" t="s">
        <v>82</v>
      </c>
      <c r="C3200" s="5" t="n">
        <v>2022</v>
      </c>
      <c r="D3200" s="5" t="s">
        <v>83</v>
      </c>
      <c r="E3200" s="5" t="s">
        <v>55</v>
      </c>
      <c r="F3200" s="5" t="s">
        <v>39</v>
      </c>
      <c r="G3200" s="6" t="n">
        <v>758</v>
      </c>
      <c r="H3200" s="6" t="n">
        <v>113</v>
      </c>
      <c r="I3200" s="7" t="n">
        <f aca="false">(G3200-H3200)/G3200</f>
        <v>0.850923482849604</v>
      </c>
      <c r="J3200" s="15" t="n">
        <v>0.6438</v>
      </c>
      <c r="K3200" s="11" t="str">
        <f aca="false">IF(I3200&lt;J3200,"TAK","NIE")</f>
        <v>NIE</v>
      </c>
    </row>
    <row r="3201" customFormat="false" ht="15" hidden="false" customHeight="false" outlineLevel="0" collapsed="false">
      <c r="A3201" s="5" t="s">
        <v>657</v>
      </c>
      <c r="B3201" s="5" t="s">
        <v>82</v>
      </c>
      <c r="C3201" s="5" t="n">
        <v>2022</v>
      </c>
      <c r="D3201" s="5" t="s">
        <v>83</v>
      </c>
      <c r="E3201" s="5" t="s">
        <v>55</v>
      </c>
      <c r="F3201" s="5" t="s">
        <v>39</v>
      </c>
      <c r="G3201" s="6" t="n">
        <v>758</v>
      </c>
      <c r="H3201" s="6" t="n">
        <v>31</v>
      </c>
      <c r="I3201" s="7" t="n">
        <f aca="false">(G3201-H3201)/G3201</f>
        <v>0.95910290237467</v>
      </c>
      <c r="J3201" s="15" t="n">
        <v>0.6438</v>
      </c>
      <c r="K3201" s="11" t="str">
        <f aca="false">IF(I3201&lt;J3201,"TAK","NIE")</f>
        <v>NIE</v>
      </c>
    </row>
    <row r="3202" customFormat="false" ht="15" hidden="false" customHeight="false" outlineLevel="0" collapsed="false">
      <c r="A3202" s="5" t="s">
        <v>658</v>
      </c>
      <c r="B3202" s="5" t="s">
        <v>82</v>
      </c>
      <c r="C3202" s="5" t="n">
        <v>2022</v>
      </c>
      <c r="D3202" s="5" t="s">
        <v>83</v>
      </c>
      <c r="E3202" s="5" t="s">
        <v>55</v>
      </c>
      <c r="F3202" s="5" t="s">
        <v>39</v>
      </c>
      <c r="G3202" s="6" t="n">
        <v>616</v>
      </c>
      <c r="H3202" s="6" t="n">
        <v>39</v>
      </c>
      <c r="I3202" s="7" t="n">
        <f aca="false">(G3202-H3202)/G3202</f>
        <v>0.936688311688312</v>
      </c>
      <c r="J3202" s="15" t="n">
        <v>0.6438</v>
      </c>
      <c r="K3202" s="11" t="str">
        <f aca="false">IF(I3202&lt;J3202,"TAK","NIE")</f>
        <v>NIE</v>
      </c>
    </row>
    <row r="3203" customFormat="false" ht="15" hidden="false" customHeight="false" outlineLevel="0" collapsed="false">
      <c r="A3203" s="5" t="s">
        <v>659</v>
      </c>
      <c r="B3203" s="5" t="s">
        <v>82</v>
      </c>
      <c r="C3203" s="5" t="n">
        <v>2022</v>
      </c>
      <c r="D3203" s="5" t="s">
        <v>83</v>
      </c>
      <c r="E3203" s="5" t="s">
        <v>55</v>
      </c>
      <c r="F3203" s="5" t="s">
        <v>39</v>
      </c>
      <c r="G3203" s="6" t="n">
        <v>759</v>
      </c>
      <c r="H3203" s="6" t="n">
        <v>40</v>
      </c>
      <c r="I3203" s="7" t="n">
        <f aca="false">(G3203-H3203)/G3203</f>
        <v>0.94729907773386</v>
      </c>
      <c r="J3203" s="15" t="n">
        <v>0.6438</v>
      </c>
      <c r="K3203" s="11" t="str">
        <f aca="false">IF(I3203&lt;J3203,"TAK","NIE")</f>
        <v>NIE</v>
      </c>
    </row>
    <row r="3204" customFormat="false" ht="15" hidden="false" customHeight="false" outlineLevel="0" collapsed="false">
      <c r="A3204" s="5" t="s">
        <v>660</v>
      </c>
      <c r="B3204" s="5" t="s">
        <v>82</v>
      </c>
      <c r="C3204" s="5" t="n">
        <v>2022</v>
      </c>
      <c r="D3204" s="5" t="s">
        <v>83</v>
      </c>
      <c r="E3204" s="5" t="s">
        <v>55</v>
      </c>
      <c r="F3204" s="5" t="s">
        <v>39</v>
      </c>
      <c r="G3204" s="6" t="n">
        <v>107</v>
      </c>
      <c r="H3204" s="6" t="n">
        <v>35</v>
      </c>
      <c r="I3204" s="7" t="n">
        <f aca="false">(G3204-H3204)/G3204</f>
        <v>0.672897196261682</v>
      </c>
      <c r="J3204" s="15" t="n">
        <v>0.6438</v>
      </c>
      <c r="K3204" s="11" t="str">
        <f aca="false">IF(I3204&lt;J3204,"TAK","NIE")</f>
        <v>NIE</v>
      </c>
    </row>
    <row r="3205" customFormat="false" ht="15" hidden="false" customHeight="false" outlineLevel="0" collapsed="false">
      <c r="A3205" s="5" t="s">
        <v>661</v>
      </c>
      <c r="B3205" s="5" t="s">
        <v>82</v>
      </c>
      <c r="C3205" s="5" t="n">
        <v>2022</v>
      </c>
      <c r="D3205" s="5" t="s">
        <v>83</v>
      </c>
      <c r="E3205" s="5" t="s">
        <v>55</v>
      </c>
      <c r="F3205" s="5" t="s">
        <v>39</v>
      </c>
      <c r="G3205" s="6" t="n">
        <v>758</v>
      </c>
      <c r="H3205" s="6" t="n">
        <v>54</v>
      </c>
      <c r="I3205" s="7" t="n">
        <f aca="false">(G3205-H3205)/G3205</f>
        <v>0.928759894459103</v>
      </c>
      <c r="J3205" s="15" t="n">
        <v>0.6438</v>
      </c>
      <c r="K3205" s="11" t="str">
        <f aca="false">IF(I3205&lt;J3205,"TAK","NIE")</f>
        <v>NIE</v>
      </c>
    </row>
    <row r="3206" customFormat="false" ht="15" hidden="false" customHeight="false" outlineLevel="0" collapsed="false">
      <c r="A3206" s="5" t="s">
        <v>662</v>
      </c>
      <c r="B3206" s="5" t="s">
        <v>82</v>
      </c>
      <c r="C3206" s="5" t="n">
        <v>2022</v>
      </c>
      <c r="D3206" s="5" t="s">
        <v>83</v>
      </c>
      <c r="E3206" s="5" t="s">
        <v>55</v>
      </c>
      <c r="F3206" s="5" t="s">
        <v>39</v>
      </c>
      <c r="G3206" s="6" t="n">
        <v>758</v>
      </c>
      <c r="H3206" s="6" t="n">
        <v>86</v>
      </c>
      <c r="I3206" s="7" t="n">
        <f aca="false">(G3206-H3206)/G3206</f>
        <v>0.886543535620053</v>
      </c>
      <c r="J3206" s="15" t="n">
        <v>0.6438</v>
      </c>
      <c r="K3206" s="11" t="str">
        <f aca="false">IF(I3206&lt;J3206,"TAK","NIE")</f>
        <v>NIE</v>
      </c>
    </row>
    <row r="3207" customFormat="false" ht="15" hidden="false" customHeight="false" outlineLevel="0" collapsed="false">
      <c r="A3207" s="5" t="s">
        <v>663</v>
      </c>
      <c r="B3207" s="5" t="s">
        <v>82</v>
      </c>
      <c r="C3207" s="5" t="n">
        <v>2022</v>
      </c>
      <c r="D3207" s="5" t="s">
        <v>83</v>
      </c>
      <c r="E3207" s="5" t="s">
        <v>55</v>
      </c>
      <c r="F3207" s="5" t="s">
        <v>39</v>
      </c>
      <c r="G3207" s="6" t="n">
        <v>758</v>
      </c>
      <c r="H3207" s="6" t="n">
        <v>122</v>
      </c>
      <c r="I3207" s="7" t="n">
        <f aca="false">(G3207-H3207)/G3207</f>
        <v>0.839050131926121</v>
      </c>
      <c r="J3207" s="15" t="n">
        <v>0.6438</v>
      </c>
      <c r="K3207" s="11" t="str">
        <f aca="false">IF(I3207&lt;J3207,"TAK","NIE")</f>
        <v>NIE</v>
      </c>
    </row>
    <row r="3208" customFormat="false" ht="15" hidden="false" customHeight="false" outlineLevel="0" collapsed="false">
      <c r="A3208" s="5" t="s">
        <v>641</v>
      </c>
      <c r="B3208" s="5" t="s">
        <v>82</v>
      </c>
      <c r="C3208" s="5" t="n">
        <v>2022</v>
      </c>
      <c r="D3208" s="5" t="s">
        <v>83</v>
      </c>
      <c r="E3208" s="5" t="s">
        <v>55</v>
      </c>
      <c r="F3208" s="5" t="s">
        <v>40</v>
      </c>
      <c r="G3208" s="6" t="n">
        <v>498</v>
      </c>
      <c r="H3208" s="6" t="n">
        <v>146</v>
      </c>
      <c r="I3208" s="7" t="n">
        <f aca="false">(G3208-H3208)/G3208</f>
        <v>0.706827309236948</v>
      </c>
      <c r="J3208" s="15" t="n">
        <v>0.4901</v>
      </c>
      <c r="K3208" s="11" t="str">
        <f aca="false">IF(I3208&lt;J3208,"TAK","NIE")</f>
        <v>NIE</v>
      </c>
    </row>
    <row r="3209" customFormat="false" ht="15" hidden="false" customHeight="false" outlineLevel="0" collapsed="false">
      <c r="A3209" s="5" t="s">
        <v>642</v>
      </c>
      <c r="B3209" s="5" t="s">
        <v>82</v>
      </c>
      <c r="C3209" s="5" t="n">
        <v>2022</v>
      </c>
      <c r="D3209" s="5" t="s">
        <v>83</v>
      </c>
      <c r="E3209" s="5" t="s">
        <v>55</v>
      </c>
      <c r="F3209" s="5" t="s">
        <v>40</v>
      </c>
      <c r="G3209" s="6" t="n">
        <v>406</v>
      </c>
      <c r="H3209" s="6" t="n">
        <v>166</v>
      </c>
      <c r="I3209" s="7" t="n">
        <f aca="false">(G3209-H3209)/G3209</f>
        <v>0.591133004926108</v>
      </c>
      <c r="J3209" s="15" t="n">
        <v>0.4901</v>
      </c>
      <c r="K3209" s="11" t="str">
        <f aca="false">IF(I3209&lt;J3209,"TAK","NIE")</f>
        <v>NIE</v>
      </c>
    </row>
    <row r="3210" customFormat="false" ht="15" hidden="false" customHeight="false" outlineLevel="0" collapsed="false">
      <c r="A3210" s="5" t="s">
        <v>643</v>
      </c>
      <c r="B3210" s="5" t="s">
        <v>82</v>
      </c>
      <c r="C3210" s="5" t="n">
        <v>2022</v>
      </c>
      <c r="D3210" s="5" t="s">
        <v>83</v>
      </c>
      <c r="E3210" s="5" t="s">
        <v>55</v>
      </c>
      <c r="F3210" s="5" t="s">
        <v>40</v>
      </c>
      <c r="G3210" s="6" t="n">
        <v>498</v>
      </c>
      <c r="H3210" s="6" t="n">
        <v>135</v>
      </c>
      <c r="I3210" s="7" t="n">
        <f aca="false">(G3210-H3210)/G3210</f>
        <v>0.728915662650602</v>
      </c>
      <c r="J3210" s="15" t="n">
        <v>0.4901</v>
      </c>
      <c r="K3210" s="11" t="str">
        <f aca="false">IF(I3210&lt;J3210,"TAK","NIE")</f>
        <v>NIE</v>
      </c>
    </row>
    <row r="3211" customFormat="false" ht="15" hidden="false" customHeight="false" outlineLevel="0" collapsed="false">
      <c r="A3211" s="5" t="s">
        <v>644</v>
      </c>
      <c r="B3211" s="5" t="s">
        <v>82</v>
      </c>
      <c r="C3211" s="5" t="n">
        <v>2022</v>
      </c>
      <c r="D3211" s="5" t="s">
        <v>83</v>
      </c>
      <c r="E3211" s="5" t="s">
        <v>55</v>
      </c>
      <c r="F3211" s="5" t="s">
        <v>40</v>
      </c>
      <c r="G3211" s="6" t="n">
        <v>498</v>
      </c>
      <c r="H3211" s="6" t="n">
        <v>167</v>
      </c>
      <c r="I3211" s="7" t="n">
        <f aca="false">(G3211-H3211)/G3211</f>
        <v>0.664658634538153</v>
      </c>
      <c r="J3211" s="15" t="n">
        <v>0.4901</v>
      </c>
      <c r="K3211" s="11" t="str">
        <f aca="false">IF(I3211&lt;J3211,"TAK","NIE")</f>
        <v>NIE</v>
      </c>
    </row>
    <row r="3212" customFormat="false" ht="15" hidden="false" customHeight="false" outlineLevel="0" collapsed="false">
      <c r="A3212" s="5" t="s">
        <v>645</v>
      </c>
      <c r="B3212" s="5" t="s">
        <v>82</v>
      </c>
      <c r="C3212" s="5" t="n">
        <v>2022</v>
      </c>
      <c r="D3212" s="5" t="s">
        <v>83</v>
      </c>
      <c r="E3212" s="5" t="s">
        <v>55</v>
      </c>
      <c r="F3212" s="5" t="s">
        <v>40</v>
      </c>
      <c r="G3212" s="6" t="n">
        <v>498</v>
      </c>
      <c r="H3212" s="6" t="n">
        <v>162</v>
      </c>
      <c r="I3212" s="7" t="n">
        <f aca="false">(G3212-H3212)/G3212</f>
        <v>0.674698795180723</v>
      </c>
      <c r="J3212" s="15" t="n">
        <v>0.4901</v>
      </c>
      <c r="K3212" s="11" t="str">
        <f aca="false">IF(I3212&lt;J3212,"TAK","NIE")</f>
        <v>NIE</v>
      </c>
    </row>
    <row r="3213" customFormat="false" ht="15" hidden="false" customHeight="false" outlineLevel="0" collapsed="false">
      <c r="A3213" s="5" t="s">
        <v>664</v>
      </c>
      <c r="B3213" s="5" t="s">
        <v>82</v>
      </c>
      <c r="C3213" s="5" t="n">
        <v>2022</v>
      </c>
      <c r="D3213" s="5" t="s">
        <v>83</v>
      </c>
      <c r="E3213" s="5" t="s">
        <v>55</v>
      </c>
      <c r="F3213" s="5" t="s">
        <v>40</v>
      </c>
      <c r="G3213" s="6" t="n">
        <v>409</v>
      </c>
      <c r="H3213" s="6" t="n">
        <v>98</v>
      </c>
      <c r="I3213" s="7" t="n">
        <f aca="false">(G3213-H3213)/G3213</f>
        <v>0.76039119804401</v>
      </c>
      <c r="J3213" s="15" t="n">
        <v>0.4901</v>
      </c>
      <c r="K3213" s="11" t="str">
        <f aca="false">IF(I3213&lt;J3213,"TAK","NIE")</f>
        <v>NIE</v>
      </c>
    </row>
    <row r="3214" customFormat="false" ht="15" hidden="false" customHeight="false" outlineLevel="0" collapsed="false">
      <c r="A3214" s="5" t="s">
        <v>646</v>
      </c>
      <c r="B3214" s="5" t="s">
        <v>82</v>
      </c>
      <c r="C3214" s="5" t="n">
        <v>2022</v>
      </c>
      <c r="D3214" s="5" t="s">
        <v>83</v>
      </c>
      <c r="E3214" s="5" t="s">
        <v>55</v>
      </c>
      <c r="F3214" s="5" t="s">
        <v>40</v>
      </c>
      <c r="G3214" s="6" t="n">
        <v>498</v>
      </c>
      <c r="H3214" s="6" t="n">
        <v>307</v>
      </c>
      <c r="I3214" s="7" t="n">
        <f aca="false">(G3214-H3214)/G3214</f>
        <v>0.383534136546185</v>
      </c>
      <c r="J3214" s="15" t="n">
        <v>0.4901</v>
      </c>
      <c r="K3214" s="11" t="str">
        <f aca="false">IF(I3214&lt;J3214,"TAK","NIE")</f>
        <v>TAK</v>
      </c>
    </row>
    <row r="3215" customFormat="false" ht="15" hidden="false" customHeight="false" outlineLevel="0" collapsed="false">
      <c r="A3215" s="5" t="s">
        <v>647</v>
      </c>
      <c r="B3215" s="5" t="s">
        <v>82</v>
      </c>
      <c r="C3215" s="5" t="n">
        <v>2022</v>
      </c>
      <c r="D3215" s="5" t="s">
        <v>83</v>
      </c>
      <c r="E3215" s="5" t="s">
        <v>55</v>
      </c>
      <c r="F3215" s="5" t="s">
        <v>40</v>
      </c>
      <c r="G3215" s="6" t="n">
        <v>498</v>
      </c>
      <c r="H3215" s="6" t="n">
        <v>67</v>
      </c>
      <c r="I3215" s="7" t="n">
        <f aca="false">(G3215-H3215)/G3215</f>
        <v>0.865461847389558</v>
      </c>
      <c r="J3215" s="15" t="n">
        <v>0.4901</v>
      </c>
      <c r="K3215" s="11" t="str">
        <f aca="false">IF(I3215&lt;J3215,"TAK","NIE")</f>
        <v>NIE</v>
      </c>
    </row>
    <row r="3216" customFormat="false" ht="15" hidden="false" customHeight="false" outlineLevel="0" collapsed="false">
      <c r="A3216" s="5" t="s">
        <v>648</v>
      </c>
      <c r="B3216" s="5" t="s">
        <v>82</v>
      </c>
      <c r="C3216" s="5" t="n">
        <v>2022</v>
      </c>
      <c r="D3216" s="5" t="s">
        <v>83</v>
      </c>
      <c r="E3216" s="5" t="s">
        <v>55</v>
      </c>
      <c r="F3216" s="5" t="s">
        <v>40</v>
      </c>
      <c r="G3216" s="6" t="n">
        <v>387</v>
      </c>
      <c r="H3216" s="6" t="n">
        <v>109</v>
      </c>
      <c r="I3216" s="7" t="n">
        <f aca="false">(G3216-H3216)/G3216</f>
        <v>0.718346253229974</v>
      </c>
      <c r="J3216" s="15" t="n">
        <v>0.4901</v>
      </c>
      <c r="K3216" s="11" t="str">
        <f aca="false">IF(I3216&lt;J3216,"TAK","NIE")</f>
        <v>NIE</v>
      </c>
    </row>
    <row r="3217" customFormat="false" ht="15" hidden="false" customHeight="false" outlineLevel="0" collapsed="false">
      <c r="A3217" s="5" t="s">
        <v>650</v>
      </c>
      <c r="B3217" s="5" t="s">
        <v>82</v>
      </c>
      <c r="C3217" s="5" t="n">
        <v>2022</v>
      </c>
      <c r="D3217" s="5" t="s">
        <v>83</v>
      </c>
      <c r="E3217" s="5" t="s">
        <v>55</v>
      </c>
      <c r="F3217" s="5" t="s">
        <v>40</v>
      </c>
      <c r="G3217" s="6" t="n">
        <v>498</v>
      </c>
      <c r="H3217" s="6" t="n">
        <v>6</v>
      </c>
      <c r="I3217" s="7" t="n">
        <f aca="false">(G3217-H3217)/G3217</f>
        <v>0.987951807228916</v>
      </c>
      <c r="J3217" s="15" t="n">
        <v>0.4901</v>
      </c>
      <c r="K3217" s="11" t="str">
        <f aca="false">IF(I3217&lt;J3217,"TAK","NIE")</f>
        <v>NIE</v>
      </c>
    </row>
    <row r="3218" customFormat="false" ht="15" hidden="false" customHeight="false" outlineLevel="0" collapsed="false">
      <c r="A3218" s="5" t="s">
        <v>651</v>
      </c>
      <c r="B3218" s="5" t="s">
        <v>82</v>
      </c>
      <c r="C3218" s="5" t="n">
        <v>2022</v>
      </c>
      <c r="D3218" s="5" t="s">
        <v>83</v>
      </c>
      <c r="E3218" s="5" t="s">
        <v>55</v>
      </c>
      <c r="F3218" s="5" t="s">
        <v>40</v>
      </c>
      <c r="G3218" s="6" t="n">
        <v>498</v>
      </c>
      <c r="H3218" s="6" t="n">
        <v>121</v>
      </c>
      <c r="I3218" s="7" t="n">
        <f aca="false">(G3218-H3218)/G3218</f>
        <v>0.757028112449799</v>
      </c>
      <c r="J3218" s="15" t="n">
        <v>0.4901</v>
      </c>
      <c r="K3218" s="11" t="str">
        <f aca="false">IF(I3218&lt;J3218,"TAK","NIE")</f>
        <v>NIE</v>
      </c>
    </row>
    <row r="3219" customFormat="false" ht="15" hidden="false" customHeight="false" outlineLevel="0" collapsed="false">
      <c r="A3219" s="5" t="s">
        <v>652</v>
      </c>
      <c r="B3219" s="5" t="s">
        <v>82</v>
      </c>
      <c r="C3219" s="5" t="n">
        <v>2022</v>
      </c>
      <c r="D3219" s="5" t="s">
        <v>83</v>
      </c>
      <c r="E3219" s="5" t="s">
        <v>55</v>
      </c>
      <c r="F3219" s="5" t="s">
        <v>40</v>
      </c>
      <c r="G3219" s="6" t="n">
        <v>498</v>
      </c>
      <c r="H3219" s="6" t="n">
        <v>90</v>
      </c>
      <c r="I3219" s="7" t="n">
        <f aca="false">(G3219-H3219)/G3219</f>
        <v>0.819277108433735</v>
      </c>
      <c r="J3219" s="15" t="n">
        <v>0.4901</v>
      </c>
      <c r="K3219" s="11" t="str">
        <f aca="false">IF(I3219&lt;J3219,"TAK","NIE")</f>
        <v>NIE</v>
      </c>
    </row>
    <row r="3220" customFormat="false" ht="15" hidden="false" customHeight="false" outlineLevel="0" collapsed="false">
      <c r="A3220" s="5" t="s">
        <v>653</v>
      </c>
      <c r="B3220" s="5" t="s">
        <v>82</v>
      </c>
      <c r="C3220" s="5" t="n">
        <v>2022</v>
      </c>
      <c r="D3220" s="5" t="s">
        <v>83</v>
      </c>
      <c r="E3220" s="5" t="s">
        <v>55</v>
      </c>
      <c r="F3220" s="5" t="s">
        <v>40</v>
      </c>
      <c r="G3220" s="6" t="n">
        <v>498</v>
      </c>
      <c r="H3220" s="6" t="n">
        <v>133</v>
      </c>
      <c r="I3220" s="7" t="n">
        <f aca="false">(G3220-H3220)/G3220</f>
        <v>0.732931726907631</v>
      </c>
      <c r="J3220" s="15" t="n">
        <v>0.4901</v>
      </c>
      <c r="K3220" s="11" t="str">
        <f aca="false">IF(I3220&lt;J3220,"TAK","NIE")</f>
        <v>NIE</v>
      </c>
    </row>
    <row r="3221" customFormat="false" ht="15" hidden="false" customHeight="false" outlineLevel="0" collapsed="false">
      <c r="A3221" s="5" t="s">
        <v>654</v>
      </c>
      <c r="B3221" s="5" t="s">
        <v>82</v>
      </c>
      <c r="C3221" s="5" t="n">
        <v>2022</v>
      </c>
      <c r="D3221" s="5" t="s">
        <v>83</v>
      </c>
      <c r="E3221" s="5" t="s">
        <v>55</v>
      </c>
      <c r="F3221" s="5" t="s">
        <v>40</v>
      </c>
      <c r="G3221" s="6" t="n">
        <v>498</v>
      </c>
      <c r="H3221" s="6" t="n">
        <v>33</v>
      </c>
      <c r="I3221" s="7" t="n">
        <f aca="false">(G3221-H3221)/G3221</f>
        <v>0.933734939759036</v>
      </c>
      <c r="J3221" s="15" t="n">
        <v>0.4901</v>
      </c>
      <c r="K3221" s="11" t="str">
        <f aca="false">IF(I3221&lt;J3221,"TAK","NIE")</f>
        <v>NIE</v>
      </c>
    </row>
    <row r="3222" customFormat="false" ht="15" hidden="false" customHeight="false" outlineLevel="0" collapsed="false">
      <c r="A3222" s="5" t="s">
        <v>655</v>
      </c>
      <c r="B3222" s="5" t="s">
        <v>82</v>
      </c>
      <c r="C3222" s="5" t="n">
        <v>2022</v>
      </c>
      <c r="D3222" s="5" t="s">
        <v>83</v>
      </c>
      <c r="E3222" s="5" t="s">
        <v>55</v>
      </c>
      <c r="F3222" s="5" t="s">
        <v>40</v>
      </c>
      <c r="G3222" s="6" t="n">
        <v>498</v>
      </c>
      <c r="H3222" s="6" t="n">
        <v>240</v>
      </c>
      <c r="I3222" s="7" t="n">
        <f aca="false">(G3222-H3222)/G3222</f>
        <v>0.518072289156627</v>
      </c>
      <c r="J3222" s="15" t="n">
        <v>0.4901</v>
      </c>
      <c r="K3222" s="11" t="str">
        <f aca="false">IF(I3222&lt;J3222,"TAK","NIE")</f>
        <v>NIE</v>
      </c>
    </row>
    <row r="3223" customFormat="false" ht="15" hidden="false" customHeight="false" outlineLevel="0" collapsed="false">
      <c r="A3223" s="5" t="s">
        <v>656</v>
      </c>
      <c r="B3223" s="5" t="s">
        <v>82</v>
      </c>
      <c r="C3223" s="5" t="n">
        <v>2022</v>
      </c>
      <c r="D3223" s="5" t="s">
        <v>83</v>
      </c>
      <c r="E3223" s="5" t="s">
        <v>55</v>
      </c>
      <c r="F3223" s="5" t="s">
        <v>40</v>
      </c>
      <c r="G3223" s="6" t="n">
        <v>498</v>
      </c>
      <c r="H3223" s="6" t="n">
        <v>172</v>
      </c>
      <c r="I3223" s="7" t="n">
        <f aca="false">(G3223-H3223)/G3223</f>
        <v>0.654618473895582</v>
      </c>
      <c r="J3223" s="15" t="n">
        <v>0.4901</v>
      </c>
      <c r="K3223" s="11" t="str">
        <f aca="false">IF(I3223&lt;J3223,"TAK","NIE")</f>
        <v>NIE</v>
      </c>
    </row>
    <row r="3224" customFormat="false" ht="15" hidden="false" customHeight="false" outlineLevel="0" collapsed="false">
      <c r="A3224" s="5" t="s">
        <v>657</v>
      </c>
      <c r="B3224" s="5" t="s">
        <v>82</v>
      </c>
      <c r="C3224" s="5" t="n">
        <v>2022</v>
      </c>
      <c r="D3224" s="5" t="s">
        <v>83</v>
      </c>
      <c r="E3224" s="5" t="s">
        <v>55</v>
      </c>
      <c r="F3224" s="5" t="s">
        <v>40</v>
      </c>
      <c r="G3224" s="6" t="n">
        <v>498</v>
      </c>
      <c r="H3224" s="6" t="n">
        <v>58</v>
      </c>
      <c r="I3224" s="7" t="n">
        <f aca="false">(G3224-H3224)/G3224</f>
        <v>0.883534136546185</v>
      </c>
      <c r="J3224" s="15" t="n">
        <v>0.4901</v>
      </c>
      <c r="K3224" s="11" t="str">
        <f aca="false">IF(I3224&lt;J3224,"TAK","NIE")</f>
        <v>NIE</v>
      </c>
    </row>
    <row r="3225" customFormat="false" ht="15" hidden="false" customHeight="false" outlineLevel="0" collapsed="false">
      <c r="A3225" s="5" t="s">
        <v>658</v>
      </c>
      <c r="B3225" s="5" t="s">
        <v>82</v>
      </c>
      <c r="C3225" s="5" t="n">
        <v>2022</v>
      </c>
      <c r="D3225" s="5" t="s">
        <v>83</v>
      </c>
      <c r="E3225" s="5" t="s">
        <v>55</v>
      </c>
      <c r="F3225" s="5" t="s">
        <v>40</v>
      </c>
      <c r="G3225" s="6" t="n">
        <v>406</v>
      </c>
      <c r="H3225" s="6" t="n">
        <v>91</v>
      </c>
      <c r="I3225" s="7" t="n">
        <f aca="false">(G3225-H3225)/G3225</f>
        <v>0.775862068965517</v>
      </c>
      <c r="J3225" s="15" t="n">
        <v>0.4901</v>
      </c>
      <c r="K3225" s="11" t="str">
        <f aca="false">IF(I3225&lt;J3225,"TAK","NIE")</f>
        <v>NIE</v>
      </c>
    </row>
    <row r="3226" customFormat="false" ht="15" hidden="false" customHeight="false" outlineLevel="0" collapsed="false">
      <c r="A3226" s="5" t="s">
        <v>659</v>
      </c>
      <c r="B3226" s="5" t="s">
        <v>82</v>
      </c>
      <c r="C3226" s="5" t="n">
        <v>2022</v>
      </c>
      <c r="D3226" s="5" t="s">
        <v>83</v>
      </c>
      <c r="E3226" s="5" t="s">
        <v>55</v>
      </c>
      <c r="F3226" s="5" t="s">
        <v>40</v>
      </c>
      <c r="G3226" s="6" t="n">
        <v>498</v>
      </c>
      <c r="H3226" s="6" t="n">
        <v>105</v>
      </c>
      <c r="I3226" s="7" t="n">
        <f aca="false">(G3226-H3226)/G3226</f>
        <v>0.789156626506024</v>
      </c>
      <c r="J3226" s="15" t="n">
        <v>0.4901</v>
      </c>
      <c r="K3226" s="11" t="str">
        <f aca="false">IF(I3226&lt;J3226,"TAK","NIE")</f>
        <v>NIE</v>
      </c>
    </row>
    <row r="3227" customFormat="false" ht="15" hidden="false" customHeight="false" outlineLevel="0" collapsed="false">
      <c r="A3227" s="5" t="s">
        <v>661</v>
      </c>
      <c r="B3227" s="5" t="s">
        <v>82</v>
      </c>
      <c r="C3227" s="5" t="n">
        <v>2022</v>
      </c>
      <c r="D3227" s="5" t="s">
        <v>83</v>
      </c>
      <c r="E3227" s="5" t="s">
        <v>55</v>
      </c>
      <c r="F3227" s="5" t="s">
        <v>40</v>
      </c>
      <c r="G3227" s="6" t="n">
        <v>498</v>
      </c>
      <c r="H3227" s="6" t="n">
        <v>124</v>
      </c>
      <c r="I3227" s="7" t="n">
        <f aca="false">(G3227-H3227)/G3227</f>
        <v>0.751004016064257</v>
      </c>
      <c r="J3227" s="15" t="n">
        <v>0.4901</v>
      </c>
      <c r="K3227" s="11" t="str">
        <f aca="false">IF(I3227&lt;J3227,"TAK","NIE")</f>
        <v>NIE</v>
      </c>
    </row>
    <row r="3228" customFormat="false" ht="15" hidden="false" customHeight="false" outlineLevel="0" collapsed="false">
      <c r="A3228" s="5" t="s">
        <v>662</v>
      </c>
      <c r="B3228" s="5" t="s">
        <v>82</v>
      </c>
      <c r="C3228" s="5" t="n">
        <v>2022</v>
      </c>
      <c r="D3228" s="5" t="s">
        <v>83</v>
      </c>
      <c r="E3228" s="5" t="s">
        <v>55</v>
      </c>
      <c r="F3228" s="5" t="s">
        <v>40</v>
      </c>
      <c r="G3228" s="6" t="n">
        <v>498</v>
      </c>
      <c r="H3228" s="6" t="n">
        <v>114</v>
      </c>
      <c r="I3228" s="7" t="n">
        <f aca="false">(G3228-H3228)/G3228</f>
        <v>0.771084337349398</v>
      </c>
      <c r="J3228" s="15" t="n">
        <v>0.4901</v>
      </c>
      <c r="K3228" s="11" t="str">
        <f aca="false">IF(I3228&lt;J3228,"TAK","NIE")</f>
        <v>NIE</v>
      </c>
    </row>
    <row r="3229" customFormat="false" ht="15" hidden="false" customHeight="false" outlineLevel="0" collapsed="false">
      <c r="A3229" s="5" t="s">
        <v>663</v>
      </c>
      <c r="B3229" s="5" t="s">
        <v>82</v>
      </c>
      <c r="C3229" s="5" t="n">
        <v>2022</v>
      </c>
      <c r="D3229" s="5" t="s">
        <v>83</v>
      </c>
      <c r="E3229" s="5" t="s">
        <v>55</v>
      </c>
      <c r="F3229" s="5" t="s">
        <v>40</v>
      </c>
      <c r="G3229" s="6" t="n">
        <v>498</v>
      </c>
      <c r="H3229" s="6" t="n">
        <v>186</v>
      </c>
      <c r="I3229" s="7" t="n">
        <f aca="false">(G3229-H3229)/G3229</f>
        <v>0.626506024096386</v>
      </c>
      <c r="J3229" s="15" t="n">
        <v>0.4901</v>
      </c>
      <c r="K3229" s="11" t="str">
        <f aca="false">IF(I3229&lt;J3229,"TAK","NIE")</f>
        <v>NIE</v>
      </c>
    </row>
    <row r="3230" customFormat="false" ht="15" hidden="false" customHeight="false" outlineLevel="0" collapsed="false">
      <c r="A3230" s="5" t="s">
        <v>641</v>
      </c>
      <c r="B3230" s="5" t="s">
        <v>84</v>
      </c>
      <c r="C3230" s="5" t="n">
        <v>2022</v>
      </c>
      <c r="D3230" s="5" t="s">
        <v>83</v>
      </c>
      <c r="E3230" s="5" t="s">
        <v>57</v>
      </c>
      <c r="F3230" s="5" t="s">
        <v>39</v>
      </c>
      <c r="G3230" s="6" t="n">
        <v>631</v>
      </c>
      <c r="H3230" s="6" t="n">
        <v>192</v>
      </c>
      <c r="I3230" s="7" t="n">
        <f aca="false">(G3230-H3230)/G3230</f>
        <v>0.695721077654517</v>
      </c>
      <c r="J3230" s="15" t="n">
        <v>0.5896</v>
      </c>
      <c r="K3230" s="11" t="str">
        <f aca="false">IF(I3230&lt;J3230,"TAK","NIE")</f>
        <v>NIE</v>
      </c>
    </row>
    <row r="3231" customFormat="false" ht="15" hidden="false" customHeight="false" outlineLevel="0" collapsed="false">
      <c r="A3231" s="5" t="s">
        <v>642</v>
      </c>
      <c r="B3231" s="5" t="s">
        <v>84</v>
      </c>
      <c r="C3231" s="5" t="n">
        <v>2022</v>
      </c>
      <c r="D3231" s="5" t="s">
        <v>83</v>
      </c>
      <c r="E3231" s="5" t="s">
        <v>57</v>
      </c>
      <c r="F3231" s="5" t="s">
        <v>39</v>
      </c>
      <c r="G3231" s="6" t="n">
        <v>545</v>
      </c>
      <c r="H3231" s="6" t="n">
        <v>116</v>
      </c>
      <c r="I3231" s="7" t="n">
        <f aca="false">(G3231-H3231)/G3231</f>
        <v>0.787155963302752</v>
      </c>
      <c r="J3231" s="15" t="n">
        <v>0.5896</v>
      </c>
      <c r="K3231" s="11" t="str">
        <f aca="false">IF(I3231&lt;J3231,"TAK","NIE")</f>
        <v>NIE</v>
      </c>
    </row>
    <row r="3232" customFormat="false" ht="15" hidden="false" customHeight="false" outlineLevel="0" collapsed="false">
      <c r="A3232" s="5" t="s">
        <v>643</v>
      </c>
      <c r="B3232" s="5" t="s">
        <v>84</v>
      </c>
      <c r="C3232" s="5" t="n">
        <v>2022</v>
      </c>
      <c r="D3232" s="5" t="s">
        <v>83</v>
      </c>
      <c r="E3232" s="5" t="s">
        <v>57</v>
      </c>
      <c r="F3232" s="5" t="s">
        <v>39</v>
      </c>
      <c r="G3232" s="6" t="n">
        <v>631</v>
      </c>
      <c r="H3232" s="6" t="n">
        <v>101</v>
      </c>
      <c r="I3232" s="7" t="n">
        <f aca="false">(G3232-H3232)/G3232</f>
        <v>0.839936608557845</v>
      </c>
      <c r="J3232" s="15" t="n">
        <v>0.5896</v>
      </c>
      <c r="K3232" s="11" t="str">
        <f aca="false">IF(I3232&lt;J3232,"TAK","NIE")</f>
        <v>NIE</v>
      </c>
    </row>
    <row r="3233" customFormat="false" ht="15" hidden="false" customHeight="false" outlineLevel="0" collapsed="false">
      <c r="A3233" s="5" t="s">
        <v>644</v>
      </c>
      <c r="B3233" s="5" t="s">
        <v>84</v>
      </c>
      <c r="C3233" s="5" t="n">
        <v>2022</v>
      </c>
      <c r="D3233" s="5" t="s">
        <v>83</v>
      </c>
      <c r="E3233" s="5" t="s">
        <v>57</v>
      </c>
      <c r="F3233" s="5" t="s">
        <v>39</v>
      </c>
      <c r="G3233" s="6" t="n">
        <v>631</v>
      </c>
      <c r="H3233" s="6" t="n">
        <v>162</v>
      </c>
      <c r="I3233" s="7" t="n">
        <f aca="false">(G3233-H3233)/G3233</f>
        <v>0.743264659270998</v>
      </c>
      <c r="J3233" s="15" t="n">
        <v>0.5896</v>
      </c>
      <c r="K3233" s="11" t="str">
        <f aca="false">IF(I3233&lt;J3233,"TAK","NIE")</f>
        <v>NIE</v>
      </c>
    </row>
    <row r="3234" customFormat="false" ht="15" hidden="false" customHeight="false" outlineLevel="0" collapsed="false">
      <c r="A3234" s="5" t="s">
        <v>645</v>
      </c>
      <c r="B3234" s="5" t="s">
        <v>84</v>
      </c>
      <c r="C3234" s="5" t="n">
        <v>2022</v>
      </c>
      <c r="D3234" s="5" t="s">
        <v>83</v>
      </c>
      <c r="E3234" s="5" t="s">
        <v>57</v>
      </c>
      <c r="F3234" s="5" t="s">
        <v>39</v>
      </c>
      <c r="G3234" s="6" t="n">
        <v>633</v>
      </c>
      <c r="H3234" s="6" t="n">
        <v>60</v>
      </c>
      <c r="I3234" s="7" t="n">
        <f aca="false">(G3234-H3234)/G3234</f>
        <v>0.90521327014218</v>
      </c>
      <c r="J3234" s="15" t="n">
        <v>0.5896</v>
      </c>
      <c r="K3234" s="11" t="str">
        <f aca="false">IF(I3234&lt;J3234,"TAK","NIE")</f>
        <v>NIE</v>
      </c>
    </row>
    <row r="3235" customFormat="false" ht="15" hidden="false" customHeight="false" outlineLevel="0" collapsed="false">
      <c r="A3235" s="5" t="s">
        <v>664</v>
      </c>
      <c r="B3235" s="5" t="s">
        <v>84</v>
      </c>
      <c r="C3235" s="5" t="n">
        <v>2022</v>
      </c>
      <c r="D3235" s="5" t="s">
        <v>83</v>
      </c>
      <c r="E3235" s="5" t="s">
        <v>57</v>
      </c>
      <c r="F3235" s="5" t="s">
        <v>39</v>
      </c>
      <c r="G3235" s="6" t="n">
        <v>633</v>
      </c>
      <c r="H3235" s="6" t="n">
        <v>119</v>
      </c>
      <c r="I3235" s="7" t="n">
        <f aca="false">(G3235-H3235)/G3235</f>
        <v>0.812006319115324</v>
      </c>
      <c r="J3235" s="15" t="n">
        <v>0.5896</v>
      </c>
      <c r="K3235" s="11" t="str">
        <f aca="false">IF(I3235&lt;J3235,"TAK","NIE")</f>
        <v>NIE</v>
      </c>
    </row>
    <row r="3236" customFormat="false" ht="15" hidden="false" customHeight="false" outlineLevel="0" collapsed="false">
      <c r="A3236" s="5" t="s">
        <v>646</v>
      </c>
      <c r="B3236" s="5" t="s">
        <v>84</v>
      </c>
      <c r="C3236" s="5" t="n">
        <v>2022</v>
      </c>
      <c r="D3236" s="5" t="s">
        <v>83</v>
      </c>
      <c r="E3236" s="5" t="s">
        <v>57</v>
      </c>
      <c r="F3236" s="5" t="s">
        <v>39</v>
      </c>
      <c r="G3236" s="6" t="n">
        <v>633</v>
      </c>
      <c r="H3236" s="6" t="n">
        <v>138</v>
      </c>
      <c r="I3236" s="7" t="n">
        <f aca="false">(G3236-H3236)/G3236</f>
        <v>0.781990521327014</v>
      </c>
      <c r="J3236" s="15" t="n">
        <v>0.5896</v>
      </c>
      <c r="K3236" s="11" t="str">
        <f aca="false">IF(I3236&lt;J3236,"TAK","NIE")</f>
        <v>NIE</v>
      </c>
    </row>
    <row r="3237" customFormat="false" ht="15" hidden="false" customHeight="false" outlineLevel="0" collapsed="false">
      <c r="A3237" s="5" t="s">
        <v>647</v>
      </c>
      <c r="B3237" s="5" t="s">
        <v>84</v>
      </c>
      <c r="C3237" s="5" t="n">
        <v>2022</v>
      </c>
      <c r="D3237" s="5" t="s">
        <v>83</v>
      </c>
      <c r="E3237" s="5" t="s">
        <v>57</v>
      </c>
      <c r="F3237" s="5" t="s">
        <v>39</v>
      </c>
      <c r="G3237" s="6" t="n">
        <v>631</v>
      </c>
      <c r="H3237" s="6" t="n">
        <v>47</v>
      </c>
      <c r="I3237" s="7" t="n">
        <f aca="false">(G3237-H3237)/G3237</f>
        <v>0.925515055467512</v>
      </c>
      <c r="J3237" s="15" t="n">
        <v>0.5896</v>
      </c>
      <c r="K3237" s="11" t="str">
        <f aca="false">IF(I3237&lt;J3237,"TAK","NIE")</f>
        <v>NIE</v>
      </c>
    </row>
    <row r="3238" customFormat="false" ht="15" hidden="false" customHeight="false" outlineLevel="0" collapsed="false">
      <c r="A3238" s="5" t="s">
        <v>648</v>
      </c>
      <c r="B3238" s="5" t="s">
        <v>84</v>
      </c>
      <c r="C3238" s="5" t="n">
        <v>2022</v>
      </c>
      <c r="D3238" s="5" t="s">
        <v>83</v>
      </c>
      <c r="E3238" s="5" t="s">
        <v>57</v>
      </c>
      <c r="F3238" s="5" t="s">
        <v>39</v>
      </c>
      <c r="G3238" s="6" t="n">
        <v>535</v>
      </c>
      <c r="H3238" s="6" t="n">
        <v>247</v>
      </c>
      <c r="I3238" s="7" t="n">
        <f aca="false">(G3238-H3238)/G3238</f>
        <v>0.538317757009346</v>
      </c>
      <c r="J3238" s="15" t="n">
        <v>0.5896</v>
      </c>
      <c r="K3238" s="11" t="str">
        <f aca="false">IF(I3238&lt;J3238,"TAK","NIE")</f>
        <v>TAK</v>
      </c>
    </row>
    <row r="3239" customFormat="false" ht="15" hidden="false" customHeight="false" outlineLevel="0" collapsed="false">
      <c r="A3239" s="5" t="s">
        <v>650</v>
      </c>
      <c r="B3239" s="5" t="s">
        <v>84</v>
      </c>
      <c r="C3239" s="5" t="n">
        <v>2022</v>
      </c>
      <c r="D3239" s="5" t="s">
        <v>83</v>
      </c>
      <c r="E3239" s="5" t="s">
        <v>57</v>
      </c>
      <c r="F3239" s="5" t="s">
        <v>39</v>
      </c>
      <c r="G3239" s="6" t="n">
        <v>633</v>
      </c>
      <c r="H3239" s="6" t="n">
        <v>62</v>
      </c>
      <c r="I3239" s="7" t="n">
        <f aca="false">(G3239-H3239)/G3239</f>
        <v>0.902053712480253</v>
      </c>
      <c r="J3239" s="15" t="n">
        <v>0.5896</v>
      </c>
      <c r="K3239" s="11" t="str">
        <f aca="false">IF(I3239&lt;J3239,"TAK","NIE")</f>
        <v>NIE</v>
      </c>
    </row>
    <row r="3240" customFormat="false" ht="15" hidden="false" customHeight="false" outlineLevel="0" collapsed="false">
      <c r="A3240" s="5" t="s">
        <v>651</v>
      </c>
      <c r="B3240" s="5" t="s">
        <v>84</v>
      </c>
      <c r="C3240" s="5" t="n">
        <v>2022</v>
      </c>
      <c r="D3240" s="5" t="s">
        <v>83</v>
      </c>
      <c r="E3240" s="5" t="s">
        <v>57</v>
      </c>
      <c r="F3240" s="5" t="s">
        <v>39</v>
      </c>
      <c r="G3240" s="6" t="n">
        <v>631</v>
      </c>
      <c r="H3240" s="6" t="n">
        <v>61</v>
      </c>
      <c r="I3240" s="7" t="n">
        <f aca="false">(G3240-H3240)/G3240</f>
        <v>0.903328050713154</v>
      </c>
      <c r="J3240" s="15" t="n">
        <v>0.5896</v>
      </c>
      <c r="K3240" s="11" t="str">
        <f aca="false">IF(I3240&lt;J3240,"TAK","NIE")</f>
        <v>NIE</v>
      </c>
    </row>
    <row r="3241" customFormat="false" ht="15" hidden="false" customHeight="false" outlineLevel="0" collapsed="false">
      <c r="A3241" s="5" t="s">
        <v>652</v>
      </c>
      <c r="B3241" s="5" t="s">
        <v>84</v>
      </c>
      <c r="C3241" s="5" t="n">
        <v>2022</v>
      </c>
      <c r="D3241" s="5" t="s">
        <v>83</v>
      </c>
      <c r="E3241" s="5" t="s">
        <v>57</v>
      </c>
      <c r="F3241" s="5" t="s">
        <v>39</v>
      </c>
      <c r="G3241" s="6" t="n">
        <v>631</v>
      </c>
      <c r="H3241" s="6" t="n">
        <v>66</v>
      </c>
      <c r="I3241" s="7" t="n">
        <f aca="false">(G3241-H3241)/G3241</f>
        <v>0.89540412044374</v>
      </c>
      <c r="J3241" s="15" t="n">
        <v>0.5896</v>
      </c>
      <c r="K3241" s="11" t="str">
        <f aca="false">IF(I3241&lt;J3241,"TAK","NIE")</f>
        <v>NIE</v>
      </c>
    </row>
    <row r="3242" customFormat="false" ht="15" hidden="false" customHeight="false" outlineLevel="0" collapsed="false">
      <c r="A3242" s="5" t="s">
        <v>653</v>
      </c>
      <c r="B3242" s="5" t="s">
        <v>84</v>
      </c>
      <c r="C3242" s="5" t="n">
        <v>2022</v>
      </c>
      <c r="D3242" s="5" t="s">
        <v>83</v>
      </c>
      <c r="E3242" s="5" t="s">
        <v>57</v>
      </c>
      <c r="F3242" s="5" t="s">
        <v>39</v>
      </c>
      <c r="G3242" s="6" t="n">
        <v>633</v>
      </c>
      <c r="H3242" s="6" t="n">
        <v>114</v>
      </c>
      <c r="I3242" s="7" t="n">
        <f aca="false">(G3242-H3242)/G3242</f>
        <v>0.819905213270142</v>
      </c>
      <c r="J3242" s="15" t="n">
        <v>0.5896</v>
      </c>
      <c r="K3242" s="11" t="str">
        <f aca="false">IF(I3242&lt;J3242,"TAK","NIE")</f>
        <v>NIE</v>
      </c>
    </row>
    <row r="3243" customFormat="false" ht="15" hidden="false" customHeight="false" outlineLevel="0" collapsed="false">
      <c r="A3243" s="5" t="s">
        <v>654</v>
      </c>
      <c r="B3243" s="5" t="s">
        <v>84</v>
      </c>
      <c r="C3243" s="5" t="n">
        <v>2022</v>
      </c>
      <c r="D3243" s="5" t="s">
        <v>83</v>
      </c>
      <c r="E3243" s="5" t="s">
        <v>57</v>
      </c>
      <c r="F3243" s="5" t="s">
        <v>39</v>
      </c>
      <c r="G3243" s="6" t="n">
        <v>631</v>
      </c>
      <c r="H3243" s="6" t="n">
        <v>59</v>
      </c>
      <c r="I3243" s="7" t="n">
        <f aca="false">(G3243-H3243)/G3243</f>
        <v>0.906497622820919</v>
      </c>
      <c r="J3243" s="15" t="n">
        <v>0.5896</v>
      </c>
      <c r="K3243" s="11" t="str">
        <f aca="false">IF(I3243&lt;J3243,"TAK","NIE")</f>
        <v>NIE</v>
      </c>
    </row>
    <row r="3244" customFormat="false" ht="15" hidden="false" customHeight="false" outlineLevel="0" collapsed="false">
      <c r="A3244" s="5" t="s">
        <v>655</v>
      </c>
      <c r="B3244" s="5" t="s">
        <v>84</v>
      </c>
      <c r="C3244" s="5" t="n">
        <v>2022</v>
      </c>
      <c r="D3244" s="5" t="s">
        <v>83</v>
      </c>
      <c r="E3244" s="5" t="s">
        <v>57</v>
      </c>
      <c r="F3244" s="5" t="s">
        <v>39</v>
      </c>
      <c r="G3244" s="6" t="n">
        <v>631</v>
      </c>
      <c r="H3244" s="6" t="n">
        <v>270</v>
      </c>
      <c r="I3244" s="7" t="n">
        <f aca="false">(G3244-H3244)/G3244</f>
        <v>0.572107765451664</v>
      </c>
      <c r="J3244" s="15" t="n">
        <v>0.5896</v>
      </c>
      <c r="K3244" s="11" t="str">
        <f aca="false">IF(I3244&lt;J3244,"TAK","NIE")</f>
        <v>TAK</v>
      </c>
    </row>
    <row r="3245" customFormat="false" ht="15" hidden="false" customHeight="false" outlineLevel="0" collapsed="false">
      <c r="A3245" s="5" t="s">
        <v>656</v>
      </c>
      <c r="B3245" s="5" t="s">
        <v>84</v>
      </c>
      <c r="C3245" s="5" t="n">
        <v>2022</v>
      </c>
      <c r="D3245" s="5" t="s">
        <v>83</v>
      </c>
      <c r="E3245" s="5" t="s">
        <v>57</v>
      </c>
      <c r="F3245" s="5" t="s">
        <v>39</v>
      </c>
      <c r="G3245" s="6" t="n">
        <v>633</v>
      </c>
      <c r="H3245" s="6" t="n">
        <v>140</v>
      </c>
      <c r="I3245" s="7" t="n">
        <f aca="false">(G3245-H3245)/G3245</f>
        <v>0.778830963665087</v>
      </c>
      <c r="J3245" s="15" t="n">
        <v>0.5896</v>
      </c>
      <c r="K3245" s="11" t="str">
        <f aca="false">IF(I3245&lt;J3245,"TAK","NIE")</f>
        <v>NIE</v>
      </c>
    </row>
    <row r="3246" customFormat="false" ht="15" hidden="false" customHeight="false" outlineLevel="0" collapsed="false">
      <c r="A3246" s="5" t="s">
        <v>657</v>
      </c>
      <c r="B3246" s="5" t="s">
        <v>84</v>
      </c>
      <c r="C3246" s="5" t="n">
        <v>2022</v>
      </c>
      <c r="D3246" s="5" t="s">
        <v>83</v>
      </c>
      <c r="E3246" s="5" t="s">
        <v>57</v>
      </c>
      <c r="F3246" s="5" t="s">
        <v>39</v>
      </c>
      <c r="G3246" s="6" t="n">
        <v>633</v>
      </c>
      <c r="H3246" s="6" t="n">
        <v>42</v>
      </c>
      <c r="I3246" s="7" t="n">
        <f aca="false">(G3246-H3246)/G3246</f>
        <v>0.933649289099526</v>
      </c>
      <c r="J3246" s="15" t="n">
        <v>0.5896</v>
      </c>
      <c r="K3246" s="11" t="str">
        <f aca="false">IF(I3246&lt;J3246,"TAK","NIE")</f>
        <v>NIE</v>
      </c>
    </row>
    <row r="3247" customFormat="false" ht="15" hidden="false" customHeight="false" outlineLevel="0" collapsed="false">
      <c r="A3247" s="5" t="s">
        <v>658</v>
      </c>
      <c r="B3247" s="5" t="s">
        <v>84</v>
      </c>
      <c r="C3247" s="5" t="n">
        <v>2022</v>
      </c>
      <c r="D3247" s="5" t="s">
        <v>83</v>
      </c>
      <c r="E3247" s="5" t="s">
        <v>57</v>
      </c>
      <c r="F3247" s="5" t="s">
        <v>39</v>
      </c>
      <c r="G3247" s="6" t="n">
        <v>631</v>
      </c>
      <c r="H3247" s="6" t="n">
        <v>98</v>
      </c>
      <c r="I3247" s="7" t="n">
        <f aca="false">(G3247-H3247)/G3247</f>
        <v>0.844690966719493</v>
      </c>
      <c r="J3247" s="15" t="n">
        <v>0.5896</v>
      </c>
      <c r="K3247" s="11" t="str">
        <f aca="false">IF(I3247&lt;J3247,"TAK","NIE")</f>
        <v>NIE</v>
      </c>
    </row>
    <row r="3248" customFormat="false" ht="15" hidden="false" customHeight="false" outlineLevel="0" collapsed="false">
      <c r="A3248" s="5" t="s">
        <v>659</v>
      </c>
      <c r="B3248" s="5" t="s">
        <v>84</v>
      </c>
      <c r="C3248" s="5" t="n">
        <v>2022</v>
      </c>
      <c r="D3248" s="5" t="s">
        <v>83</v>
      </c>
      <c r="E3248" s="5" t="s">
        <v>57</v>
      </c>
      <c r="F3248" s="5" t="s">
        <v>39</v>
      </c>
      <c r="G3248" s="6" t="n">
        <v>631</v>
      </c>
      <c r="H3248" s="6" t="n">
        <v>87</v>
      </c>
      <c r="I3248" s="7" t="n">
        <f aca="false">(G3248-H3248)/G3248</f>
        <v>0.862123613312203</v>
      </c>
      <c r="J3248" s="15" t="n">
        <v>0.5896</v>
      </c>
      <c r="K3248" s="11" t="str">
        <f aca="false">IF(I3248&lt;J3248,"TAK","NIE")</f>
        <v>NIE</v>
      </c>
    </row>
    <row r="3249" customFormat="false" ht="15" hidden="false" customHeight="false" outlineLevel="0" collapsed="false">
      <c r="A3249" s="5" t="s">
        <v>661</v>
      </c>
      <c r="B3249" s="5" t="s">
        <v>84</v>
      </c>
      <c r="C3249" s="5" t="n">
        <v>2022</v>
      </c>
      <c r="D3249" s="5" t="s">
        <v>83</v>
      </c>
      <c r="E3249" s="5" t="s">
        <v>57</v>
      </c>
      <c r="F3249" s="5" t="s">
        <v>39</v>
      </c>
      <c r="G3249" s="6" t="n">
        <v>633</v>
      </c>
      <c r="H3249" s="6" t="n">
        <v>60</v>
      </c>
      <c r="I3249" s="7" t="n">
        <f aca="false">(G3249-H3249)/G3249</f>
        <v>0.90521327014218</v>
      </c>
      <c r="J3249" s="15" t="n">
        <v>0.5896</v>
      </c>
      <c r="K3249" s="11" t="str">
        <f aca="false">IF(I3249&lt;J3249,"TAK","NIE")</f>
        <v>NIE</v>
      </c>
    </row>
    <row r="3250" customFormat="false" ht="15" hidden="false" customHeight="false" outlineLevel="0" collapsed="false">
      <c r="A3250" s="5" t="s">
        <v>662</v>
      </c>
      <c r="B3250" s="5" t="s">
        <v>84</v>
      </c>
      <c r="C3250" s="5" t="n">
        <v>2022</v>
      </c>
      <c r="D3250" s="5" t="s">
        <v>83</v>
      </c>
      <c r="E3250" s="5" t="s">
        <v>57</v>
      </c>
      <c r="F3250" s="5" t="s">
        <v>39</v>
      </c>
      <c r="G3250" s="6" t="n">
        <v>633</v>
      </c>
      <c r="H3250" s="6" t="n">
        <v>158</v>
      </c>
      <c r="I3250" s="7" t="n">
        <f aca="false">(G3250-H3250)/G3250</f>
        <v>0.750394944707741</v>
      </c>
      <c r="J3250" s="15" t="n">
        <v>0.5896</v>
      </c>
      <c r="K3250" s="11" t="str">
        <f aca="false">IF(I3250&lt;J3250,"TAK","NIE")</f>
        <v>NIE</v>
      </c>
    </row>
    <row r="3251" customFormat="false" ht="15" hidden="false" customHeight="false" outlineLevel="0" collapsed="false">
      <c r="A3251" s="5" t="s">
        <v>663</v>
      </c>
      <c r="B3251" s="5" t="s">
        <v>84</v>
      </c>
      <c r="C3251" s="5" t="n">
        <v>2022</v>
      </c>
      <c r="D3251" s="5" t="s">
        <v>83</v>
      </c>
      <c r="E3251" s="5" t="s">
        <v>57</v>
      </c>
      <c r="F3251" s="5" t="s">
        <v>39</v>
      </c>
      <c r="G3251" s="6" t="n">
        <v>633</v>
      </c>
      <c r="H3251" s="6" t="n">
        <v>141</v>
      </c>
      <c r="I3251" s="7" t="n">
        <f aca="false">(G3251-H3251)/G3251</f>
        <v>0.777251184834123</v>
      </c>
      <c r="J3251" s="15" t="n">
        <v>0.5896</v>
      </c>
      <c r="K3251" s="11" t="str">
        <f aca="false">IF(I3251&lt;J3251,"TAK","NIE")</f>
        <v>NIE</v>
      </c>
    </row>
    <row r="3252" customFormat="false" ht="15" hidden="false" customHeight="false" outlineLevel="0" collapsed="false">
      <c r="A3252" s="5" t="s">
        <v>641</v>
      </c>
      <c r="B3252" s="5" t="s">
        <v>84</v>
      </c>
      <c r="C3252" s="5" t="n">
        <v>2022</v>
      </c>
      <c r="D3252" s="5" t="s">
        <v>83</v>
      </c>
      <c r="E3252" s="5" t="s">
        <v>57</v>
      </c>
      <c r="F3252" s="5" t="s">
        <v>40</v>
      </c>
      <c r="G3252" s="6" t="n">
        <v>617</v>
      </c>
      <c r="H3252" s="6" t="n">
        <v>330</v>
      </c>
      <c r="I3252" s="7" t="n">
        <f aca="false">(G3252-H3252)/G3252</f>
        <v>0.46515397082658</v>
      </c>
      <c r="J3252" s="15" t="n">
        <v>0.4107</v>
      </c>
      <c r="K3252" s="11" t="str">
        <f aca="false">IF(I3252&lt;J3252,"TAK","NIE")</f>
        <v>NIE</v>
      </c>
    </row>
    <row r="3253" customFormat="false" ht="15" hidden="false" customHeight="false" outlineLevel="0" collapsed="false">
      <c r="A3253" s="5" t="s">
        <v>642</v>
      </c>
      <c r="B3253" s="5" t="s">
        <v>84</v>
      </c>
      <c r="C3253" s="5" t="n">
        <v>2022</v>
      </c>
      <c r="D3253" s="5" t="s">
        <v>83</v>
      </c>
      <c r="E3253" s="5" t="s">
        <v>57</v>
      </c>
      <c r="F3253" s="5" t="s">
        <v>40</v>
      </c>
      <c r="G3253" s="6" t="n">
        <v>347</v>
      </c>
      <c r="H3253" s="6" t="n">
        <v>91</v>
      </c>
      <c r="I3253" s="7" t="n">
        <f aca="false">(G3253-H3253)/G3253</f>
        <v>0.737752161383285</v>
      </c>
      <c r="J3253" s="15" t="n">
        <v>0.4107</v>
      </c>
      <c r="K3253" s="11" t="str">
        <f aca="false">IF(I3253&lt;J3253,"TAK","NIE")</f>
        <v>NIE</v>
      </c>
    </row>
    <row r="3254" customFormat="false" ht="15" hidden="false" customHeight="false" outlineLevel="0" collapsed="false">
      <c r="A3254" s="5" t="s">
        <v>643</v>
      </c>
      <c r="B3254" s="5" t="s">
        <v>84</v>
      </c>
      <c r="C3254" s="5" t="n">
        <v>2022</v>
      </c>
      <c r="D3254" s="5" t="s">
        <v>83</v>
      </c>
      <c r="E3254" s="5" t="s">
        <v>57</v>
      </c>
      <c r="F3254" s="5" t="s">
        <v>40</v>
      </c>
      <c r="G3254" s="6" t="n">
        <v>617</v>
      </c>
      <c r="H3254" s="6" t="n">
        <v>228</v>
      </c>
      <c r="I3254" s="7" t="n">
        <f aca="false">(G3254-H3254)/G3254</f>
        <v>0.630470016207456</v>
      </c>
      <c r="J3254" s="15" t="n">
        <v>0.4107</v>
      </c>
      <c r="K3254" s="11" t="str">
        <f aca="false">IF(I3254&lt;J3254,"TAK","NIE")</f>
        <v>NIE</v>
      </c>
    </row>
    <row r="3255" customFormat="false" ht="15" hidden="false" customHeight="false" outlineLevel="0" collapsed="false">
      <c r="A3255" s="5" t="s">
        <v>644</v>
      </c>
      <c r="B3255" s="5" t="s">
        <v>84</v>
      </c>
      <c r="C3255" s="5" t="n">
        <v>2022</v>
      </c>
      <c r="D3255" s="5" t="s">
        <v>83</v>
      </c>
      <c r="E3255" s="5" t="s">
        <v>57</v>
      </c>
      <c r="F3255" s="5" t="s">
        <v>40</v>
      </c>
      <c r="G3255" s="6" t="n">
        <v>617</v>
      </c>
      <c r="H3255" s="6" t="n">
        <v>210</v>
      </c>
      <c r="I3255" s="7" t="n">
        <f aca="false">(G3255-H3255)/G3255</f>
        <v>0.659643435980551</v>
      </c>
      <c r="J3255" s="15" t="n">
        <v>0.4107</v>
      </c>
      <c r="K3255" s="11" t="str">
        <f aca="false">IF(I3255&lt;J3255,"TAK","NIE")</f>
        <v>NIE</v>
      </c>
    </row>
    <row r="3256" customFormat="false" ht="15" hidden="false" customHeight="false" outlineLevel="0" collapsed="false">
      <c r="A3256" s="5" t="s">
        <v>645</v>
      </c>
      <c r="B3256" s="5" t="s">
        <v>84</v>
      </c>
      <c r="C3256" s="5" t="n">
        <v>2022</v>
      </c>
      <c r="D3256" s="5" t="s">
        <v>83</v>
      </c>
      <c r="E3256" s="5" t="s">
        <v>57</v>
      </c>
      <c r="F3256" s="5" t="s">
        <v>40</v>
      </c>
      <c r="G3256" s="6" t="n">
        <v>617</v>
      </c>
      <c r="H3256" s="6" t="n">
        <v>182</v>
      </c>
      <c r="I3256" s="7" t="n">
        <f aca="false">(G3256-H3256)/G3256</f>
        <v>0.705024311183144</v>
      </c>
      <c r="J3256" s="15" t="n">
        <v>0.4107</v>
      </c>
      <c r="K3256" s="11" t="str">
        <f aca="false">IF(I3256&lt;J3256,"TAK","NIE")</f>
        <v>NIE</v>
      </c>
    </row>
    <row r="3257" customFormat="false" ht="15" hidden="false" customHeight="false" outlineLevel="0" collapsed="false">
      <c r="A3257" s="5" t="s">
        <v>664</v>
      </c>
      <c r="B3257" s="5" t="s">
        <v>84</v>
      </c>
      <c r="C3257" s="5" t="n">
        <v>2022</v>
      </c>
      <c r="D3257" s="5" t="s">
        <v>83</v>
      </c>
      <c r="E3257" s="5" t="s">
        <v>57</v>
      </c>
      <c r="F3257" s="5" t="s">
        <v>40</v>
      </c>
      <c r="G3257" s="6" t="n">
        <v>617</v>
      </c>
      <c r="H3257" s="6" t="n">
        <v>214</v>
      </c>
      <c r="I3257" s="7" t="n">
        <f aca="false">(G3257-H3257)/G3257</f>
        <v>0.653160453808752</v>
      </c>
      <c r="J3257" s="15" t="n">
        <v>0.4107</v>
      </c>
      <c r="K3257" s="11" t="str">
        <f aca="false">IF(I3257&lt;J3257,"TAK","NIE")</f>
        <v>NIE</v>
      </c>
    </row>
    <row r="3258" customFormat="false" ht="15" hidden="false" customHeight="false" outlineLevel="0" collapsed="false">
      <c r="A3258" s="5" t="s">
        <v>646</v>
      </c>
      <c r="B3258" s="5" t="s">
        <v>84</v>
      </c>
      <c r="C3258" s="5" t="n">
        <v>2022</v>
      </c>
      <c r="D3258" s="5" t="s">
        <v>83</v>
      </c>
      <c r="E3258" s="5" t="s">
        <v>57</v>
      </c>
      <c r="F3258" s="5" t="s">
        <v>40</v>
      </c>
      <c r="G3258" s="6" t="n">
        <v>617</v>
      </c>
      <c r="H3258" s="6" t="n">
        <v>228</v>
      </c>
      <c r="I3258" s="7" t="n">
        <f aca="false">(G3258-H3258)/G3258</f>
        <v>0.630470016207456</v>
      </c>
      <c r="J3258" s="15" t="n">
        <v>0.4107</v>
      </c>
      <c r="K3258" s="11" t="str">
        <f aca="false">IF(I3258&lt;J3258,"TAK","NIE")</f>
        <v>NIE</v>
      </c>
    </row>
    <row r="3259" customFormat="false" ht="15" hidden="false" customHeight="false" outlineLevel="0" collapsed="false">
      <c r="A3259" s="5" t="s">
        <v>647</v>
      </c>
      <c r="B3259" s="5" t="s">
        <v>84</v>
      </c>
      <c r="C3259" s="5" t="n">
        <v>2022</v>
      </c>
      <c r="D3259" s="5" t="s">
        <v>83</v>
      </c>
      <c r="E3259" s="5" t="s">
        <v>57</v>
      </c>
      <c r="F3259" s="5" t="s">
        <v>40</v>
      </c>
      <c r="G3259" s="6" t="n">
        <v>617</v>
      </c>
      <c r="H3259" s="6" t="n">
        <v>132</v>
      </c>
      <c r="I3259" s="7" t="n">
        <f aca="false">(G3259-H3259)/G3259</f>
        <v>0.786061588330632</v>
      </c>
      <c r="J3259" s="15" t="n">
        <v>0.4107</v>
      </c>
      <c r="K3259" s="11" t="str">
        <f aca="false">IF(I3259&lt;J3259,"TAK","NIE")</f>
        <v>NIE</v>
      </c>
    </row>
    <row r="3260" customFormat="false" ht="15" hidden="false" customHeight="false" outlineLevel="0" collapsed="false">
      <c r="A3260" s="5" t="s">
        <v>648</v>
      </c>
      <c r="B3260" s="5" t="s">
        <v>84</v>
      </c>
      <c r="C3260" s="5" t="n">
        <v>2022</v>
      </c>
      <c r="D3260" s="5" t="s">
        <v>83</v>
      </c>
      <c r="E3260" s="5" t="s">
        <v>57</v>
      </c>
      <c r="F3260" s="5" t="s">
        <v>40</v>
      </c>
      <c r="G3260" s="6" t="n">
        <v>525</v>
      </c>
      <c r="H3260" s="6" t="n">
        <v>279</v>
      </c>
      <c r="I3260" s="7" t="n">
        <f aca="false">(G3260-H3260)/G3260</f>
        <v>0.468571428571429</v>
      </c>
      <c r="J3260" s="15" t="n">
        <v>0.4107</v>
      </c>
      <c r="K3260" s="11" t="str">
        <f aca="false">IF(I3260&lt;J3260,"TAK","NIE")</f>
        <v>NIE</v>
      </c>
    </row>
    <row r="3261" customFormat="false" ht="15" hidden="false" customHeight="false" outlineLevel="0" collapsed="false">
      <c r="A3261" s="5" t="s">
        <v>650</v>
      </c>
      <c r="B3261" s="5" t="s">
        <v>84</v>
      </c>
      <c r="C3261" s="5" t="n">
        <v>2022</v>
      </c>
      <c r="D3261" s="5" t="s">
        <v>83</v>
      </c>
      <c r="E3261" s="5" t="s">
        <v>57</v>
      </c>
      <c r="F3261" s="5" t="s">
        <v>40</v>
      </c>
      <c r="G3261" s="6" t="n">
        <v>617</v>
      </c>
      <c r="H3261" s="6" t="n">
        <v>56</v>
      </c>
      <c r="I3261" s="7" t="n">
        <f aca="false">(G3261-H3261)/G3261</f>
        <v>0.909238249594814</v>
      </c>
      <c r="J3261" s="15" t="n">
        <v>0.4107</v>
      </c>
      <c r="K3261" s="11" t="str">
        <f aca="false">IF(I3261&lt;J3261,"TAK","NIE")</f>
        <v>NIE</v>
      </c>
    </row>
    <row r="3262" customFormat="false" ht="15" hidden="false" customHeight="false" outlineLevel="0" collapsed="false">
      <c r="A3262" s="5" t="s">
        <v>651</v>
      </c>
      <c r="B3262" s="5" t="s">
        <v>84</v>
      </c>
      <c r="C3262" s="5" t="n">
        <v>2022</v>
      </c>
      <c r="D3262" s="5" t="s">
        <v>83</v>
      </c>
      <c r="E3262" s="5" t="s">
        <v>57</v>
      </c>
      <c r="F3262" s="5" t="s">
        <v>40</v>
      </c>
      <c r="G3262" s="6" t="n">
        <v>617</v>
      </c>
      <c r="H3262" s="6" t="n">
        <v>147</v>
      </c>
      <c r="I3262" s="7" t="n">
        <f aca="false">(G3262-H3262)/G3262</f>
        <v>0.761750405186386</v>
      </c>
      <c r="J3262" s="15" t="n">
        <v>0.4107</v>
      </c>
      <c r="K3262" s="11" t="str">
        <f aca="false">IF(I3262&lt;J3262,"TAK","NIE")</f>
        <v>NIE</v>
      </c>
    </row>
    <row r="3263" customFormat="false" ht="15" hidden="false" customHeight="false" outlineLevel="0" collapsed="false">
      <c r="A3263" s="5" t="s">
        <v>652</v>
      </c>
      <c r="B3263" s="5" t="s">
        <v>84</v>
      </c>
      <c r="C3263" s="5" t="n">
        <v>2022</v>
      </c>
      <c r="D3263" s="5" t="s">
        <v>83</v>
      </c>
      <c r="E3263" s="5" t="s">
        <v>57</v>
      </c>
      <c r="F3263" s="5" t="s">
        <v>40</v>
      </c>
      <c r="G3263" s="6" t="n">
        <v>617</v>
      </c>
      <c r="H3263" s="6" t="n">
        <v>143</v>
      </c>
      <c r="I3263" s="7" t="n">
        <f aca="false">(G3263-H3263)/G3263</f>
        <v>0.768233387358185</v>
      </c>
      <c r="J3263" s="15" t="n">
        <v>0.4107</v>
      </c>
      <c r="K3263" s="11" t="str">
        <f aca="false">IF(I3263&lt;J3263,"TAK","NIE")</f>
        <v>NIE</v>
      </c>
    </row>
    <row r="3264" customFormat="false" ht="15" hidden="false" customHeight="false" outlineLevel="0" collapsed="false">
      <c r="A3264" s="5" t="s">
        <v>653</v>
      </c>
      <c r="B3264" s="5" t="s">
        <v>84</v>
      </c>
      <c r="C3264" s="5" t="n">
        <v>2022</v>
      </c>
      <c r="D3264" s="5" t="s">
        <v>83</v>
      </c>
      <c r="E3264" s="5" t="s">
        <v>57</v>
      </c>
      <c r="F3264" s="5" t="s">
        <v>40</v>
      </c>
      <c r="G3264" s="6" t="n">
        <v>617</v>
      </c>
      <c r="H3264" s="6" t="n">
        <v>190</v>
      </c>
      <c r="I3264" s="7" t="n">
        <f aca="false">(G3264-H3264)/G3264</f>
        <v>0.692058346839546</v>
      </c>
      <c r="J3264" s="15" t="n">
        <v>0.4107</v>
      </c>
      <c r="K3264" s="11" t="str">
        <f aca="false">IF(I3264&lt;J3264,"TAK","NIE")</f>
        <v>NIE</v>
      </c>
    </row>
    <row r="3265" customFormat="false" ht="15" hidden="false" customHeight="false" outlineLevel="0" collapsed="false">
      <c r="A3265" s="5" t="s">
        <v>654</v>
      </c>
      <c r="B3265" s="5" t="s">
        <v>84</v>
      </c>
      <c r="C3265" s="5" t="n">
        <v>2022</v>
      </c>
      <c r="D3265" s="5" t="s">
        <v>83</v>
      </c>
      <c r="E3265" s="5" t="s">
        <v>57</v>
      </c>
      <c r="F3265" s="5" t="s">
        <v>40</v>
      </c>
      <c r="G3265" s="6" t="n">
        <v>617</v>
      </c>
      <c r="H3265" s="6" t="n">
        <v>136</v>
      </c>
      <c r="I3265" s="7" t="n">
        <f aca="false">(G3265-H3265)/G3265</f>
        <v>0.779578606158833</v>
      </c>
      <c r="J3265" s="15" t="n">
        <v>0.4107</v>
      </c>
      <c r="K3265" s="11" t="str">
        <f aca="false">IF(I3265&lt;J3265,"TAK","NIE")</f>
        <v>NIE</v>
      </c>
    </row>
    <row r="3266" customFormat="false" ht="15" hidden="false" customHeight="false" outlineLevel="0" collapsed="false">
      <c r="A3266" s="5" t="s">
        <v>655</v>
      </c>
      <c r="B3266" s="5" t="s">
        <v>84</v>
      </c>
      <c r="C3266" s="5" t="n">
        <v>2022</v>
      </c>
      <c r="D3266" s="5" t="s">
        <v>83</v>
      </c>
      <c r="E3266" s="5" t="s">
        <v>57</v>
      </c>
      <c r="F3266" s="5" t="s">
        <v>40</v>
      </c>
      <c r="G3266" s="6" t="n">
        <v>617</v>
      </c>
      <c r="H3266" s="6" t="n">
        <v>244</v>
      </c>
      <c r="I3266" s="7" t="n">
        <f aca="false">(G3266-H3266)/G3266</f>
        <v>0.604538087520259</v>
      </c>
      <c r="J3266" s="15" t="n">
        <v>0.4107</v>
      </c>
      <c r="K3266" s="11" t="str">
        <f aca="false">IF(I3266&lt;J3266,"TAK","NIE")</f>
        <v>NIE</v>
      </c>
    </row>
    <row r="3267" customFormat="false" ht="15" hidden="false" customHeight="false" outlineLevel="0" collapsed="false">
      <c r="A3267" s="5" t="s">
        <v>656</v>
      </c>
      <c r="B3267" s="5" t="s">
        <v>84</v>
      </c>
      <c r="C3267" s="5" t="n">
        <v>2022</v>
      </c>
      <c r="D3267" s="5" t="s">
        <v>83</v>
      </c>
      <c r="E3267" s="5" t="s">
        <v>57</v>
      </c>
      <c r="F3267" s="5" t="s">
        <v>40</v>
      </c>
      <c r="G3267" s="6" t="n">
        <v>617</v>
      </c>
      <c r="H3267" s="6" t="n">
        <v>227</v>
      </c>
      <c r="I3267" s="7" t="n">
        <f aca="false">(G3267-H3267)/G3267</f>
        <v>0.632090761750405</v>
      </c>
      <c r="J3267" s="15" t="n">
        <v>0.4107</v>
      </c>
      <c r="K3267" s="11" t="str">
        <f aca="false">IF(I3267&lt;J3267,"TAK","NIE")</f>
        <v>NIE</v>
      </c>
    </row>
    <row r="3268" customFormat="false" ht="15" hidden="false" customHeight="false" outlineLevel="0" collapsed="false">
      <c r="A3268" s="5" t="s">
        <v>657</v>
      </c>
      <c r="B3268" s="5" t="s">
        <v>84</v>
      </c>
      <c r="C3268" s="5" t="n">
        <v>2022</v>
      </c>
      <c r="D3268" s="5" t="s">
        <v>83</v>
      </c>
      <c r="E3268" s="5" t="s">
        <v>57</v>
      </c>
      <c r="F3268" s="5" t="s">
        <v>40</v>
      </c>
      <c r="G3268" s="6" t="n">
        <v>617</v>
      </c>
      <c r="H3268" s="6" t="n">
        <v>186</v>
      </c>
      <c r="I3268" s="7" t="n">
        <f aca="false">(G3268-H3268)/G3268</f>
        <v>0.698541329011345</v>
      </c>
      <c r="J3268" s="15" t="n">
        <v>0.4107</v>
      </c>
      <c r="K3268" s="11" t="str">
        <f aca="false">IF(I3268&lt;J3268,"TAK","NIE")</f>
        <v>NIE</v>
      </c>
    </row>
    <row r="3269" customFormat="false" ht="15" hidden="false" customHeight="false" outlineLevel="0" collapsed="false">
      <c r="A3269" s="5" t="s">
        <v>658</v>
      </c>
      <c r="B3269" s="5" t="s">
        <v>84</v>
      </c>
      <c r="C3269" s="5" t="n">
        <v>2022</v>
      </c>
      <c r="D3269" s="5" t="s">
        <v>83</v>
      </c>
      <c r="E3269" s="5" t="s">
        <v>57</v>
      </c>
      <c r="F3269" s="5" t="s">
        <v>40</v>
      </c>
      <c r="G3269" s="6" t="n">
        <v>617</v>
      </c>
      <c r="H3269" s="6" t="n">
        <v>133</v>
      </c>
      <c r="I3269" s="7" t="n">
        <f aca="false">(G3269-H3269)/G3269</f>
        <v>0.784440842787682</v>
      </c>
      <c r="J3269" s="15" t="n">
        <v>0.4107</v>
      </c>
      <c r="K3269" s="11" t="str">
        <f aca="false">IF(I3269&lt;J3269,"TAK","NIE")</f>
        <v>NIE</v>
      </c>
    </row>
    <row r="3270" customFormat="false" ht="15" hidden="false" customHeight="false" outlineLevel="0" collapsed="false">
      <c r="A3270" s="5" t="s">
        <v>659</v>
      </c>
      <c r="B3270" s="5" t="s">
        <v>84</v>
      </c>
      <c r="C3270" s="5" t="n">
        <v>2022</v>
      </c>
      <c r="D3270" s="5" t="s">
        <v>83</v>
      </c>
      <c r="E3270" s="5" t="s">
        <v>57</v>
      </c>
      <c r="F3270" s="5" t="s">
        <v>40</v>
      </c>
      <c r="G3270" s="6" t="n">
        <v>617</v>
      </c>
      <c r="H3270" s="6" t="n">
        <v>128</v>
      </c>
      <c r="I3270" s="7" t="n">
        <f aca="false">(G3270-H3270)/G3270</f>
        <v>0.792544570502431</v>
      </c>
      <c r="J3270" s="15" t="n">
        <v>0.4107</v>
      </c>
      <c r="K3270" s="11" t="str">
        <f aca="false">IF(I3270&lt;J3270,"TAK","NIE")</f>
        <v>NIE</v>
      </c>
    </row>
    <row r="3271" customFormat="false" ht="15" hidden="false" customHeight="false" outlineLevel="0" collapsed="false">
      <c r="A3271" s="5" t="s">
        <v>661</v>
      </c>
      <c r="B3271" s="5" t="s">
        <v>84</v>
      </c>
      <c r="C3271" s="5" t="n">
        <v>2022</v>
      </c>
      <c r="D3271" s="5" t="s">
        <v>83</v>
      </c>
      <c r="E3271" s="5" t="s">
        <v>57</v>
      </c>
      <c r="F3271" s="5" t="s">
        <v>40</v>
      </c>
      <c r="G3271" s="6" t="n">
        <v>617</v>
      </c>
      <c r="H3271" s="6" t="n">
        <v>135</v>
      </c>
      <c r="I3271" s="7" t="n">
        <f aca="false">(G3271-H3271)/G3271</f>
        <v>0.781199351701783</v>
      </c>
      <c r="J3271" s="15" t="n">
        <v>0.4107</v>
      </c>
      <c r="K3271" s="11" t="str">
        <f aca="false">IF(I3271&lt;J3271,"TAK","NIE")</f>
        <v>NIE</v>
      </c>
    </row>
    <row r="3272" customFormat="false" ht="15" hidden="false" customHeight="false" outlineLevel="0" collapsed="false">
      <c r="A3272" s="5" t="s">
        <v>662</v>
      </c>
      <c r="B3272" s="5" t="s">
        <v>84</v>
      </c>
      <c r="C3272" s="5" t="n">
        <v>2022</v>
      </c>
      <c r="D3272" s="5" t="s">
        <v>83</v>
      </c>
      <c r="E3272" s="5" t="s">
        <v>57</v>
      </c>
      <c r="F3272" s="5" t="s">
        <v>40</v>
      </c>
      <c r="G3272" s="6" t="n">
        <v>617</v>
      </c>
      <c r="H3272" s="6" t="n">
        <v>241</v>
      </c>
      <c r="I3272" s="7" t="n">
        <f aca="false">(G3272-H3272)/G3272</f>
        <v>0.609400324149109</v>
      </c>
      <c r="J3272" s="15" t="n">
        <v>0.4107</v>
      </c>
      <c r="K3272" s="11" t="str">
        <f aca="false">IF(I3272&lt;J3272,"TAK","NIE")</f>
        <v>NIE</v>
      </c>
    </row>
    <row r="3273" customFormat="false" ht="15" hidden="false" customHeight="false" outlineLevel="0" collapsed="false">
      <c r="A3273" s="5" t="s">
        <v>663</v>
      </c>
      <c r="B3273" s="5" t="s">
        <v>84</v>
      </c>
      <c r="C3273" s="5" t="n">
        <v>2022</v>
      </c>
      <c r="D3273" s="5" t="s">
        <v>83</v>
      </c>
      <c r="E3273" s="5" t="s">
        <v>57</v>
      </c>
      <c r="F3273" s="5" t="s">
        <v>40</v>
      </c>
      <c r="G3273" s="6" t="n">
        <v>617</v>
      </c>
      <c r="H3273" s="6" t="n">
        <v>222</v>
      </c>
      <c r="I3273" s="7" t="n">
        <f aca="false">(G3273-H3273)/G3273</f>
        <v>0.640194489465154</v>
      </c>
      <c r="J3273" s="15" t="n">
        <v>0.4107</v>
      </c>
      <c r="K3273" s="11" t="str">
        <f aca="false">IF(I3273&lt;J3273,"TAK","NIE")</f>
        <v>NIE</v>
      </c>
    </row>
    <row r="3274" customFormat="false" ht="15" hidden="false" customHeight="false" outlineLevel="0" collapsed="false">
      <c r="A3274" s="5" t="s">
        <v>643</v>
      </c>
      <c r="B3274" s="5" t="s">
        <v>85</v>
      </c>
      <c r="C3274" s="5" t="n">
        <v>2022</v>
      </c>
      <c r="D3274" s="5" t="s">
        <v>83</v>
      </c>
      <c r="E3274" s="5" t="s">
        <v>75</v>
      </c>
      <c r="F3274" s="5" t="s">
        <v>39</v>
      </c>
      <c r="G3274" s="6" t="n">
        <v>567</v>
      </c>
      <c r="H3274" s="6" t="n">
        <v>185</v>
      </c>
      <c r="I3274" s="7" t="n">
        <f aca="false">(G3274-H3274)/G3274</f>
        <v>0.673721340388007</v>
      </c>
      <c r="J3274" s="15" t="n">
        <v>0.5649</v>
      </c>
      <c r="K3274" s="11" t="str">
        <f aca="false">IF(I3274&lt;J3274,"TAK","NIE")</f>
        <v>NIE</v>
      </c>
    </row>
    <row r="3275" customFormat="false" ht="15" hidden="false" customHeight="false" outlineLevel="0" collapsed="false">
      <c r="A3275" s="5" t="s">
        <v>644</v>
      </c>
      <c r="B3275" s="5" t="s">
        <v>85</v>
      </c>
      <c r="C3275" s="5" t="n">
        <v>2022</v>
      </c>
      <c r="D3275" s="5" t="s">
        <v>83</v>
      </c>
      <c r="E3275" s="5" t="s">
        <v>75</v>
      </c>
      <c r="F3275" s="5" t="s">
        <v>39</v>
      </c>
      <c r="G3275" s="6" t="n">
        <v>567</v>
      </c>
      <c r="H3275" s="6" t="n">
        <v>161</v>
      </c>
      <c r="I3275" s="7" t="n">
        <f aca="false">(G3275-H3275)/G3275</f>
        <v>0.716049382716049</v>
      </c>
      <c r="J3275" s="15" t="n">
        <v>0.5649</v>
      </c>
      <c r="K3275" s="11" t="str">
        <f aca="false">IF(I3275&lt;J3275,"TAK","NIE")</f>
        <v>NIE</v>
      </c>
    </row>
    <row r="3276" customFormat="false" ht="15" hidden="false" customHeight="false" outlineLevel="0" collapsed="false">
      <c r="A3276" s="5" t="s">
        <v>645</v>
      </c>
      <c r="B3276" s="5" t="s">
        <v>85</v>
      </c>
      <c r="C3276" s="5" t="n">
        <v>2022</v>
      </c>
      <c r="D3276" s="5" t="s">
        <v>83</v>
      </c>
      <c r="E3276" s="5" t="s">
        <v>75</v>
      </c>
      <c r="F3276" s="5" t="s">
        <v>39</v>
      </c>
      <c r="G3276" s="6" t="n">
        <v>569</v>
      </c>
      <c r="H3276" s="6" t="n">
        <v>68</v>
      </c>
      <c r="I3276" s="7" t="n">
        <f aca="false">(G3276-H3276)/G3276</f>
        <v>0.880492091388401</v>
      </c>
      <c r="J3276" s="15" t="n">
        <v>0.5649</v>
      </c>
      <c r="K3276" s="11" t="str">
        <f aca="false">IF(I3276&lt;J3276,"TAK","NIE")</f>
        <v>NIE</v>
      </c>
    </row>
    <row r="3277" customFormat="false" ht="15" hidden="false" customHeight="false" outlineLevel="0" collapsed="false">
      <c r="A3277" s="5" t="s">
        <v>664</v>
      </c>
      <c r="B3277" s="5" t="s">
        <v>85</v>
      </c>
      <c r="C3277" s="5" t="n">
        <v>2022</v>
      </c>
      <c r="D3277" s="5" t="s">
        <v>83</v>
      </c>
      <c r="E3277" s="5" t="s">
        <v>75</v>
      </c>
      <c r="F3277" s="5" t="s">
        <v>39</v>
      </c>
      <c r="G3277" s="6" t="n">
        <v>569</v>
      </c>
      <c r="H3277" s="6" t="n">
        <v>87</v>
      </c>
      <c r="I3277" s="7" t="n">
        <f aca="false">(G3277-H3277)/G3277</f>
        <v>0.847100175746924</v>
      </c>
      <c r="J3277" s="15" t="n">
        <v>0.5649</v>
      </c>
      <c r="K3277" s="11" t="str">
        <f aca="false">IF(I3277&lt;J3277,"TAK","NIE")</f>
        <v>NIE</v>
      </c>
    </row>
    <row r="3278" customFormat="false" ht="15" hidden="false" customHeight="false" outlineLevel="0" collapsed="false">
      <c r="A3278" s="5" t="s">
        <v>646</v>
      </c>
      <c r="B3278" s="5" t="s">
        <v>85</v>
      </c>
      <c r="C3278" s="5" t="n">
        <v>2022</v>
      </c>
      <c r="D3278" s="5" t="s">
        <v>83</v>
      </c>
      <c r="E3278" s="5" t="s">
        <v>75</v>
      </c>
      <c r="F3278" s="5" t="s">
        <v>39</v>
      </c>
      <c r="G3278" s="6" t="n">
        <v>569</v>
      </c>
      <c r="H3278" s="6" t="n">
        <v>170</v>
      </c>
      <c r="I3278" s="7" t="n">
        <f aca="false">(G3278-H3278)/G3278</f>
        <v>0.701230228471002</v>
      </c>
      <c r="J3278" s="15" t="n">
        <v>0.5649</v>
      </c>
      <c r="K3278" s="11" t="str">
        <f aca="false">IF(I3278&lt;J3278,"TAK","NIE")</f>
        <v>NIE</v>
      </c>
    </row>
    <row r="3279" customFormat="false" ht="15" hidden="false" customHeight="false" outlineLevel="0" collapsed="false">
      <c r="A3279" s="5" t="s">
        <v>647</v>
      </c>
      <c r="B3279" s="5" t="s">
        <v>85</v>
      </c>
      <c r="C3279" s="5" t="n">
        <v>2022</v>
      </c>
      <c r="D3279" s="5" t="s">
        <v>83</v>
      </c>
      <c r="E3279" s="5" t="s">
        <v>75</v>
      </c>
      <c r="F3279" s="5" t="s">
        <v>39</v>
      </c>
      <c r="G3279" s="6" t="n">
        <v>567</v>
      </c>
      <c r="H3279" s="6" t="n">
        <v>24</v>
      </c>
      <c r="I3279" s="7" t="n">
        <f aca="false">(G3279-H3279)/G3279</f>
        <v>0.957671957671958</v>
      </c>
      <c r="J3279" s="15" t="n">
        <v>0.5649</v>
      </c>
      <c r="K3279" s="11" t="str">
        <f aca="false">IF(I3279&lt;J3279,"TAK","NIE")</f>
        <v>NIE</v>
      </c>
    </row>
    <row r="3280" customFormat="false" ht="15" hidden="false" customHeight="false" outlineLevel="0" collapsed="false">
      <c r="A3280" s="5" t="s">
        <v>650</v>
      </c>
      <c r="B3280" s="5" t="s">
        <v>85</v>
      </c>
      <c r="C3280" s="5" t="n">
        <v>2022</v>
      </c>
      <c r="D3280" s="5" t="s">
        <v>83</v>
      </c>
      <c r="E3280" s="5" t="s">
        <v>75</v>
      </c>
      <c r="F3280" s="5" t="s">
        <v>39</v>
      </c>
      <c r="G3280" s="6" t="n">
        <v>569</v>
      </c>
      <c r="H3280" s="6" t="n">
        <v>84</v>
      </c>
      <c r="I3280" s="7" t="n">
        <f aca="false">(G3280-H3280)/G3280</f>
        <v>0.852372583479789</v>
      </c>
      <c r="J3280" s="15" t="n">
        <v>0.5649</v>
      </c>
      <c r="K3280" s="11" t="str">
        <f aca="false">IF(I3280&lt;J3280,"TAK","NIE")</f>
        <v>NIE</v>
      </c>
    </row>
    <row r="3281" customFormat="false" ht="15" hidden="false" customHeight="false" outlineLevel="0" collapsed="false">
      <c r="A3281" s="5" t="s">
        <v>469</v>
      </c>
      <c r="B3281" s="5" t="s">
        <v>85</v>
      </c>
      <c r="C3281" s="5" t="n">
        <v>2022</v>
      </c>
      <c r="D3281" s="5" t="s">
        <v>83</v>
      </c>
      <c r="E3281" s="5" t="s">
        <v>75</v>
      </c>
      <c r="F3281" s="5" t="s">
        <v>39</v>
      </c>
      <c r="G3281" s="6" t="n">
        <v>568</v>
      </c>
      <c r="H3281" s="6" t="n">
        <v>110</v>
      </c>
      <c r="I3281" s="7" t="n">
        <f aca="false">(G3281-H3281)/G3281</f>
        <v>0.806338028169014</v>
      </c>
      <c r="J3281" s="15" t="n">
        <v>0.5649</v>
      </c>
      <c r="K3281" s="11" t="str">
        <f aca="false">IF(I3281&lt;J3281,"TAK","NIE")</f>
        <v>NIE</v>
      </c>
    </row>
    <row r="3282" customFormat="false" ht="15" hidden="false" customHeight="false" outlineLevel="0" collapsed="false">
      <c r="A3282" s="5" t="s">
        <v>651</v>
      </c>
      <c r="B3282" s="5" t="s">
        <v>85</v>
      </c>
      <c r="C3282" s="5" t="n">
        <v>2022</v>
      </c>
      <c r="D3282" s="5" t="s">
        <v>83</v>
      </c>
      <c r="E3282" s="5" t="s">
        <v>75</v>
      </c>
      <c r="F3282" s="5" t="s">
        <v>39</v>
      </c>
      <c r="G3282" s="6" t="n">
        <v>567</v>
      </c>
      <c r="H3282" s="6" t="n">
        <v>107</v>
      </c>
      <c r="I3282" s="7" t="n">
        <f aca="false">(G3282-H3282)/G3282</f>
        <v>0.811287477954145</v>
      </c>
      <c r="J3282" s="15" t="n">
        <v>0.5649</v>
      </c>
      <c r="K3282" s="11" t="str">
        <f aca="false">IF(I3282&lt;J3282,"TAK","NIE")</f>
        <v>NIE</v>
      </c>
    </row>
    <row r="3283" customFormat="false" ht="15" hidden="false" customHeight="false" outlineLevel="0" collapsed="false">
      <c r="A3283" s="5" t="s">
        <v>652</v>
      </c>
      <c r="B3283" s="5" t="s">
        <v>85</v>
      </c>
      <c r="C3283" s="5" t="n">
        <v>2022</v>
      </c>
      <c r="D3283" s="5" t="s">
        <v>83</v>
      </c>
      <c r="E3283" s="5" t="s">
        <v>75</v>
      </c>
      <c r="F3283" s="5" t="s">
        <v>39</v>
      </c>
      <c r="G3283" s="6" t="n">
        <v>567</v>
      </c>
      <c r="H3283" s="6" t="n">
        <v>82</v>
      </c>
      <c r="I3283" s="7" t="n">
        <f aca="false">(G3283-H3283)/G3283</f>
        <v>0.855379188712522</v>
      </c>
      <c r="J3283" s="15" t="n">
        <v>0.5649</v>
      </c>
      <c r="K3283" s="11" t="str">
        <f aca="false">IF(I3283&lt;J3283,"TAK","NIE")</f>
        <v>NIE</v>
      </c>
    </row>
    <row r="3284" customFormat="false" ht="15" hidden="false" customHeight="false" outlineLevel="0" collapsed="false">
      <c r="A3284" s="5" t="s">
        <v>653</v>
      </c>
      <c r="B3284" s="5" t="s">
        <v>85</v>
      </c>
      <c r="C3284" s="5" t="n">
        <v>2022</v>
      </c>
      <c r="D3284" s="5" t="s">
        <v>83</v>
      </c>
      <c r="E3284" s="5" t="s">
        <v>75</v>
      </c>
      <c r="F3284" s="5" t="s">
        <v>39</v>
      </c>
      <c r="G3284" s="6" t="n">
        <v>569</v>
      </c>
      <c r="H3284" s="6" t="n">
        <v>138</v>
      </c>
      <c r="I3284" s="7" t="n">
        <f aca="false">(G3284-H3284)/G3284</f>
        <v>0.757469244288225</v>
      </c>
      <c r="J3284" s="15" t="n">
        <v>0.5649</v>
      </c>
      <c r="K3284" s="11" t="str">
        <f aca="false">IF(I3284&lt;J3284,"TAK","NIE")</f>
        <v>NIE</v>
      </c>
    </row>
    <row r="3285" customFormat="false" ht="15" hidden="false" customHeight="false" outlineLevel="0" collapsed="false">
      <c r="A3285" s="5" t="s">
        <v>654</v>
      </c>
      <c r="B3285" s="5" t="s">
        <v>85</v>
      </c>
      <c r="C3285" s="5" t="n">
        <v>2022</v>
      </c>
      <c r="D3285" s="5" t="s">
        <v>83</v>
      </c>
      <c r="E3285" s="5" t="s">
        <v>75</v>
      </c>
      <c r="F3285" s="5" t="s">
        <v>39</v>
      </c>
      <c r="G3285" s="6" t="n">
        <v>567</v>
      </c>
      <c r="H3285" s="6" t="n">
        <v>60</v>
      </c>
      <c r="I3285" s="7" t="n">
        <f aca="false">(G3285-H3285)/G3285</f>
        <v>0.894179894179894</v>
      </c>
      <c r="J3285" s="15" t="n">
        <v>0.5649</v>
      </c>
      <c r="K3285" s="11" t="str">
        <f aca="false">IF(I3285&lt;J3285,"TAK","NIE")</f>
        <v>NIE</v>
      </c>
    </row>
    <row r="3286" customFormat="false" ht="15" hidden="false" customHeight="false" outlineLevel="0" collapsed="false">
      <c r="A3286" s="5" t="s">
        <v>655</v>
      </c>
      <c r="B3286" s="5" t="s">
        <v>85</v>
      </c>
      <c r="C3286" s="5" t="n">
        <v>2022</v>
      </c>
      <c r="D3286" s="5" t="s">
        <v>83</v>
      </c>
      <c r="E3286" s="5" t="s">
        <v>75</v>
      </c>
      <c r="F3286" s="5" t="s">
        <v>39</v>
      </c>
      <c r="G3286" s="6" t="n">
        <v>567</v>
      </c>
      <c r="H3286" s="6" t="n">
        <v>234</v>
      </c>
      <c r="I3286" s="7" t="n">
        <f aca="false">(G3286-H3286)/G3286</f>
        <v>0.587301587301587</v>
      </c>
      <c r="J3286" s="15" t="n">
        <v>0.5649</v>
      </c>
      <c r="K3286" s="11" t="str">
        <f aca="false">IF(I3286&lt;J3286,"TAK","NIE")</f>
        <v>NIE</v>
      </c>
    </row>
    <row r="3287" customFormat="false" ht="15" hidden="false" customHeight="false" outlineLevel="0" collapsed="false">
      <c r="A3287" s="5" t="s">
        <v>656</v>
      </c>
      <c r="B3287" s="5" t="s">
        <v>85</v>
      </c>
      <c r="C3287" s="5" t="n">
        <v>2022</v>
      </c>
      <c r="D3287" s="5" t="s">
        <v>83</v>
      </c>
      <c r="E3287" s="5" t="s">
        <v>75</v>
      </c>
      <c r="F3287" s="5" t="s">
        <v>39</v>
      </c>
      <c r="G3287" s="6" t="n">
        <v>569</v>
      </c>
      <c r="H3287" s="6" t="n">
        <v>103</v>
      </c>
      <c r="I3287" s="7" t="n">
        <f aca="false">(G3287-H3287)/G3287</f>
        <v>0.818980667838313</v>
      </c>
      <c r="J3287" s="15" t="n">
        <v>0.5649</v>
      </c>
      <c r="K3287" s="11" t="str">
        <f aca="false">IF(I3287&lt;J3287,"TAK","NIE")</f>
        <v>NIE</v>
      </c>
    </row>
    <row r="3288" customFormat="false" ht="15" hidden="false" customHeight="false" outlineLevel="0" collapsed="false">
      <c r="A3288" s="5" t="s">
        <v>657</v>
      </c>
      <c r="B3288" s="5" t="s">
        <v>85</v>
      </c>
      <c r="C3288" s="5" t="n">
        <v>2022</v>
      </c>
      <c r="D3288" s="5" t="s">
        <v>83</v>
      </c>
      <c r="E3288" s="5" t="s">
        <v>75</v>
      </c>
      <c r="F3288" s="5" t="s">
        <v>39</v>
      </c>
      <c r="G3288" s="6" t="n">
        <v>569</v>
      </c>
      <c r="H3288" s="6" t="n">
        <v>69</v>
      </c>
      <c r="I3288" s="7" t="n">
        <f aca="false">(G3288-H3288)/G3288</f>
        <v>0.878734622144113</v>
      </c>
      <c r="J3288" s="15" t="n">
        <v>0.5649</v>
      </c>
      <c r="K3288" s="11" t="str">
        <f aca="false">IF(I3288&lt;J3288,"TAK","NIE")</f>
        <v>NIE</v>
      </c>
    </row>
    <row r="3289" customFormat="false" ht="15" hidden="false" customHeight="false" outlineLevel="0" collapsed="false">
      <c r="A3289" s="5" t="s">
        <v>658</v>
      </c>
      <c r="B3289" s="5" t="s">
        <v>85</v>
      </c>
      <c r="C3289" s="5" t="n">
        <v>2022</v>
      </c>
      <c r="D3289" s="5" t="s">
        <v>83</v>
      </c>
      <c r="E3289" s="5" t="s">
        <v>75</v>
      </c>
      <c r="F3289" s="5" t="s">
        <v>39</v>
      </c>
      <c r="G3289" s="6" t="n">
        <v>567</v>
      </c>
      <c r="H3289" s="6" t="n">
        <v>50</v>
      </c>
      <c r="I3289" s="7" t="n">
        <f aca="false">(G3289-H3289)/G3289</f>
        <v>0.911816578483245</v>
      </c>
      <c r="J3289" s="15" t="n">
        <v>0.5649</v>
      </c>
      <c r="K3289" s="11" t="str">
        <f aca="false">IF(I3289&lt;J3289,"TAK","NIE")</f>
        <v>NIE</v>
      </c>
    </row>
    <row r="3290" customFormat="false" ht="15" hidden="false" customHeight="false" outlineLevel="0" collapsed="false">
      <c r="A3290" s="5" t="s">
        <v>659</v>
      </c>
      <c r="B3290" s="5" t="s">
        <v>85</v>
      </c>
      <c r="C3290" s="5" t="n">
        <v>2022</v>
      </c>
      <c r="D3290" s="5" t="s">
        <v>83</v>
      </c>
      <c r="E3290" s="5" t="s">
        <v>75</v>
      </c>
      <c r="F3290" s="5" t="s">
        <v>39</v>
      </c>
      <c r="G3290" s="6" t="n">
        <v>567</v>
      </c>
      <c r="H3290" s="6" t="n">
        <v>146</v>
      </c>
      <c r="I3290" s="7" t="n">
        <f aca="false">(G3290-H3290)/G3290</f>
        <v>0.742504409171076</v>
      </c>
      <c r="J3290" s="15" t="n">
        <v>0.5649</v>
      </c>
      <c r="K3290" s="11" t="str">
        <f aca="false">IF(I3290&lt;J3290,"TAK","NIE")</f>
        <v>NIE</v>
      </c>
    </row>
    <row r="3291" customFormat="false" ht="15" hidden="false" customHeight="false" outlineLevel="0" collapsed="false">
      <c r="A3291" s="5" t="s">
        <v>661</v>
      </c>
      <c r="B3291" s="5" t="s">
        <v>85</v>
      </c>
      <c r="C3291" s="5" t="n">
        <v>2022</v>
      </c>
      <c r="D3291" s="5" t="s">
        <v>83</v>
      </c>
      <c r="E3291" s="5" t="s">
        <v>75</v>
      </c>
      <c r="F3291" s="5" t="s">
        <v>39</v>
      </c>
      <c r="G3291" s="6" t="n">
        <v>569</v>
      </c>
      <c r="H3291" s="6" t="n">
        <v>52</v>
      </c>
      <c r="I3291" s="7" t="n">
        <f aca="false">(G3291-H3291)/G3291</f>
        <v>0.908611599297012</v>
      </c>
      <c r="J3291" s="15" t="n">
        <v>0.5649</v>
      </c>
      <c r="K3291" s="11" t="str">
        <f aca="false">IF(I3291&lt;J3291,"TAK","NIE")</f>
        <v>NIE</v>
      </c>
    </row>
    <row r="3292" customFormat="false" ht="15" hidden="false" customHeight="false" outlineLevel="0" collapsed="false">
      <c r="A3292" s="5" t="s">
        <v>662</v>
      </c>
      <c r="B3292" s="5" t="s">
        <v>85</v>
      </c>
      <c r="C3292" s="5" t="n">
        <v>2022</v>
      </c>
      <c r="D3292" s="5" t="s">
        <v>83</v>
      </c>
      <c r="E3292" s="5" t="s">
        <v>75</v>
      </c>
      <c r="F3292" s="5" t="s">
        <v>39</v>
      </c>
      <c r="G3292" s="6" t="n">
        <v>569</v>
      </c>
      <c r="H3292" s="6" t="n">
        <v>76</v>
      </c>
      <c r="I3292" s="7" t="n">
        <f aca="false">(G3292-H3292)/G3292</f>
        <v>0.866432337434095</v>
      </c>
      <c r="J3292" s="15" t="n">
        <v>0.5649</v>
      </c>
      <c r="K3292" s="11" t="str">
        <f aca="false">IF(I3292&lt;J3292,"TAK","NIE")</f>
        <v>NIE</v>
      </c>
    </row>
    <row r="3293" customFormat="false" ht="15" hidden="false" customHeight="false" outlineLevel="0" collapsed="false">
      <c r="A3293" s="5" t="s">
        <v>663</v>
      </c>
      <c r="B3293" s="5" t="s">
        <v>85</v>
      </c>
      <c r="C3293" s="5" t="n">
        <v>2022</v>
      </c>
      <c r="D3293" s="5" t="s">
        <v>83</v>
      </c>
      <c r="E3293" s="5" t="s">
        <v>75</v>
      </c>
      <c r="F3293" s="5" t="s">
        <v>39</v>
      </c>
      <c r="G3293" s="6" t="n">
        <v>569</v>
      </c>
      <c r="H3293" s="6" t="n">
        <v>115</v>
      </c>
      <c r="I3293" s="7" t="n">
        <f aca="false">(G3293-H3293)/G3293</f>
        <v>0.797891036906854</v>
      </c>
      <c r="J3293" s="15" t="n">
        <v>0.5649</v>
      </c>
      <c r="K3293" s="11" t="str">
        <f aca="false">IF(I3293&lt;J3293,"TAK","NIE")</f>
        <v>NIE</v>
      </c>
    </row>
    <row r="3294" customFormat="false" ht="15" hidden="false" customHeight="false" outlineLevel="0" collapsed="false">
      <c r="A3294" s="5" t="s">
        <v>643</v>
      </c>
      <c r="B3294" s="5" t="s">
        <v>85</v>
      </c>
      <c r="C3294" s="5" t="n">
        <v>2022</v>
      </c>
      <c r="D3294" s="5" t="s">
        <v>83</v>
      </c>
      <c r="E3294" s="5" t="s">
        <v>75</v>
      </c>
      <c r="F3294" s="5" t="s">
        <v>40</v>
      </c>
      <c r="G3294" s="6" t="n">
        <v>714</v>
      </c>
      <c r="H3294" s="6" t="n">
        <v>267</v>
      </c>
      <c r="I3294" s="7" t="n">
        <f aca="false">(G3294-H3294)/G3294</f>
        <v>0.626050420168067</v>
      </c>
      <c r="J3294" s="15" t="n">
        <v>0.557</v>
      </c>
      <c r="K3294" s="11" t="str">
        <f aca="false">IF(I3294&lt;J3294,"TAK","NIE")</f>
        <v>NIE</v>
      </c>
    </row>
    <row r="3295" customFormat="false" ht="15" hidden="false" customHeight="false" outlineLevel="0" collapsed="false">
      <c r="A3295" s="5" t="s">
        <v>644</v>
      </c>
      <c r="B3295" s="5" t="s">
        <v>85</v>
      </c>
      <c r="C3295" s="5" t="n">
        <v>2022</v>
      </c>
      <c r="D3295" s="5" t="s">
        <v>83</v>
      </c>
      <c r="E3295" s="5" t="s">
        <v>75</v>
      </c>
      <c r="F3295" s="5" t="s">
        <v>40</v>
      </c>
      <c r="G3295" s="6" t="n">
        <v>714</v>
      </c>
      <c r="H3295" s="6" t="n">
        <v>249</v>
      </c>
      <c r="I3295" s="7" t="n">
        <f aca="false">(G3295-H3295)/G3295</f>
        <v>0.651260504201681</v>
      </c>
      <c r="J3295" s="15" t="n">
        <v>0.557</v>
      </c>
      <c r="K3295" s="11" t="str">
        <f aca="false">IF(I3295&lt;J3295,"TAK","NIE")</f>
        <v>NIE</v>
      </c>
    </row>
    <row r="3296" customFormat="false" ht="15" hidden="false" customHeight="false" outlineLevel="0" collapsed="false">
      <c r="A3296" s="5" t="s">
        <v>645</v>
      </c>
      <c r="B3296" s="5" t="s">
        <v>85</v>
      </c>
      <c r="C3296" s="5" t="n">
        <v>2022</v>
      </c>
      <c r="D3296" s="5" t="s">
        <v>83</v>
      </c>
      <c r="E3296" s="5" t="s">
        <v>75</v>
      </c>
      <c r="F3296" s="5" t="s">
        <v>40</v>
      </c>
      <c r="G3296" s="6" t="n">
        <v>715</v>
      </c>
      <c r="H3296" s="6" t="n">
        <v>187</v>
      </c>
      <c r="I3296" s="7" t="n">
        <f aca="false">(G3296-H3296)/G3296</f>
        <v>0.738461538461539</v>
      </c>
      <c r="J3296" s="15" t="n">
        <v>0.557</v>
      </c>
      <c r="K3296" s="11" t="str">
        <f aca="false">IF(I3296&lt;J3296,"TAK","NIE")</f>
        <v>NIE</v>
      </c>
    </row>
    <row r="3297" customFormat="false" ht="15" hidden="false" customHeight="false" outlineLevel="0" collapsed="false">
      <c r="A3297" s="5" t="s">
        <v>664</v>
      </c>
      <c r="B3297" s="5" t="s">
        <v>85</v>
      </c>
      <c r="C3297" s="5" t="n">
        <v>2022</v>
      </c>
      <c r="D3297" s="5" t="s">
        <v>83</v>
      </c>
      <c r="E3297" s="5" t="s">
        <v>75</v>
      </c>
      <c r="F3297" s="5" t="s">
        <v>40</v>
      </c>
      <c r="G3297" s="6" t="n">
        <v>715</v>
      </c>
      <c r="H3297" s="6" t="n">
        <v>230</v>
      </c>
      <c r="I3297" s="7" t="n">
        <f aca="false">(G3297-H3297)/G3297</f>
        <v>0.678321678321678</v>
      </c>
      <c r="J3297" s="15" t="n">
        <v>0.557</v>
      </c>
      <c r="K3297" s="11" t="str">
        <f aca="false">IF(I3297&lt;J3297,"TAK","NIE")</f>
        <v>NIE</v>
      </c>
    </row>
    <row r="3298" customFormat="false" ht="15" hidden="false" customHeight="false" outlineLevel="0" collapsed="false">
      <c r="A3298" s="5" t="s">
        <v>646</v>
      </c>
      <c r="B3298" s="5" t="s">
        <v>85</v>
      </c>
      <c r="C3298" s="5" t="n">
        <v>2022</v>
      </c>
      <c r="D3298" s="5" t="s">
        <v>83</v>
      </c>
      <c r="E3298" s="5" t="s">
        <v>75</v>
      </c>
      <c r="F3298" s="5" t="s">
        <v>40</v>
      </c>
      <c r="G3298" s="6" t="n">
        <v>715</v>
      </c>
      <c r="H3298" s="6" t="n">
        <v>225</v>
      </c>
      <c r="I3298" s="7" t="n">
        <f aca="false">(G3298-H3298)/G3298</f>
        <v>0.685314685314685</v>
      </c>
      <c r="J3298" s="15" t="n">
        <v>0.557</v>
      </c>
      <c r="K3298" s="11" t="str">
        <f aca="false">IF(I3298&lt;J3298,"TAK","NIE")</f>
        <v>NIE</v>
      </c>
    </row>
    <row r="3299" customFormat="false" ht="15" hidden="false" customHeight="false" outlineLevel="0" collapsed="false">
      <c r="A3299" s="5" t="s">
        <v>647</v>
      </c>
      <c r="B3299" s="5" t="s">
        <v>85</v>
      </c>
      <c r="C3299" s="5" t="n">
        <v>2022</v>
      </c>
      <c r="D3299" s="5" t="s">
        <v>83</v>
      </c>
      <c r="E3299" s="5" t="s">
        <v>75</v>
      </c>
      <c r="F3299" s="5" t="s">
        <v>40</v>
      </c>
      <c r="G3299" s="6" t="n">
        <v>714</v>
      </c>
      <c r="H3299" s="6" t="n">
        <v>128</v>
      </c>
      <c r="I3299" s="7" t="n">
        <f aca="false">(G3299-H3299)/G3299</f>
        <v>0.820728291316527</v>
      </c>
      <c r="J3299" s="15" t="n">
        <v>0.557</v>
      </c>
      <c r="K3299" s="11" t="str">
        <f aca="false">IF(I3299&lt;J3299,"TAK","NIE")</f>
        <v>NIE</v>
      </c>
    </row>
    <row r="3300" customFormat="false" ht="15" hidden="false" customHeight="false" outlineLevel="0" collapsed="false">
      <c r="A3300" s="5" t="s">
        <v>650</v>
      </c>
      <c r="B3300" s="5" t="s">
        <v>85</v>
      </c>
      <c r="C3300" s="5" t="n">
        <v>2022</v>
      </c>
      <c r="D3300" s="5" t="s">
        <v>83</v>
      </c>
      <c r="E3300" s="5" t="s">
        <v>75</v>
      </c>
      <c r="F3300" s="5" t="s">
        <v>40</v>
      </c>
      <c r="G3300" s="6" t="n">
        <v>715</v>
      </c>
      <c r="H3300" s="6" t="n">
        <v>205</v>
      </c>
      <c r="I3300" s="7" t="n">
        <f aca="false">(G3300-H3300)/G3300</f>
        <v>0.713286713286713</v>
      </c>
      <c r="J3300" s="15" t="n">
        <v>0.557</v>
      </c>
      <c r="K3300" s="11" t="str">
        <f aca="false">IF(I3300&lt;J3300,"TAK","NIE")</f>
        <v>NIE</v>
      </c>
    </row>
    <row r="3301" customFormat="false" ht="15" hidden="false" customHeight="false" outlineLevel="0" collapsed="false">
      <c r="A3301" s="5" t="s">
        <v>469</v>
      </c>
      <c r="B3301" s="5" t="s">
        <v>85</v>
      </c>
      <c r="C3301" s="5" t="n">
        <v>2022</v>
      </c>
      <c r="D3301" s="5" t="s">
        <v>83</v>
      </c>
      <c r="E3301" s="5" t="s">
        <v>75</v>
      </c>
      <c r="F3301" s="5" t="s">
        <v>40</v>
      </c>
      <c r="G3301" s="6" t="n">
        <v>292</v>
      </c>
      <c r="H3301" s="6" t="n">
        <v>92</v>
      </c>
      <c r="I3301" s="7" t="n">
        <f aca="false">(G3301-H3301)/G3301</f>
        <v>0.684931506849315</v>
      </c>
      <c r="J3301" s="15" t="n">
        <v>0.557</v>
      </c>
      <c r="K3301" s="11" t="str">
        <f aca="false">IF(I3301&lt;J3301,"TAK","NIE")</f>
        <v>NIE</v>
      </c>
    </row>
    <row r="3302" customFormat="false" ht="15" hidden="false" customHeight="false" outlineLevel="0" collapsed="false">
      <c r="A3302" s="5" t="s">
        <v>651</v>
      </c>
      <c r="B3302" s="5" t="s">
        <v>85</v>
      </c>
      <c r="C3302" s="5" t="n">
        <v>2022</v>
      </c>
      <c r="D3302" s="5" t="s">
        <v>83</v>
      </c>
      <c r="E3302" s="5" t="s">
        <v>75</v>
      </c>
      <c r="F3302" s="5" t="s">
        <v>40</v>
      </c>
      <c r="G3302" s="6" t="n">
        <v>714</v>
      </c>
      <c r="H3302" s="6" t="n">
        <v>150</v>
      </c>
      <c r="I3302" s="7" t="n">
        <f aca="false">(G3302-H3302)/G3302</f>
        <v>0.789915966386555</v>
      </c>
      <c r="J3302" s="15" t="n">
        <v>0.557</v>
      </c>
      <c r="K3302" s="11" t="str">
        <f aca="false">IF(I3302&lt;J3302,"TAK","NIE")</f>
        <v>NIE</v>
      </c>
    </row>
    <row r="3303" customFormat="false" ht="15" hidden="false" customHeight="false" outlineLevel="0" collapsed="false">
      <c r="A3303" s="5" t="s">
        <v>652</v>
      </c>
      <c r="B3303" s="5" t="s">
        <v>85</v>
      </c>
      <c r="C3303" s="5" t="n">
        <v>2022</v>
      </c>
      <c r="D3303" s="5" t="s">
        <v>83</v>
      </c>
      <c r="E3303" s="5" t="s">
        <v>75</v>
      </c>
      <c r="F3303" s="5" t="s">
        <v>40</v>
      </c>
      <c r="G3303" s="6" t="n">
        <v>714</v>
      </c>
      <c r="H3303" s="6" t="n">
        <v>125</v>
      </c>
      <c r="I3303" s="7" t="n">
        <f aca="false">(G3303-H3303)/G3303</f>
        <v>0.824929971988796</v>
      </c>
      <c r="J3303" s="15" t="n">
        <v>0.557</v>
      </c>
      <c r="K3303" s="11" t="str">
        <f aca="false">IF(I3303&lt;J3303,"TAK","NIE")</f>
        <v>NIE</v>
      </c>
    </row>
    <row r="3304" customFormat="false" ht="15" hidden="false" customHeight="false" outlineLevel="0" collapsed="false">
      <c r="A3304" s="5" t="s">
        <v>653</v>
      </c>
      <c r="B3304" s="5" t="s">
        <v>85</v>
      </c>
      <c r="C3304" s="5" t="n">
        <v>2022</v>
      </c>
      <c r="D3304" s="5" t="s">
        <v>83</v>
      </c>
      <c r="E3304" s="5" t="s">
        <v>75</v>
      </c>
      <c r="F3304" s="5" t="s">
        <v>40</v>
      </c>
      <c r="G3304" s="6" t="n">
        <v>715</v>
      </c>
      <c r="H3304" s="6" t="n">
        <v>235</v>
      </c>
      <c r="I3304" s="7" t="n">
        <f aca="false">(G3304-H3304)/G3304</f>
        <v>0.671328671328671</v>
      </c>
      <c r="J3304" s="15" t="n">
        <v>0.557</v>
      </c>
      <c r="K3304" s="11" t="str">
        <f aca="false">IF(I3304&lt;J3304,"TAK","NIE")</f>
        <v>NIE</v>
      </c>
    </row>
    <row r="3305" customFormat="false" ht="15" hidden="false" customHeight="false" outlineLevel="0" collapsed="false">
      <c r="A3305" s="5" t="s">
        <v>654</v>
      </c>
      <c r="B3305" s="5" t="s">
        <v>85</v>
      </c>
      <c r="C3305" s="5" t="n">
        <v>2022</v>
      </c>
      <c r="D3305" s="5" t="s">
        <v>83</v>
      </c>
      <c r="E3305" s="5" t="s">
        <v>75</v>
      </c>
      <c r="F3305" s="5" t="s">
        <v>40</v>
      </c>
      <c r="G3305" s="6" t="n">
        <v>714</v>
      </c>
      <c r="H3305" s="6" t="n">
        <v>175</v>
      </c>
      <c r="I3305" s="7" t="n">
        <f aca="false">(G3305-H3305)/G3305</f>
        <v>0.754901960784314</v>
      </c>
      <c r="J3305" s="15" t="n">
        <v>0.557</v>
      </c>
      <c r="K3305" s="11" t="str">
        <f aca="false">IF(I3305&lt;J3305,"TAK","NIE")</f>
        <v>NIE</v>
      </c>
    </row>
    <row r="3306" customFormat="false" ht="15" hidden="false" customHeight="false" outlineLevel="0" collapsed="false">
      <c r="A3306" s="5" t="s">
        <v>655</v>
      </c>
      <c r="B3306" s="5" t="s">
        <v>85</v>
      </c>
      <c r="C3306" s="5" t="n">
        <v>2022</v>
      </c>
      <c r="D3306" s="5" t="s">
        <v>83</v>
      </c>
      <c r="E3306" s="5" t="s">
        <v>75</v>
      </c>
      <c r="F3306" s="5" t="s">
        <v>40</v>
      </c>
      <c r="G3306" s="6" t="n">
        <v>714</v>
      </c>
      <c r="H3306" s="6" t="n">
        <v>199</v>
      </c>
      <c r="I3306" s="7" t="n">
        <f aca="false">(G3306-H3306)/G3306</f>
        <v>0.721288515406163</v>
      </c>
      <c r="J3306" s="15" t="n">
        <v>0.557</v>
      </c>
      <c r="K3306" s="11" t="str">
        <f aca="false">IF(I3306&lt;J3306,"TAK","NIE")</f>
        <v>NIE</v>
      </c>
    </row>
    <row r="3307" customFormat="false" ht="15" hidden="false" customHeight="false" outlineLevel="0" collapsed="false">
      <c r="A3307" s="5" t="s">
        <v>656</v>
      </c>
      <c r="B3307" s="5" t="s">
        <v>85</v>
      </c>
      <c r="C3307" s="5" t="n">
        <v>2022</v>
      </c>
      <c r="D3307" s="5" t="s">
        <v>83</v>
      </c>
      <c r="E3307" s="5" t="s">
        <v>75</v>
      </c>
      <c r="F3307" s="5" t="s">
        <v>40</v>
      </c>
      <c r="G3307" s="6" t="n">
        <v>715</v>
      </c>
      <c r="H3307" s="6" t="n">
        <v>297</v>
      </c>
      <c r="I3307" s="7" t="n">
        <f aca="false">(G3307-H3307)/G3307</f>
        <v>0.584615384615385</v>
      </c>
      <c r="J3307" s="15" t="n">
        <v>0.557</v>
      </c>
      <c r="K3307" s="11" t="str">
        <f aca="false">IF(I3307&lt;J3307,"TAK","NIE")</f>
        <v>NIE</v>
      </c>
    </row>
    <row r="3308" customFormat="false" ht="15" hidden="false" customHeight="false" outlineLevel="0" collapsed="false">
      <c r="A3308" s="5" t="s">
        <v>657</v>
      </c>
      <c r="B3308" s="5" t="s">
        <v>85</v>
      </c>
      <c r="C3308" s="5" t="n">
        <v>2022</v>
      </c>
      <c r="D3308" s="5" t="s">
        <v>83</v>
      </c>
      <c r="E3308" s="5" t="s">
        <v>75</v>
      </c>
      <c r="F3308" s="5" t="s">
        <v>40</v>
      </c>
      <c r="G3308" s="6" t="n">
        <v>715</v>
      </c>
      <c r="H3308" s="6" t="n">
        <v>218</v>
      </c>
      <c r="I3308" s="7" t="n">
        <f aca="false">(G3308-H3308)/G3308</f>
        <v>0.695104895104895</v>
      </c>
      <c r="J3308" s="15" t="n">
        <v>0.557</v>
      </c>
      <c r="K3308" s="11" t="str">
        <f aca="false">IF(I3308&lt;J3308,"TAK","NIE")</f>
        <v>NIE</v>
      </c>
    </row>
    <row r="3309" customFormat="false" ht="15" hidden="false" customHeight="false" outlineLevel="0" collapsed="false">
      <c r="A3309" s="5" t="s">
        <v>658</v>
      </c>
      <c r="B3309" s="5" t="s">
        <v>85</v>
      </c>
      <c r="C3309" s="5" t="n">
        <v>2022</v>
      </c>
      <c r="D3309" s="5" t="s">
        <v>83</v>
      </c>
      <c r="E3309" s="5" t="s">
        <v>75</v>
      </c>
      <c r="F3309" s="5" t="s">
        <v>40</v>
      </c>
      <c r="G3309" s="6" t="n">
        <v>714</v>
      </c>
      <c r="H3309" s="6" t="n">
        <v>127</v>
      </c>
      <c r="I3309" s="7" t="n">
        <f aca="false">(G3309-H3309)/G3309</f>
        <v>0.822128851540616</v>
      </c>
      <c r="J3309" s="15" t="n">
        <v>0.557</v>
      </c>
      <c r="K3309" s="11" t="str">
        <f aca="false">IF(I3309&lt;J3309,"TAK","NIE")</f>
        <v>NIE</v>
      </c>
    </row>
    <row r="3310" customFormat="false" ht="15" hidden="false" customHeight="false" outlineLevel="0" collapsed="false">
      <c r="A3310" s="5" t="s">
        <v>659</v>
      </c>
      <c r="B3310" s="5" t="s">
        <v>85</v>
      </c>
      <c r="C3310" s="5" t="n">
        <v>2022</v>
      </c>
      <c r="D3310" s="5" t="s">
        <v>83</v>
      </c>
      <c r="E3310" s="5" t="s">
        <v>75</v>
      </c>
      <c r="F3310" s="5" t="s">
        <v>40</v>
      </c>
      <c r="G3310" s="6" t="n">
        <v>714</v>
      </c>
      <c r="H3310" s="6" t="n">
        <v>203</v>
      </c>
      <c r="I3310" s="7" t="n">
        <f aca="false">(G3310-H3310)/G3310</f>
        <v>0.715686274509804</v>
      </c>
      <c r="J3310" s="15" t="n">
        <v>0.557</v>
      </c>
      <c r="K3310" s="11" t="str">
        <f aca="false">IF(I3310&lt;J3310,"TAK","NIE")</f>
        <v>NIE</v>
      </c>
    </row>
    <row r="3311" customFormat="false" ht="15" hidden="false" customHeight="false" outlineLevel="0" collapsed="false">
      <c r="A3311" s="5" t="s">
        <v>661</v>
      </c>
      <c r="B3311" s="5" t="s">
        <v>85</v>
      </c>
      <c r="C3311" s="5" t="n">
        <v>2022</v>
      </c>
      <c r="D3311" s="5" t="s">
        <v>83</v>
      </c>
      <c r="E3311" s="5" t="s">
        <v>75</v>
      </c>
      <c r="F3311" s="5" t="s">
        <v>40</v>
      </c>
      <c r="G3311" s="6" t="n">
        <v>715</v>
      </c>
      <c r="H3311" s="6" t="n">
        <v>173</v>
      </c>
      <c r="I3311" s="7" t="n">
        <f aca="false">(G3311-H3311)/G3311</f>
        <v>0.758041958041958</v>
      </c>
      <c r="J3311" s="15" t="n">
        <v>0.557</v>
      </c>
      <c r="K3311" s="11" t="str">
        <f aca="false">IF(I3311&lt;J3311,"TAK","NIE")</f>
        <v>NIE</v>
      </c>
    </row>
    <row r="3312" customFormat="false" ht="15" hidden="false" customHeight="false" outlineLevel="0" collapsed="false">
      <c r="A3312" s="5" t="s">
        <v>662</v>
      </c>
      <c r="B3312" s="5" t="s">
        <v>85</v>
      </c>
      <c r="C3312" s="5" t="n">
        <v>2022</v>
      </c>
      <c r="D3312" s="5" t="s">
        <v>83</v>
      </c>
      <c r="E3312" s="5" t="s">
        <v>75</v>
      </c>
      <c r="F3312" s="5" t="s">
        <v>40</v>
      </c>
      <c r="G3312" s="6" t="n">
        <v>715</v>
      </c>
      <c r="H3312" s="6" t="n">
        <v>267</v>
      </c>
      <c r="I3312" s="7" t="n">
        <f aca="false">(G3312-H3312)/G3312</f>
        <v>0.626573426573427</v>
      </c>
      <c r="J3312" s="15" t="n">
        <v>0.557</v>
      </c>
      <c r="K3312" s="11" t="str">
        <f aca="false">IF(I3312&lt;J3312,"TAK","NIE")</f>
        <v>NIE</v>
      </c>
    </row>
    <row r="3313" customFormat="false" ht="15" hidden="false" customHeight="false" outlineLevel="0" collapsed="false">
      <c r="A3313" s="5" t="s">
        <v>663</v>
      </c>
      <c r="B3313" s="5" t="s">
        <v>85</v>
      </c>
      <c r="C3313" s="5" t="n">
        <v>2022</v>
      </c>
      <c r="D3313" s="5" t="s">
        <v>83</v>
      </c>
      <c r="E3313" s="5" t="s">
        <v>75</v>
      </c>
      <c r="F3313" s="5" t="s">
        <v>40</v>
      </c>
      <c r="G3313" s="6" t="n">
        <v>715</v>
      </c>
      <c r="H3313" s="6" t="n">
        <v>190</v>
      </c>
      <c r="I3313" s="7" t="n">
        <f aca="false">(G3313-H3313)/G3313</f>
        <v>0.734265734265734</v>
      </c>
      <c r="J3313" s="15" t="n">
        <v>0.557</v>
      </c>
      <c r="K3313" s="11" t="str">
        <f aca="false">IF(I3313&lt;J3313,"TAK","NIE")</f>
        <v>NIE</v>
      </c>
    </row>
    <row r="3314" customFormat="false" ht="15" hidden="false" customHeight="false" outlineLevel="0" collapsed="false">
      <c r="A3314" s="5" t="s">
        <v>643</v>
      </c>
      <c r="B3314" s="5" t="s">
        <v>86</v>
      </c>
      <c r="C3314" s="5" t="n">
        <v>2022</v>
      </c>
      <c r="D3314" s="5" t="s">
        <v>83</v>
      </c>
      <c r="E3314" s="5" t="s">
        <v>89</v>
      </c>
      <c r="F3314" s="5" t="s">
        <v>39</v>
      </c>
      <c r="G3314" s="6" t="n">
        <v>399</v>
      </c>
      <c r="H3314" s="6" t="n">
        <v>146</v>
      </c>
      <c r="I3314" s="7" t="n">
        <f aca="false">(G3314-H3314)/G3314</f>
        <v>0.634085213032582</v>
      </c>
      <c r="J3314" s="15" t="n">
        <v>0.4467</v>
      </c>
      <c r="K3314" s="11" t="str">
        <f aca="false">IF(I3314&lt;J3314,"TAK","NIE")</f>
        <v>NIE</v>
      </c>
    </row>
    <row r="3315" customFormat="false" ht="15" hidden="false" customHeight="false" outlineLevel="0" collapsed="false">
      <c r="A3315" s="5" t="s">
        <v>644</v>
      </c>
      <c r="B3315" s="5" t="s">
        <v>86</v>
      </c>
      <c r="C3315" s="5" t="n">
        <v>2022</v>
      </c>
      <c r="D3315" s="5" t="s">
        <v>83</v>
      </c>
      <c r="E3315" s="5" t="s">
        <v>89</v>
      </c>
      <c r="F3315" s="5" t="s">
        <v>39</v>
      </c>
      <c r="G3315" s="6" t="n">
        <v>399</v>
      </c>
      <c r="H3315" s="6" t="n">
        <v>53</v>
      </c>
      <c r="I3315" s="7" t="n">
        <f aca="false">(G3315-H3315)/G3315</f>
        <v>0.867167919799499</v>
      </c>
      <c r="J3315" s="15" t="n">
        <v>0.4467</v>
      </c>
      <c r="K3315" s="11" t="str">
        <f aca="false">IF(I3315&lt;J3315,"TAK","NIE")</f>
        <v>NIE</v>
      </c>
    </row>
    <row r="3316" customFormat="false" ht="15" hidden="false" customHeight="false" outlineLevel="0" collapsed="false">
      <c r="A3316" s="5" t="s">
        <v>645</v>
      </c>
      <c r="B3316" s="5" t="s">
        <v>86</v>
      </c>
      <c r="C3316" s="5" t="n">
        <v>2022</v>
      </c>
      <c r="D3316" s="5" t="s">
        <v>83</v>
      </c>
      <c r="E3316" s="5" t="s">
        <v>89</v>
      </c>
      <c r="F3316" s="5" t="s">
        <v>39</v>
      </c>
      <c r="G3316" s="6" t="n">
        <v>399</v>
      </c>
      <c r="H3316" s="6" t="n">
        <v>144</v>
      </c>
      <c r="I3316" s="7" t="n">
        <f aca="false">(G3316-H3316)/G3316</f>
        <v>0.639097744360902</v>
      </c>
      <c r="J3316" s="15" t="n">
        <v>0.4467</v>
      </c>
      <c r="K3316" s="11" t="str">
        <f aca="false">IF(I3316&lt;J3316,"TAK","NIE")</f>
        <v>NIE</v>
      </c>
    </row>
    <row r="3317" customFormat="false" ht="15" hidden="false" customHeight="false" outlineLevel="0" collapsed="false">
      <c r="A3317" s="5" t="s">
        <v>664</v>
      </c>
      <c r="B3317" s="5" t="s">
        <v>86</v>
      </c>
      <c r="C3317" s="5" t="n">
        <v>2022</v>
      </c>
      <c r="D3317" s="5" t="s">
        <v>83</v>
      </c>
      <c r="E3317" s="5" t="s">
        <v>89</v>
      </c>
      <c r="F3317" s="5" t="s">
        <v>39</v>
      </c>
      <c r="G3317" s="6" t="n">
        <v>399</v>
      </c>
      <c r="H3317" s="6" t="n">
        <v>122</v>
      </c>
      <c r="I3317" s="7" t="n">
        <f aca="false">(G3317-H3317)/G3317</f>
        <v>0.694235588972431</v>
      </c>
      <c r="J3317" s="15" t="n">
        <v>0.4467</v>
      </c>
      <c r="K3317" s="11" t="str">
        <f aca="false">IF(I3317&lt;J3317,"TAK","NIE")</f>
        <v>NIE</v>
      </c>
    </row>
    <row r="3318" customFormat="false" ht="15" hidden="false" customHeight="false" outlineLevel="0" collapsed="false">
      <c r="A3318" s="5" t="s">
        <v>646</v>
      </c>
      <c r="B3318" s="5" t="s">
        <v>86</v>
      </c>
      <c r="C3318" s="5" t="n">
        <v>2022</v>
      </c>
      <c r="D3318" s="5" t="s">
        <v>83</v>
      </c>
      <c r="E3318" s="5" t="s">
        <v>89</v>
      </c>
      <c r="F3318" s="5" t="s">
        <v>39</v>
      </c>
      <c r="G3318" s="6" t="n">
        <v>399</v>
      </c>
      <c r="H3318" s="6" t="n">
        <v>105</v>
      </c>
      <c r="I3318" s="7" t="n">
        <f aca="false">(G3318-H3318)/G3318</f>
        <v>0.736842105263158</v>
      </c>
      <c r="J3318" s="15" t="n">
        <v>0.4467</v>
      </c>
      <c r="K3318" s="11" t="str">
        <f aca="false">IF(I3318&lt;J3318,"TAK","NIE")</f>
        <v>NIE</v>
      </c>
    </row>
    <row r="3319" customFormat="false" ht="15" hidden="false" customHeight="false" outlineLevel="0" collapsed="false">
      <c r="A3319" s="5" t="s">
        <v>647</v>
      </c>
      <c r="B3319" s="5" t="s">
        <v>86</v>
      </c>
      <c r="C3319" s="5" t="n">
        <v>2022</v>
      </c>
      <c r="D3319" s="5" t="s">
        <v>83</v>
      </c>
      <c r="E3319" s="5" t="s">
        <v>89</v>
      </c>
      <c r="F3319" s="5" t="s">
        <v>39</v>
      </c>
      <c r="G3319" s="6" t="n">
        <v>404</v>
      </c>
      <c r="H3319" s="6" t="n">
        <v>38</v>
      </c>
      <c r="I3319" s="7" t="n">
        <f aca="false">(G3319-H3319)/G3319</f>
        <v>0.905940594059406</v>
      </c>
      <c r="J3319" s="15" t="n">
        <v>0.4467</v>
      </c>
      <c r="K3319" s="11" t="str">
        <f aca="false">IF(I3319&lt;J3319,"TAK","NIE")</f>
        <v>NIE</v>
      </c>
    </row>
    <row r="3320" customFormat="false" ht="15" hidden="false" customHeight="false" outlineLevel="0" collapsed="false">
      <c r="A3320" s="5" t="s">
        <v>650</v>
      </c>
      <c r="B3320" s="5" t="s">
        <v>86</v>
      </c>
      <c r="C3320" s="5" t="n">
        <v>2022</v>
      </c>
      <c r="D3320" s="5" t="s">
        <v>83</v>
      </c>
      <c r="E3320" s="5" t="s">
        <v>89</v>
      </c>
      <c r="F3320" s="5" t="s">
        <v>39</v>
      </c>
      <c r="G3320" s="6" t="n">
        <v>399</v>
      </c>
      <c r="H3320" s="6" t="n">
        <v>131</v>
      </c>
      <c r="I3320" s="7" t="n">
        <f aca="false">(G3320-H3320)/G3320</f>
        <v>0.671679197994987</v>
      </c>
      <c r="J3320" s="15" t="n">
        <v>0.4467</v>
      </c>
      <c r="K3320" s="11" t="str">
        <f aca="false">IF(I3320&lt;J3320,"TAK","NIE")</f>
        <v>NIE</v>
      </c>
    </row>
    <row r="3321" customFormat="false" ht="15" hidden="false" customHeight="false" outlineLevel="0" collapsed="false">
      <c r="A3321" s="5" t="s">
        <v>651</v>
      </c>
      <c r="B3321" s="5" t="s">
        <v>86</v>
      </c>
      <c r="C3321" s="5" t="n">
        <v>2022</v>
      </c>
      <c r="D3321" s="5" t="s">
        <v>83</v>
      </c>
      <c r="E3321" s="5" t="s">
        <v>89</v>
      </c>
      <c r="F3321" s="5" t="s">
        <v>39</v>
      </c>
      <c r="G3321" s="6" t="n">
        <v>399</v>
      </c>
      <c r="H3321" s="6" t="n">
        <v>71</v>
      </c>
      <c r="I3321" s="7" t="n">
        <f aca="false">(G3321-H3321)/G3321</f>
        <v>0.822055137844612</v>
      </c>
      <c r="J3321" s="15" t="n">
        <v>0.4467</v>
      </c>
      <c r="K3321" s="11" t="str">
        <f aca="false">IF(I3321&lt;J3321,"TAK","NIE")</f>
        <v>NIE</v>
      </c>
    </row>
    <row r="3322" customFormat="false" ht="15" hidden="false" customHeight="false" outlineLevel="0" collapsed="false">
      <c r="A3322" s="5" t="s">
        <v>652</v>
      </c>
      <c r="B3322" s="5" t="s">
        <v>86</v>
      </c>
      <c r="C3322" s="5" t="n">
        <v>2022</v>
      </c>
      <c r="D3322" s="5" t="s">
        <v>83</v>
      </c>
      <c r="E3322" s="5" t="s">
        <v>89</v>
      </c>
      <c r="F3322" s="5" t="s">
        <v>39</v>
      </c>
      <c r="G3322" s="6" t="n">
        <v>404</v>
      </c>
      <c r="H3322" s="6" t="n">
        <v>65</v>
      </c>
      <c r="I3322" s="7" t="n">
        <f aca="false">(G3322-H3322)/G3322</f>
        <v>0.839108910891089</v>
      </c>
      <c r="J3322" s="15" t="n">
        <v>0.4467</v>
      </c>
      <c r="K3322" s="11" t="str">
        <f aca="false">IF(I3322&lt;J3322,"TAK","NIE")</f>
        <v>NIE</v>
      </c>
    </row>
    <row r="3323" customFormat="false" ht="15" hidden="false" customHeight="false" outlineLevel="0" collapsed="false">
      <c r="A3323" s="5" t="s">
        <v>653</v>
      </c>
      <c r="B3323" s="5" t="s">
        <v>86</v>
      </c>
      <c r="C3323" s="5" t="n">
        <v>2022</v>
      </c>
      <c r="D3323" s="5" t="s">
        <v>83</v>
      </c>
      <c r="E3323" s="5" t="s">
        <v>89</v>
      </c>
      <c r="F3323" s="5" t="s">
        <v>39</v>
      </c>
      <c r="G3323" s="6" t="n">
        <v>399</v>
      </c>
      <c r="H3323" s="6" t="n">
        <v>76</v>
      </c>
      <c r="I3323" s="7" t="n">
        <f aca="false">(G3323-H3323)/G3323</f>
        <v>0.80952380952381</v>
      </c>
      <c r="J3323" s="15" t="n">
        <v>0.4467</v>
      </c>
      <c r="K3323" s="11" t="str">
        <f aca="false">IF(I3323&lt;J3323,"TAK","NIE")</f>
        <v>NIE</v>
      </c>
    </row>
    <row r="3324" customFormat="false" ht="15" hidden="false" customHeight="false" outlineLevel="0" collapsed="false">
      <c r="A3324" s="5" t="s">
        <v>654</v>
      </c>
      <c r="B3324" s="5" t="s">
        <v>86</v>
      </c>
      <c r="C3324" s="5" t="n">
        <v>2022</v>
      </c>
      <c r="D3324" s="5" t="s">
        <v>83</v>
      </c>
      <c r="E3324" s="5" t="s">
        <v>89</v>
      </c>
      <c r="F3324" s="5" t="s">
        <v>39</v>
      </c>
      <c r="G3324" s="6" t="n">
        <v>399</v>
      </c>
      <c r="H3324" s="6" t="n">
        <v>86</v>
      </c>
      <c r="I3324" s="7" t="n">
        <f aca="false">(G3324-H3324)/G3324</f>
        <v>0.784461152882206</v>
      </c>
      <c r="J3324" s="15" t="n">
        <v>0.4467</v>
      </c>
      <c r="K3324" s="11" t="str">
        <f aca="false">IF(I3324&lt;J3324,"TAK","NIE")</f>
        <v>NIE</v>
      </c>
    </row>
    <row r="3325" customFormat="false" ht="15" hidden="false" customHeight="false" outlineLevel="0" collapsed="false">
      <c r="A3325" s="5" t="s">
        <v>655</v>
      </c>
      <c r="B3325" s="5" t="s">
        <v>86</v>
      </c>
      <c r="C3325" s="5" t="n">
        <v>2022</v>
      </c>
      <c r="D3325" s="5" t="s">
        <v>83</v>
      </c>
      <c r="E3325" s="5" t="s">
        <v>89</v>
      </c>
      <c r="F3325" s="5" t="s">
        <v>39</v>
      </c>
      <c r="G3325" s="6" t="n">
        <v>399</v>
      </c>
      <c r="H3325" s="6" t="n">
        <v>142</v>
      </c>
      <c r="I3325" s="7" t="n">
        <f aca="false">(G3325-H3325)/G3325</f>
        <v>0.644110275689223</v>
      </c>
      <c r="J3325" s="15" t="n">
        <v>0.4467</v>
      </c>
      <c r="K3325" s="11" t="str">
        <f aca="false">IF(I3325&lt;J3325,"TAK","NIE")</f>
        <v>NIE</v>
      </c>
    </row>
    <row r="3326" customFormat="false" ht="15" hidden="false" customHeight="false" outlineLevel="0" collapsed="false">
      <c r="A3326" s="5" t="s">
        <v>656</v>
      </c>
      <c r="B3326" s="5" t="s">
        <v>86</v>
      </c>
      <c r="C3326" s="5" t="n">
        <v>2022</v>
      </c>
      <c r="D3326" s="5" t="s">
        <v>83</v>
      </c>
      <c r="E3326" s="5" t="s">
        <v>89</v>
      </c>
      <c r="F3326" s="5" t="s">
        <v>39</v>
      </c>
      <c r="G3326" s="6" t="n">
        <v>399</v>
      </c>
      <c r="H3326" s="6" t="n">
        <v>149</v>
      </c>
      <c r="I3326" s="7" t="n">
        <f aca="false">(G3326-H3326)/G3326</f>
        <v>0.6265664160401</v>
      </c>
      <c r="J3326" s="15" t="n">
        <v>0.4467</v>
      </c>
      <c r="K3326" s="11" t="str">
        <f aca="false">IF(I3326&lt;J3326,"TAK","NIE")</f>
        <v>NIE</v>
      </c>
    </row>
    <row r="3327" customFormat="false" ht="15" hidden="false" customHeight="false" outlineLevel="0" collapsed="false">
      <c r="A3327" s="5" t="s">
        <v>657</v>
      </c>
      <c r="B3327" s="5" t="s">
        <v>86</v>
      </c>
      <c r="C3327" s="5" t="n">
        <v>2022</v>
      </c>
      <c r="D3327" s="5" t="s">
        <v>83</v>
      </c>
      <c r="E3327" s="5" t="s">
        <v>89</v>
      </c>
      <c r="F3327" s="5" t="s">
        <v>39</v>
      </c>
      <c r="G3327" s="6" t="n">
        <v>399</v>
      </c>
      <c r="H3327" s="6" t="n">
        <v>127</v>
      </c>
      <c r="I3327" s="7" t="n">
        <f aca="false">(G3327-H3327)/G3327</f>
        <v>0.681704260651629</v>
      </c>
      <c r="J3327" s="15" t="n">
        <v>0.4467</v>
      </c>
      <c r="K3327" s="11" t="str">
        <f aca="false">IF(I3327&lt;J3327,"TAK","NIE")</f>
        <v>NIE</v>
      </c>
    </row>
    <row r="3328" customFormat="false" ht="15" hidden="false" customHeight="false" outlineLevel="0" collapsed="false">
      <c r="A3328" s="5" t="s">
        <v>658</v>
      </c>
      <c r="B3328" s="5" t="s">
        <v>86</v>
      </c>
      <c r="C3328" s="5" t="n">
        <v>2022</v>
      </c>
      <c r="D3328" s="5" t="s">
        <v>83</v>
      </c>
      <c r="E3328" s="5" t="s">
        <v>89</v>
      </c>
      <c r="F3328" s="5" t="s">
        <v>39</v>
      </c>
      <c r="G3328" s="6" t="n">
        <v>399</v>
      </c>
      <c r="H3328" s="6" t="n">
        <v>43</v>
      </c>
      <c r="I3328" s="7" t="n">
        <f aca="false">(G3328-H3328)/G3328</f>
        <v>0.892230576441103</v>
      </c>
      <c r="J3328" s="15" t="n">
        <v>0.4467</v>
      </c>
      <c r="K3328" s="11" t="str">
        <f aca="false">IF(I3328&lt;J3328,"TAK","NIE")</f>
        <v>NIE</v>
      </c>
    </row>
    <row r="3329" customFormat="false" ht="15" hidden="false" customHeight="false" outlineLevel="0" collapsed="false">
      <c r="A3329" s="5" t="s">
        <v>659</v>
      </c>
      <c r="B3329" s="5" t="s">
        <v>86</v>
      </c>
      <c r="C3329" s="5" t="n">
        <v>2022</v>
      </c>
      <c r="D3329" s="5" t="s">
        <v>83</v>
      </c>
      <c r="E3329" s="5" t="s">
        <v>89</v>
      </c>
      <c r="F3329" s="5" t="s">
        <v>39</v>
      </c>
      <c r="G3329" s="6" t="n">
        <v>399</v>
      </c>
      <c r="H3329" s="6" t="n">
        <v>64</v>
      </c>
      <c r="I3329" s="7" t="n">
        <f aca="false">(G3329-H3329)/G3329</f>
        <v>0.839598997493734</v>
      </c>
      <c r="J3329" s="15" t="n">
        <v>0.4467</v>
      </c>
      <c r="K3329" s="11" t="str">
        <f aca="false">IF(I3329&lt;J3329,"TAK","NIE")</f>
        <v>NIE</v>
      </c>
    </row>
    <row r="3330" customFormat="false" ht="15" hidden="false" customHeight="false" outlineLevel="0" collapsed="false">
      <c r="A3330" s="5" t="s">
        <v>661</v>
      </c>
      <c r="B3330" s="5" t="s">
        <v>86</v>
      </c>
      <c r="C3330" s="5" t="n">
        <v>2022</v>
      </c>
      <c r="D3330" s="5" t="s">
        <v>83</v>
      </c>
      <c r="E3330" s="5" t="s">
        <v>89</v>
      </c>
      <c r="F3330" s="5" t="s">
        <v>39</v>
      </c>
      <c r="G3330" s="6" t="n">
        <v>404</v>
      </c>
      <c r="H3330" s="6" t="n">
        <v>103</v>
      </c>
      <c r="I3330" s="7" t="n">
        <f aca="false">(G3330-H3330)/G3330</f>
        <v>0.745049504950495</v>
      </c>
      <c r="J3330" s="15" t="n">
        <v>0.4467</v>
      </c>
      <c r="K3330" s="11" t="str">
        <f aca="false">IF(I3330&lt;J3330,"TAK","NIE")</f>
        <v>NIE</v>
      </c>
    </row>
    <row r="3331" customFormat="false" ht="15" hidden="false" customHeight="false" outlineLevel="0" collapsed="false">
      <c r="A3331" s="5" t="s">
        <v>662</v>
      </c>
      <c r="B3331" s="5" t="s">
        <v>86</v>
      </c>
      <c r="C3331" s="5" t="n">
        <v>2022</v>
      </c>
      <c r="D3331" s="5" t="s">
        <v>83</v>
      </c>
      <c r="E3331" s="5" t="s">
        <v>89</v>
      </c>
      <c r="F3331" s="5" t="s">
        <v>39</v>
      </c>
      <c r="G3331" s="6" t="n">
        <v>399</v>
      </c>
      <c r="H3331" s="6" t="n">
        <v>91</v>
      </c>
      <c r="I3331" s="7" t="n">
        <f aca="false">(G3331-H3331)/G3331</f>
        <v>0.771929824561404</v>
      </c>
      <c r="J3331" s="15" t="n">
        <v>0.4467</v>
      </c>
      <c r="K3331" s="11" t="str">
        <f aca="false">IF(I3331&lt;J3331,"TAK","NIE")</f>
        <v>NIE</v>
      </c>
    </row>
    <row r="3332" customFormat="false" ht="15" hidden="false" customHeight="false" outlineLevel="0" collapsed="false">
      <c r="A3332" s="5" t="s">
        <v>663</v>
      </c>
      <c r="B3332" s="5" t="s">
        <v>86</v>
      </c>
      <c r="C3332" s="5" t="n">
        <v>2022</v>
      </c>
      <c r="D3332" s="5" t="s">
        <v>83</v>
      </c>
      <c r="E3332" s="5" t="s">
        <v>89</v>
      </c>
      <c r="F3332" s="5" t="s">
        <v>39</v>
      </c>
      <c r="G3332" s="6" t="n">
        <v>399</v>
      </c>
      <c r="H3332" s="6" t="n">
        <v>113</v>
      </c>
      <c r="I3332" s="7" t="n">
        <f aca="false">(G3332-H3332)/G3332</f>
        <v>0.716791979949875</v>
      </c>
      <c r="J3332" s="15" t="n">
        <v>0.4467</v>
      </c>
      <c r="K3332" s="11" t="str">
        <f aca="false">IF(I3332&lt;J3332,"TAK","NIE")</f>
        <v>NIE</v>
      </c>
    </row>
    <row r="3333" customFormat="false" ht="15" hidden="false" customHeight="false" outlineLevel="0" collapsed="false">
      <c r="A3333" s="5" t="s">
        <v>643</v>
      </c>
      <c r="B3333" s="5" t="s">
        <v>86</v>
      </c>
      <c r="C3333" s="5" t="n">
        <v>2022</v>
      </c>
      <c r="D3333" s="5" t="s">
        <v>83</v>
      </c>
      <c r="E3333" s="5" t="s">
        <v>89</v>
      </c>
      <c r="F3333" s="5" t="s">
        <v>40</v>
      </c>
      <c r="G3333" s="6" t="n">
        <v>56</v>
      </c>
      <c r="H3333" s="6" t="n">
        <v>56</v>
      </c>
      <c r="I3333" s="7" t="n">
        <f aca="false">(G3333-H3333)/G3333</f>
        <v>0</v>
      </c>
      <c r="J3333" s="15" t="n">
        <v>0.2473</v>
      </c>
      <c r="K3333" s="11" t="str">
        <f aca="false">IF(I3333&lt;J3333,"TAK","NIE")</f>
        <v>TAK</v>
      </c>
    </row>
    <row r="3334" customFormat="false" ht="15" hidden="false" customHeight="false" outlineLevel="0" collapsed="false">
      <c r="A3334" s="5" t="s">
        <v>644</v>
      </c>
      <c r="B3334" s="5" t="s">
        <v>86</v>
      </c>
      <c r="C3334" s="5" t="n">
        <v>2022</v>
      </c>
      <c r="D3334" s="5" t="s">
        <v>83</v>
      </c>
      <c r="E3334" s="5" t="s">
        <v>89</v>
      </c>
      <c r="F3334" s="5" t="s">
        <v>40</v>
      </c>
      <c r="G3334" s="6" t="n">
        <v>681</v>
      </c>
      <c r="H3334" s="6" t="n">
        <v>353</v>
      </c>
      <c r="I3334" s="7" t="n">
        <f aca="false">(G3334-H3334)/G3334</f>
        <v>0.481644640234949</v>
      </c>
      <c r="J3334" s="15" t="n">
        <v>0.2473</v>
      </c>
      <c r="K3334" s="11" t="str">
        <f aca="false">IF(I3334&lt;J3334,"TAK","NIE")</f>
        <v>NIE</v>
      </c>
    </row>
    <row r="3335" customFormat="false" ht="15" hidden="false" customHeight="false" outlineLevel="0" collapsed="false">
      <c r="A3335" s="5" t="s">
        <v>645</v>
      </c>
      <c r="B3335" s="5" t="s">
        <v>86</v>
      </c>
      <c r="C3335" s="5" t="n">
        <v>2022</v>
      </c>
      <c r="D3335" s="5" t="s">
        <v>83</v>
      </c>
      <c r="E3335" s="5" t="s">
        <v>89</v>
      </c>
      <c r="F3335" s="5" t="s">
        <v>40</v>
      </c>
      <c r="G3335" s="6" t="n">
        <v>681</v>
      </c>
      <c r="H3335" s="6" t="n">
        <v>260</v>
      </c>
      <c r="I3335" s="7" t="n">
        <f aca="false">(G3335-H3335)/G3335</f>
        <v>0.618208516886931</v>
      </c>
      <c r="J3335" s="15" t="n">
        <v>0.2473</v>
      </c>
      <c r="K3335" s="11" t="str">
        <f aca="false">IF(I3335&lt;J3335,"TAK","NIE")</f>
        <v>NIE</v>
      </c>
    </row>
    <row r="3336" customFormat="false" ht="15" hidden="false" customHeight="false" outlineLevel="0" collapsed="false">
      <c r="A3336" s="5" t="s">
        <v>664</v>
      </c>
      <c r="B3336" s="5" t="s">
        <v>86</v>
      </c>
      <c r="C3336" s="5" t="n">
        <v>2022</v>
      </c>
      <c r="D3336" s="5" t="s">
        <v>83</v>
      </c>
      <c r="E3336" s="5" t="s">
        <v>89</v>
      </c>
      <c r="F3336" s="5" t="s">
        <v>40</v>
      </c>
      <c r="G3336" s="6" t="n">
        <v>681</v>
      </c>
      <c r="H3336" s="6" t="n">
        <v>296</v>
      </c>
      <c r="I3336" s="7" t="n">
        <f aca="false">(G3336-H3336)/G3336</f>
        <v>0.565345080763583</v>
      </c>
      <c r="J3336" s="15" t="n">
        <v>0.2473</v>
      </c>
      <c r="K3336" s="11" t="str">
        <f aca="false">IF(I3336&lt;J3336,"TAK","NIE")</f>
        <v>NIE</v>
      </c>
    </row>
    <row r="3337" customFormat="false" ht="15" hidden="false" customHeight="false" outlineLevel="0" collapsed="false">
      <c r="A3337" s="5" t="s">
        <v>646</v>
      </c>
      <c r="B3337" s="5" t="s">
        <v>86</v>
      </c>
      <c r="C3337" s="5" t="n">
        <v>2022</v>
      </c>
      <c r="D3337" s="5" t="s">
        <v>83</v>
      </c>
      <c r="E3337" s="5" t="s">
        <v>89</v>
      </c>
      <c r="F3337" s="5" t="s">
        <v>40</v>
      </c>
      <c r="G3337" s="6" t="n">
        <v>681</v>
      </c>
      <c r="H3337" s="6" t="n">
        <v>404</v>
      </c>
      <c r="I3337" s="7" t="n">
        <f aca="false">(G3337-H3337)/G3337</f>
        <v>0.406754772393539</v>
      </c>
      <c r="J3337" s="15" t="n">
        <v>0.2473</v>
      </c>
      <c r="K3337" s="11" t="str">
        <f aca="false">IF(I3337&lt;J3337,"TAK","NIE")</f>
        <v>NIE</v>
      </c>
    </row>
    <row r="3338" customFormat="false" ht="15" hidden="false" customHeight="false" outlineLevel="0" collapsed="false">
      <c r="A3338" s="5" t="s">
        <v>647</v>
      </c>
      <c r="B3338" s="5" t="s">
        <v>86</v>
      </c>
      <c r="C3338" s="5" t="n">
        <v>2022</v>
      </c>
      <c r="D3338" s="5" t="s">
        <v>83</v>
      </c>
      <c r="E3338" s="5" t="s">
        <v>89</v>
      </c>
      <c r="F3338" s="5" t="s">
        <v>40</v>
      </c>
      <c r="G3338" s="6" t="n">
        <v>700</v>
      </c>
      <c r="H3338" s="6" t="n">
        <v>163</v>
      </c>
      <c r="I3338" s="7" t="n">
        <f aca="false">(G3338-H3338)/G3338</f>
        <v>0.767142857142857</v>
      </c>
      <c r="J3338" s="15" t="n">
        <v>0.2473</v>
      </c>
      <c r="K3338" s="11" t="str">
        <f aca="false">IF(I3338&lt;J3338,"TAK","NIE")</f>
        <v>NIE</v>
      </c>
    </row>
    <row r="3339" customFormat="false" ht="15" hidden="false" customHeight="false" outlineLevel="0" collapsed="false">
      <c r="A3339" s="5" t="s">
        <v>650</v>
      </c>
      <c r="B3339" s="5" t="s">
        <v>86</v>
      </c>
      <c r="C3339" s="5" t="n">
        <v>2022</v>
      </c>
      <c r="D3339" s="5" t="s">
        <v>83</v>
      </c>
      <c r="E3339" s="5" t="s">
        <v>89</v>
      </c>
      <c r="F3339" s="5" t="s">
        <v>40</v>
      </c>
      <c r="G3339" s="6" t="n">
        <v>681</v>
      </c>
      <c r="H3339" s="6" t="n">
        <v>256</v>
      </c>
      <c r="I3339" s="7" t="n">
        <f aca="false">(G3339-H3339)/G3339</f>
        <v>0.624082232011747</v>
      </c>
      <c r="J3339" s="15" t="n">
        <v>0.2473</v>
      </c>
      <c r="K3339" s="11" t="str">
        <f aca="false">IF(I3339&lt;J3339,"TAK","NIE")</f>
        <v>NIE</v>
      </c>
    </row>
    <row r="3340" customFormat="false" ht="15" hidden="false" customHeight="false" outlineLevel="0" collapsed="false">
      <c r="A3340" s="5" t="s">
        <v>651</v>
      </c>
      <c r="B3340" s="5" t="s">
        <v>86</v>
      </c>
      <c r="C3340" s="5" t="n">
        <v>2022</v>
      </c>
      <c r="D3340" s="5" t="s">
        <v>83</v>
      </c>
      <c r="E3340" s="5" t="s">
        <v>89</v>
      </c>
      <c r="F3340" s="5" t="s">
        <v>40</v>
      </c>
      <c r="G3340" s="6" t="n">
        <v>681</v>
      </c>
      <c r="H3340" s="6" t="n">
        <v>337</v>
      </c>
      <c r="I3340" s="7" t="n">
        <f aca="false">(G3340-H3340)/G3340</f>
        <v>0.505139500734214</v>
      </c>
      <c r="J3340" s="15" t="n">
        <v>0.2473</v>
      </c>
      <c r="K3340" s="11" t="str">
        <f aca="false">IF(I3340&lt;J3340,"TAK","NIE")</f>
        <v>NIE</v>
      </c>
    </row>
    <row r="3341" customFormat="false" ht="15" hidden="false" customHeight="false" outlineLevel="0" collapsed="false">
      <c r="A3341" s="5" t="s">
        <v>652</v>
      </c>
      <c r="B3341" s="5" t="s">
        <v>86</v>
      </c>
      <c r="C3341" s="5" t="n">
        <v>2022</v>
      </c>
      <c r="D3341" s="5" t="s">
        <v>83</v>
      </c>
      <c r="E3341" s="5" t="s">
        <v>89</v>
      </c>
      <c r="F3341" s="5" t="s">
        <v>40</v>
      </c>
      <c r="G3341" s="6" t="n">
        <v>700</v>
      </c>
      <c r="H3341" s="6" t="n">
        <v>322</v>
      </c>
      <c r="I3341" s="7" t="n">
        <f aca="false">(G3341-H3341)/G3341</f>
        <v>0.54</v>
      </c>
      <c r="J3341" s="15" t="n">
        <v>0.2473</v>
      </c>
      <c r="K3341" s="11" t="str">
        <f aca="false">IF(I3341&lt;J3341,"TAK","NIE")</f>
        <v>NIE</v>
      </c>
    </row>
    <row r="3342" customFormat="false" ht="15" hidden="false" customHeight="false" outlineLevel="0" collapsed="false">
      <c r="A3342" s="5" t="s">
        <v>653</v>
      </c>
      <c r="B3342" s="5" t="s">
        <v>86</v>
      </c>
      <c r="C3342" s="5" t="n">
        <v>2022</v>
      </c>
      <c r="D3342" s="5" t="s">
        <v>83</v>
      </c>
      <c r="E3342" s="5" t="s">
        <v>89</v>
      </c>
      <c r="F3342" s="5" t="s">
        <v>40</v>
      </c>
      <c r="G3342" s="6" t="n">
        <v>681</v>
      </c>
      <c r="H3342" s="6" t="n">
        <v>284</v>
      </c>
      <c r="I3342" s="7" t="n">
        <f aca="false">(G3342-H3342)/G3342</f>
        <v>0.582966226138032</v>
      </c>
      <c r="J3342" s="15" t="n">
        <v>0.2473</v>
      </c>
      <c r="K3342" s="11" t="str">
        <f aca="false">IF(I3342&lt;J3342,"TAK","NIE")</f>
        <v>NIE</v>
      </c>
    </row>
    <row r="3343" customFormat="false" ht="15" hidden="false" customHeight="false" outlineLevel="0" collapsed="false">
      <c r="A3343" s="5" t="s">
        <v>654</v>
      </c>
      <c r="B3343" s="5" t="s">
        <v>86</v>
      </c>
      <c r="C3343" s="5" t="n">
        <v>2022</v>
      </c>
      <c r="D3343" s="5" t="s">
        <v>83</v>
      </c>
      <c r="E3343" s="5" t="s">
        <v>89</v>
      </c>
      <c r="F3343" s="5" t="s">
        <v>40</v>
      </c>
      <c r="G3343" s="6" t="n">
        <v>681</v>
      </c>
      <c r="H3343" s="6" t="n">
        <v>177</v>
      </c>
      <c r="I3343" s="7" t="n">
        <f aca="false">(G3343-H3343)/G3343</f>
        <v>0.740088105726872</v>
      </c>
      <c r="J3343" s="15" t="n">
        <v>0.2473</v>
      </c>
      <c r="K3343" s="11" t="str">
        <f aca="false">IF(I3343&lt;J3343,"TAK","NIE")</f>
        <v>NIE</v>
      </c>
    </row>
    <row r="3344" customFormat="false" ht="15" hidden="false" customHeight="false" outlineLevel="0" collapsed="false">
      <c r="A3344" s="5" t="s">
        <v>655</v>
      </c>
      <c r="B3344" s="5" t="s">
        <v>86</v>
      </c>
      <c r="C3344" s="5" t="n">
        <v>2022</v>
      </c>
      <c r="D3344" s="5" t="s">
        <v>83</v>
      </c>
      <c r="E3344" s="5" t="s">
        <v>89</v>
      </c>
      <c r="F3344" s="5" t="s">
        <v>40</v>
      </c>
      <c r="G3344" s="6" t="n">
        <v>681</v>
      </c>
      <c r="H3344" s="6" t="n">
        <v>430</v>
      </c>
      <c r="I3344" s="7" t="n">
        <f aca="false">(G3344-H3344)/G3344</f>
        <v>0.368575624082232</v>
      </c>
      <c r="J3344" s="15" t="n">
        <v>0.2473</v>
      </c>
      <c r="K3344" s="11" t="str">
        <f aca="false">IF(I3344&lt;J3344,"TAK","NIE")</f>
        <v>NIE</v>
      </c>
    </row>
    <row r="3345" customFormat="false" ht="15" hidden="false" customHeight="false" outlineLevel="0" collapsed="false">
      <c r="A3345" s="5" t="s">
        <v>656</v>
      </c>
      <c r="B3345" s="5" t="s">
        <v>86</v>
      </c>
      <c r="C3345" s="5" t="n">
        <v>2022</v>
      </c>
      <c r="D3345" s="5" t="s">
        <v>83</v>
      </c>
      <c r="E3345" s="5" t="s">
        <v>89</v>
      </c>
      <c r="F3345" s="5" t="s">
        <v>40</v>
      </c>
      <c r="G3345" s="6" t="n">
        <v>681</v>
      </c>
      <c r="H3345" s="6" t="n">
        <v>333</v>
      </c>
      <c r="I3345" s="7" t="n">
        <f aca="false">(G3345-H3345)/G3345</f>
        <v>0.511013215859031</v>
      </c>
      <c r="J3345" s="15" t="n">
        <v>0.2473</v>
      </c>
      <c r="K3345" s="11" t="str">
        <f aca="false">IF(I3345&lt;J3345,"TAK","NIE")</f>
        <v>NIE</v>
      </c>
    </row>
    <row r="3346" customFormat="false" ht="15" hidden="false" customHeight="false" outlineLevel="0" collapsed="false">
      <c r="A3346" s="5" t="s">
        <v>657</v>
      </c>
      <c r="B3346" s="5" t="s">
        <v>86</v>
      </c>
      <c r="C3346" s="5" t="n">
        <v>2022</v>
      </c>
      <c r="D3346" s="5" t="s">
        <v>83</v>
      </c>
      <c r="E3346" s="5" t="s">
        <v>89</v>
      </c>
      <c r="F3346" s="5" t="s">
        <v>40</v>
      </c>
      <c r="G3346" s="6" t="n">
        <v>681</v>
      </c>
      <c r="H3346" s="6" t="n">
        <v>276</v>
      </c>
      <c r="I3346" s="7" t="n">
        <f aca="false">(G3346-H3346)/G3346</f>
        <v>0.594713656387665</v>
      </c>
      <c r="J3346" s="15" t="n">
        <v>0.2473</v>
      </c>
      <c r="K3346" s="11" t="str">
        <f aca="false">IF(I3346&lt;J3346,"TAK","NIE")</f>
        <v>NIE</v>
      </c>
    </row>
    <row r="3347" customFormat="false" ht="15" hidden="false" customHeight="false" outlineLevel="0" collapsed="false">
      <c r="A3347" s="5" t="s">
        <v>658</v>
      </c>
      <c r="B3347" s="5" t="s">
        <v>86</v>
      </c>
      <c r="C3347" s="5" t="n">
        <v>2022</v>
      </c>
      <c r="D3347" s="5" t="s">
        <v>83</v>
      </c>
      <c r="E3347" s="5" t="s">
        <v>89</v>
      </c>
      <c r="F3347" s="5" t="s">
        <v>40</v>
      </c>
      <c r="G3347" s="6" t="n">
        <v>681</v>
      </c>
      <c r="H3347" s="6" t="n">
        <v>252</v>
      </c>
      <c r="I3347" s="7" t="n">
        <f aca="false">(G3347-H3347)/G3347</f>
        <v>0.629955947136564</v>
      </c>
      <c r="J3347" s="15" t="n">
        <v>0.2473</v>
      </c>
      <c r="K3347" s="11" t="str">
        <f aca="false">IF(I3347&lt;J3347,"TAK","NIE")</f>
        <v>NIE</v>
      </c>
    </row>
    <row r="3348" customFormat="false" ht="15" hidden="false" customHeight="false" outlineLevel="0" collapsed="false">
      <c r="A3348" s="5" t="s">
        <v>659</v>
      </c>
      <c r="B3348" s="5" t="s">
        <v>86</v>
      </c>
      <c r="C3348" s="5" t="n">
        <v>2022</v>
      </c>
      <c r="D3348" s="5" t="s">
        <v>83</v>
      </c>
      <c r="E3348" s="5" t="s">
        <v>89</v>
      </c>
      <c r="F3348" s="5" t="s">
        <v>40</v>
      </c>
      <c r="G3348" s="6" t="n">
        <v>681</v>
      </c>
      <c r="H3348" s="6" t="n">
        <v>414</v>
      </c>
      <c r="I3348" s="7" t="n">
        <f aca="false">(G3348-H3348)/G3348</f>
        <v>0.392070484581498</v>
      </c>
      <c r="J3348" s="15" t="n">
        <v>0.2473</v>
      </c>
      <c r="K3348" s="11" t="str">
        <f aca="false">IF(I3348&lt;J3348,"TAK","NIE")</f>
        <v>NIE</v>
      </c>
    </row>
    <row r="3349" customFormat="false" ht="15" hidden="false" customHeight="false" outlineLevel="0" collapsed="false">
      <c r="A3349" s="5" t="s">
        <v>661</v>
      </c>
      <c r="B3349" s="5" t="s">
        <v>86</v>
      </c>
      <c r="C3349" s="5" t="n">
        <v>2022</v>
      </c>
      <c r="D3349" s="5" t="s">
        <v>83</v>
      </c>
      <c r="E3349" s="5" t="s">
        <v>89</v>
      </c>
      <c r="F3349" s="5" t="s">
        <v>40</v>
      </c>
      <c r="G3349" s="6" t="n">
        <v>700</v>
      </c>
      <c r="H3349" s="6" t="n">
        <v>200</v>
      </c>
      <c r="I3349" s="7" t="n">
        <f aca="false">(G3349-H3349)/G3349</f>
        <v>0.714285714285714</v>
      </c>
      <c r="J3349" s="15" t="n">
        <v>0.2473</v>
      </c>
      <c r="K3349" s="11" t="str">
        <f aca="false">IF(I3349&lt;J3349,"TAK","NIE")</f>
        <v>NIE</v>
      </c>
    </row>
    <row r="3350" customFormat="false" ht="15" hidden="false" customHeight="false" outlineLevel="0" collapsed="false">
      <c r="A3350" s="5" t="s">
        <v>662</v>
      </c>
      <c r="B3350" s="5" t="s">
        <v>86</v>
      </c>
      <c r="C3350" s="5" t="n">
        <v>2022</v>
      </c>
      <c r="D3350" s="5" t="s">
        <v>83</v>
      </c>
      <c r="E3350" s="5" t="s">
        <v>89</v>
      </c>
      <c r="F3350" s="5" t="s">
        <v>40</v>
      </c>
      <c r="G3350" s="6" t="n">
        <v>681</v>
      </c>
      <c r="H3350" s="6" t="n">
        <v>363</v>
      </c>
      <c r="I3350" s="7" t="n">
        <f aca="false">(G3350-H3350)/G3350</f>
        <v>0.466960352422908</v>
      </c>
      <c r="J3350" s="15" t="n">
        <v>0.2473</v>
      </c>
      <c r="K3350" s="11" t="str">
        <f aca="false">IF(I3350&lt;J3350,"TAK","NIE")</f>
        <v>NIE</v>
      </c>
    </row>
    <row r="3351" customFormat="false" ht="15" hidden="false" customHeight="false" outlineLevel="0" collapsed="false">
      <c r="A3351" s="5" t="s">
        <v>663</v>
      </c>
      <c r="B3351" s="5" t="s">
        <v>86</v>
      </c>
      <c r="C3351" s="5" t="n">
        <v>2022</v>
      </c>
      <c r="D3351" s="5" t="s">
        <v>83</v>
      </c>
      <c r="E3351" s="5" t="s">
        <v>89</v>
      </c>
      <c r="F3351" s="5" t="s">
        <v>40</v>
      </c>
      <c r="G3351" s="6" t="n">
        <v>681</v>
      </c>
      <c r="H3351" s="6" t="n">
        <v>253</v>
      </c>
      <c r="I3351" s="7" t="n">
        <f aca="false">(G3351-H3351)/G3351</f>
        <v>0.62848751835536</v>
      </c>
      <c r="J3351" s="15" t="n">
        <v>0.2473</v>
      </c>
      <c r="K3351" s="11" t="str">
        <f aca="false">IF(I3351&lt;J3351,"TAK","NIE")</f>
        <v>NIE</v>
      </c>
    </row>
    <row r="3352" customFormat="false" ht="15" hidden="false" customHeight="false" outlineLevel="0" collapsed="false">
      <c r="A3352" s="5" t="s">
        <v>665</v>
      </c>
      <c r="B3352" s="5" t="s">
        <v>72</v>
      </c>
      <c r="C3352" s="5" t="n">
        <v>2023</v>
      </c>
      <c r="D3352" s="5" t="s">
        <v>44</v>
      </c>
      <c r="E3352" s="5" t="s">
        <v>57</v>
      </c>
      <c r="F3352" s="5" t="s">
        <v>39</v>
      </c>
      <c r="G3352" s="6" t="n">
        <v>558</v>
      </c>
      <c r="H3352" s="6" t="n">
        <v>52</v>
      </c>
      <c r="I3352" s="7" t="n">
        <f aca="false">(G3352-H3352)/G3352</f>
        <v>0.906810035842294</v>
      </c>
      <c r="J3352" s="15" t="n">
        <v>0.4774</v>
      </c>
      <c r="K3352" s="11" t="str">
        <f aca="false">IF(I3352&lt;J3352,"TAK","NIE")</f>
        <v>NIE</v>
      </c>
    </row>
    <row r="3353" customFormat="false" ht="15" hidden="false" customHeight="false" outlineLevel="0" collapsed="false">
      <c r="A3353" s="5" t="s">
        <v>666</v>
      </c>
      <c r="B3353" s="5" t="s">
        <v>72</v>
      </c>
      <c r="C3353" s="5" t="n">
        <v>2023</v>
      </c>
      <c r="D3353" s="5" t="s">
        <v>44</v>
      </c>
      <c r="E3353" s="5" t="s">
        <v>57</v>
      </c>
      <c r="F3353" s="5" t="s">
        <v>39</v>
      </c>
      <c r="G3353" s="6" t="n">
        <v>558</v>
      </c>
      <c r="H3353" s="6" t="n">
        <v>102</v>
      </c>
      <c r="I3353" s="7" t="n">
        <f aca="false">(G3353-H3353)/G3353</f>
        <v>0.817204301075269</v>
      </c>
      <c r="J3353" s="15" t="n">
        <v>0.4774</v>
      </c>
      <c r="K3353" s="11" t="str">
        <f aca="false">IF(I3353&lt;J3353,"TAK","NIE")</f>
        <v>NIE</v>
      </c>
    </row>
    <row r="3354" customFormat="false" ht="15" hidden="false" customHeight="false" outlineLevel="0" collapsed="false">
      <c r="A3354" s="5" t="s">
        <v>667</v>
      </c>
      <c r="B3354" s="5" t="s">
        <v>72</v>
      </c>
      <c r="C3354" s="5" t="n">
        <v>2023</v>
      </c>
      <c r="D3354" s="5" t="s">
        <v>44</v>
      </c>
      <c r="E3354" s="5" t="s">
        <v>57</v>
      </c>
      <c r="F3354" s="5" t="s">
        <v>39</v>
      </c>
      <c r="G3354" s="6" t="n">
        <v>394</v>
      </c>
      <c r="H3354" s="6" t="n">
        <v>134</v>
      </c>
      <c r="I3354" s="7" t="n">
        <f aca="false">(G3354-H3354)/G3354</f>
        <v>0.65989847715736</v>
      </c>
      <c r="J3354" s="15" t="n">
        <v>0.4774</v>
      </c>
      <c r="K3354" s="11" t="str">
        <f aca="false">IF(I3354&lt;J3354,"TAK","NIE")</f>
        <v>NIE</v>
      </c>
    </row>
    <row r="3355" customFormat="false" ht="15" hidden="false" customHeight="false" outlineLevel="0" collapsed="false">
      <c r="A3355" s="5" t="s">
        <v>668</v>
      </c>
      <c r="B3355" s="5" t="s">
        <v>72</v>
      </c>
      <c r="C3355" s="5" t="n">
        <v>2023</v>
      </c>
      <c r="D3355" s="5" t="s">
        <v>44</v>
      </c>
      <c r="E3355" s="5" t="s">
        <v>57</v>
      </c>
      <c r="F3355" s="5" t="s">
        <v>39</v>
      </c>
      <c r="G3355" s="6" t="n">
        <v>558</v>
      </c>
      <c r="H3355" s="6" t="n">
        <v>111</v>
      </c>
      <c r="I3355" s="7" t="n">
        <f aca="false">(G3355-H3355)/G3355</f>
        <v>0.801075268817204</v>
      </c>
      <c r="J3355" s="15" t="n">
        <v>0.4774</v>
      </c>
      <c r="K3355" s="11" t="str">
        <f aca="false">IF(I3355&lt;J3355,"TAK","NIE")</f>
        <v>NIE</v>
      </c>
    </row>
    <row r="3356" customFormat="false" ht="15" hidden="false" customHeight="false" outlineLevel="0" collapsed="false">
      <c r="A3356" s="5" t="s">
        <v>669</v>
      </c>
      <c r="B3356" s="5" t="s">
        <v>72</v>
      </c>
      <c r="C3356" s="5" t="n">
        <v>2023</v>
      </c>
      <c r="D3356" s="5" t="s">
        <v>44</v>
      </c>
      <c r="E3356" s="5" t="s">
        <v>57</v>
      </c>
      <c r="F3356" s="5" t="s">
        <v>39</v>
      </c>
      <c r="G3356" s="6" t="n">
        <v>558</v>
      </c>
      <c r="H3356" s="6" t="n">
        <v>157</v>
      </c>
      <c r="I3356" s="7" t="n">
        <f aca="false">(G3356-H3356)/G3356</f>
        <v>0.718637992831541</v>
      </c>
      <c r="J3356" s="15" t="n">
        <v>0.4774</v>
      </c>
      <c r="K3356" s="11" t="str">
        <f aca="false">IF(I3356&lt;J3356,"TAK","NIE")</f>
        <v>NIE</v>
      </c>
    </row>
    <row r="3357" customFormat="false" ht="15" hidden="false" customHeight="false" outlineLevel="0" collapsed="false">
      <c r="A3357" s="5" t="s">
        <v>670</v>
      </c>
      <c r="B3357" s="5" t="s">
        <v>72</v>
      </c>
      <c r="C3357" s="5" t="n">
        <v>2023</v>
      </c>
      <c r="D3357" s="5" t="s">
        <v>44</v>
      </c>
      <c r="E3357" s="5" t="s">
        <v>57</v>
      </c>
      <c r="F3357" s="5" t="s">
        <v>39</v>
      </c>
      <c r="G3357" s="6" t="n">
        <v>552</v>
      </c>
      <c r="H3357" s="6" t="n">
        <v>118</v>
      </c>
      <c r="I3357" s="7" t="n">
        <f aca="false">(G3357-H3357)/G3357</f>
        <v>0.786231884057971</v>
      </c>
      <c r="J3357" s="15" t="n">
        <v>0.4774</v>
      </c>
      <c r="K3357" s="11" t="str">
        <f aca="false">IF(I3357&lt;J3357,"TAK","NIE")</f>
        <v>NIE</v>
      </c>
    </row>
    <row r="3358" customFormat="false" ht="15" hidden="false" customHeight="false" outlineLevel="0" collapsed="false">
      <c r="A3358" s="5" t="s">
        <v>671</v>
      </c>
      <c r="B3358" s="5" t="s">
        <v>72</v>
      </c>
      <c r="C3358" s="5" t="n">
        <v>2023</v>
      </c>
      <c r="D3358" s="5" t="s">
        <v>44</v>
      </c>
      <c r="E3358" s="5" t="s">
        <v>57</v>
      </c>
      <c r="F3358" s="5" t="s">
        <v>39</v>
      </c>
      <c r="G3358" s="6" t="n">
        <v>552</v>
      </c>
      <c r="H3358" s="6" t="n">
        <v>281</v>
      </c>
      <c r="I3358" s="7" t="n">
        <f aca="false">(G3358-H3358)/G3358</f>
        <v>0.490942028985507</v>
      </c>
      <c r="J3358" s="15" t="n">
        <v>0.4774</v>
      </c>
      <c r="K3358" s="11" t="str">
        <f aca="false">IF(I3358&lt;J3358,"TAK","NIE")</f>
        <v>NIE</v>
      </c>
    </row>
    <row r="3359" customFormat="false" ht="15" hidden="false" customHeight="false" outlineLevel="0" collapsed="false">
      <c r="A3359" s="5" t="s">
        <v>672</v>
      </c>
      <c r="B3359" s="5" t="s">
        <v>72</v>
      </c>
      <c r="C3359" s="5" t="n">
        <v>2023</v>
      </c>
      <c r="D3359" s="5" t="s">
        <v>44</v>
      </c>
      <c r="E3359" s="5" t="s">
        <v>57</v>
      </c>
      <c r="F3359" s="5" t="s">
        <v>39</v>
      </c>
      <c r="G3359" s="6" t="n">
        <v>558</v>
      </c>
      <c r="H3359" s="6" t="n">
        <v>99</v>
      </c>
      <c r="I3359" s="7" t="n">
        <f aca="false">(G3359-H3359)/G3359</f>
        <v>0.82258064516129</v>
      </c>
      <c r="J3359" s="15" t="n">
        <v>0.4774</v>
      </c>
      <c r="K3359" s="11" t="str">
        <f aca="false">IF(I3359&lt;J3359,"TAK","NIE")</f>
        <v>NIE</v>
      </c>
    </row>
    <row r="3360" customFormat="false" ht="15" hidden="false" customHeight="false" outlineLevel="0" collapsed="false">
      <c r="A3360" s="5" t="s">
        <v>673</v>
      </c>
      <c r="B3360" s="5" t="s">
        <v>72</v>
      </c>
      <c r="C3360" s="5" t="n">
        <v>2023</v>
      </c>
      <c r="D3360" s="5" t="s">
        <v>44</v>
      </c>
      <c r="E3360" s="5" t="s">
        <v>57</v>
      </c>
      <c r="F3360" s="5" t="s">
        <v>39</v>
      </c>
      <c r="G3360" s="6" t="n">
        <v>558</v>
      </c>
      <c r="H3360" s="6" t="n">
        <v>177</v>
      </c>
      <c r="I3360" s="7" t="n">
        <f aca="false">(G3360-H3360)/G3360</f>
        <v>0.682795698924731</v>
      </c>
      <c r="J3360" s="15" t="n">
        <v>0.4774</v>
      </c>
      <c r="K3360" s="11" t="str">
        <f aca="false">IF(I3360&lt;J3360,"TAK","NIE")</f>
        <v>NIE</v>
      </c>
    </row>
    <row r="3361" customFormat="false" ht="15" hidden="false" customHeight="false" outlineLevel="0" collapsed="false">
      <c r="A3361" s="5" t="s">
        <v>674</v>
      </c>
      <c r="B3361" s="5" t="s">
        <v>72</v>
      </c>
      <c r="C3361" s="5" t="n">
        <v>2023</v>
      </c>
      <c r="D3361" s="5" t="s">
        <v>44</v>
      </c>
      <c r="E3361" s="5" t="s">
        <v>57</v>
      </c>
      <c r="F3361" s="5" t="s">
        <v>39</v>
      </c>
      <c r="G3361" s="6" t="n">
        <v>552</v>
      </c>
      <c r="H3361" s="6" t="n">
        <v>79</v>
      </c>
      <c r="I3361" s="7" t="n">
        <f aca="false">(G3361-H3361)/G3361</f>
        <v>0.856884057971015</v>
      </c>
      <c r="J3361" s="15" t="n">
        <v>0.4774</v>
      </c>
      <c r="K3361" s="11" t="str">
        <f aca="false">IF(I3361&lt;J3361,"TAK","NIE")</f>
        <v>NIE</v>
      </c>
    </row>
    <row r="3362" customFormat="false" ht="15" hidden="false" customHeight="false" outlineLevel="0" collapsed="false">
      <c r="A3362" s="5" t="s">
        <v>675</v>
      </c>
      <c r="B3362" s="5" t="s">
        <v>72</v>
      </c>
      <c r="C3362" s="5" t="n">
        <v>2023</v>
      </c>
      <c r="D3362" s="5" t="s">
        <v>44</v>
      </c>
      <c r="E3362" s="5" t="s">
        <v>57</v>
      </c>
      <c r="F3362" s="5" t="s">
        <v>39</v>
      </c>
      <c r="G3362" s="6" t="n">
        <v>552</v>
      </c>
      <c r="H3362" s="6" t="n">
        <v>45</v>
      </c>
      <c r="I3362" s="7" t="n">
        <f aca="false">(G3362-H3362)/G3362</f>
        <v>0.918478260869565</v>
      </c>
      <c r="J3362" s="15" t="n">
        <v>0.4774</v>
      </c>
      <c r="K3362" s="11" t="str">
        <f aca="false">IF(I3362&lt;J3362,"TAK","NIE")</f>
        <v>NIE</v>
      </c>
    </row>
    <row r="3363" customFormat="false" ht="15" hidden="false" customHeight="false" outlineLevel="0" collapsed="false">
      <c r="A3363" s="5" t="s">
        <v>676</v>
      </c>
      <c r="B3363" s="5" t="s">
        <v>72</v>
      </c>
      <c r="C3363" s="5" t="n">
        <v>2023</v>
      </c>
      <c r="D3363" s="5" t="s">
        <v>44</v>
      </c>
      <c r="E3363" s="5" t="s">
        <v>57</v>
      </c>
      <c r="F3363" s="5" t="s">
        <v>39</v>
      </c>
      <c r="G3363" s="6" t="n">
        <v>558</v>
      </c>
      <c r="H3363" s="6" t="n">
        <v>193</v>
      </c>
      <c r="I3363" s="7" t="n">
        <f aca="false">(G3363-H3363)/G3363</f>
        <v>0.654121863799283</v>
      </c>
      <c r="J3363" s="15" t="n">
        <v>0.4774</v>
      </c>
      <c r="K3363" s="11" t="str">
        <f aca="false">IF(I3363&lt;J3363,"TAK","NIE")</f>
        <v>NIE</v>
      </c>
    </row>
    <row r="3364" customFormat="false" ht="15" hidden="false" customHeight="false" outlineLevel="0" collapsed="false">
      <c r="A3364" s="5" t="s">
        <v>677</v>
      </c>
      <c r="B3364" s="5" t="s">
        <v>72</v>
      </c>
      <c r="C3364" s="5" t="n">
        <v>2023</v>
      </c>
      <c r="D3364" s="5" t="s">
        <v>44</v>
      </c>
      <c r="E3364" s="5" t="s">
        <v>57</v>
      </c>
      <c r="F3364" s="5" t="s">
        <v>39</v>
      </c>
      <c r="G3364" s="6" t="n">
        <v>558</v>
      </c>
      <c r="H3364" s="6" t="n">
        <v>106</v>
      </c>
      <c r="I3364" s="7" t="n">
        <f aca="false">(G3364-H3364)/G3364</f>
        <v>0.810035842293907</v>
      </c>
      <c r="J3364" s="15" t="n">
        <v>0.4774</v>
      </c>
      <c r="K3364" s="11" t="str">
        <f aca="false">IF(I3364&lt;J3364,"TAK","NIE")</f>
        <v>NIE</v>
      </c>
    </row>
    <row r="3365" customFormat="false" ht="15" hidden="false" customHeight="false" outlineLevel="0" collapsed="false">
      <c r="A3365" s="5" t="s">
        <v>678</v>
      </c>
      <c r="B3365" s="5" t="s">
        <v>72</v>
      </c>
      <c r="C3365" s="5" t="n">
        <v>2023</v>
      </c>
      <c r="D3365" s="5" t="s">
        <v>44</v>
      </c>
      <c r="E3365" s="5" t="s">
        <v>57</v>
      </c>
      <c r="F3365" s="5" t="s">
        <v>39</v>
      </c>
      <c r="G3365" s="6" t="n">
        <v>552</v>
      </c>
      <c r="H3365" s="6" t="n">
        <v>101</v>
      </c>
      <c r="I3365" s="7" t="n">
        <f aca="false">(G3365-H3365)/G3365</f>
        <v>0.817028985507246</v>
      </c>
      <c r="J3365" s="15" t="n">
        <v>0.4774</v>
      </c>
      <c r="K3365" s="11" t="str">
        <f aca="false">IF(I3365&lt;J3365,"TAK","NIE")</f>
        <v>NIE</v>
      </c>
    </row>
    <row r="3366" customFormat="false" ht="15" hidden="false" customHeight="false" outlineLevel="0" collapsed="false">
      <c r="A3366" s="5" t="s">
        <v>679</v>
      </c>
      <c r="B3366" s="5" t="s">
        <v>72</v>
      </c>
      <c r="C3366" s="5" t="n">
        <v>2023</v>
      </c>
      <c r="D3366" s="5" t="s">
        <v>44</v>
      </c>
      <c r="E3366" s="5" t="s">
        <v>57</v>
      </c>
      <c r="F3366" s="5" t="s">
        <v>39</v>
      </c>
      <c r="G3366" s="6" t="n">
        <v>552</v>
      </c>
      <c r="H3366" s="6" t="n">
        <v>179</v>
      </c>
      <c r="I3366" s="7" t="n">
        <f aca="false">(G3366-H3366)/G3366</f>
        <v>0.675724637681159</v>
      </c>
      <c r="J3366" s="15" t="n">
        <v>0.4774</v>
      </c>
      <c r="K3366" s="11" t="str">
        <f aca="false">IF(I3366&lt;J3366,"TAK","NIE")</f>
        <v>NIE</v>
      </c>
    </row>
    <row r="3367" customFormat="false" ht="15" hidden="false" customHeight="false" outlineLevel="0" collapsed="false">
      <c r="A3367" s="5" t="s">
        <v>680</v>
      </c>
      <c r="B3367" s="5" t="s">
        <v>72</v>
      </c>
      <c r="C3367" s="5" t="n">
        <v>2023</v>
      </c>
      <c r="D3367" s="5" t="s">
        <v>44</v>
      </c>
      <c r="E3367" s="5" t="s">
        <v>57</v>
      </c>
      <c r="F3367" s="5" t="s">
        <v>39</v>
      </c>
      <c r="G3367" s="6" t="n">
        <v>15</v>
      </c>
      <c r="H3367" s="6" t="n">
        <v>4</v>
      </c>
      <c r="I3367" s="7" t="n">
        <f aca="false">(G3367-H3367)/G3367</f>
        <v>0.733333333333333</v>
      </c>
      <c r="J3367" s="15" t="n">
        <v>0.4774</v>
      </c>
      <c r="K3367" s="11" t="str">
        <f aca="false">IF(I3367&lt;J3367,"TAK","NIE")</f>
        <v>NIE</v>
      </c>
    </row>
    <row r="3368" customFormat="false" ht="15" hidden="false" customHeight="false" outlineLevel="0" collapsed="false">
      <c r="A3368" s="5" t="s">
        <v>681</v>
      </c>
      <c r="B3368" s="5" t="s">
        <v>72</v>
      </c>
      <c r="C3368" s="5" t="n">
        <v>2023</v>
      </c>
      <c r="D3368" s="5" t="s">
        <v>44</v>
      </c>
      <c r="E3368" s="5" t="s">
        <v>57</v>
      </c>
      <c r="F3368" s="5" t="s">
        <v>39</v>
      </c>
      <c r="G3368" s="6" t="n">
        <v>552</v>
      </c>
      <c r="H3368" s="6" t="n">
        <v>46</v>
      </c>
      <c r="I3368" s="7" t="n">
        <f aca="false">(G3368-H3368)/G3368</f>
        <v>0.916666666666667</v>
      </c>
      <c r="J3368" s="15" t="n">
        <v>0.4774</v>
      </c>
      <c r="K3368" s="11" t="str">
        <f aca="false">IF(I3368&lt;J3368,"TAK","NIE")</f>
        <v>NIE</v>
      </c>
    </row>
    <row r="3369" customFormat="false" ht="15" hidden="false" customHeight="false" outlineLevel="0" collapsed="false">
      <c r="A3369" s="5" t="s">
        <v>682</v>
      </c>
      <c r="B3369" s="5" t="s">
        <v>72</v>
      </c>
      <c r="C3369" s="5" t="n">
        <v>2023</v>
      </c>
      <c r="D3369" s="5" t="s">
        <v>44</v>
      </c>
      <c r="E3369" s="5" t="s">
        <v>57</v>
      </c>
      <c r="F3369" s="5" t="s">
        <v>39</v>
      </c>
      <c r="G3369" s="6" t="n">
        <v>552</v>
      </c>
      <c r="H3369" s="6" t="n">
        <v>92</v>
      </c>
      <c r="I3369" s="7" t="n">
        <f aca="false">(G3369-H3369)/G3369</f>
        <v>0.833333333333333</v>
      </c>
      <c r="J3369" s="15" t="n">
        <v>0.4774</v>
      </c>
      <c r="K3369" s="11" t="str">
        <f aca="false">IF(I3369&lt;J3369,"TAK","NIE")</f>
        <v>NIE</v>
      </c>
    </row>
    <row r="3370" customFormat="false" ht="15" hidden="false" customHeight="false" outlineLevel="0" collapsed="false">
      <c r="A3370" s="5" t="s">
        <v>683</v>
      </c>
      <c r="B3370" s="5" t="s">
        <v>72</v>
      </c>
      <c r="C3370" s="5" t="n">
        <v>2023</v>
      </c>
      <c r="D3370" s="5" t="s">
        <v>44</v>
      </c>
      <c r="E3370" s="5" t="s">
        <v>57</v>
      </c>
      <c r="F3370" s="5" t="s">
        <v>39</v>
      </c>
      <c r="G3370" s="6" t="n">
        <v>552</v>
      </c>
      <c r="H3370" s="6" t="n">
        <v>66</v>
      </c>
      <c r="I3370" s="7" t="n">
        <f aca="false">(G3370-H3370)/G3370</f>
        <v>0.880434782608696</v>
      </c>
      <c r="J3370" s="15" t="n">
        <v>0.4774</v>
      </c>
      <c r="K3370" s="11" t="str">
        <f aca="false">IF(I3370&lt;J3370,"TAK","NIE")</f>
        <v>NIE</v>
      </c>
    </row>
    <row r="3371" customFormat="false" ht="15" hidden="false" customHeight="false" outlineLevel="0" collapsed="false">
      <c r="A3371" s="5" t="s">
        <v>684</v>
      </c>
      <c r="B3371" s="5" t="s">
        <v>72</v>
      </c>
      <c r="C3371" s="5" t="n">
        <v>2023</v>
      </c>
      <c r="D3371" s="5" t="s">
        <v>44</v>
      </c>
      <c r="E3371" s="5" t="s">
        <v>57</v>
      </c>
      <c r="F3371" s="5" t="s">
        <v>39</v>
      </c>
      <c r="G3371" s="6" t="n">
        <v>558</v>
      </c>
      <c r="H3371" s="6" t="n">
        <v>304</v>
      </c>
      <c r="I3371" s="7" t="n">
        <f aca="false">(G3371-H3371)/G3371</f>
        <v>0.455197132616488</v>
      </c>
      <c r="J3371" s="15" t="n">
        <v>0.4774</v>
      </c>
      <c r="K3371" s="11" t="str">
        <f aca="false">IF(I3371&lt;J3371,"TAK","NIE")</f>
        <v>TAK</v>
      </c>
    </row>
    <row r="3372" customFormat="false" ht="15" hidden="false" customHeight="false" outlineLevel="0" collapsed="false">
      <c r="A3372" s="5" t="s">
        <v>685</v>
      </c>
      <c r="B3372" s="5" t="s">
        <v>72</v>
      </c>
      <c r="C3372" s="5" t="n">
        <v>2023</v>
      </c>
      <c r="D3372" s="5" t="s">
        <v>44</v>
      </c>
      <c r="E3372" s="5" t="s">
        <v>57</v>
      </c>
      <c r="F3372" s="5" t="s">
        <v>39</v>
      </c>
      <c r="G3372" s="6" t="n">
        <v>558</v>
      </c>
      <c r="H3372" s="6" t="n">
        <v>143</v>
      </c>
      <c r="I3372" s="7" t="n">
        <f aca="false">(G3372-H3372)/G3372</f>
        <v>0.743727598566308</v>
      </c>
      <c r="J3372" s="15" t="n">
        <v>0.4774</v>
      </c>
      <c r="K3372" s="11" t="str">
        <f aca="false">IF(I3372&lt;J3372,"TAK","NIE")</f>
        <v>NIE</v>
      </c>
    </row>
    <row r="3373" customFormat="false" ht="15" hidden="false" customHeight="false" outlineLevel="0" collapsed="false">
      <c r="A3373" s="5" t="s">
        <v>686</v>
      </c>
      <c r="B3373" s="5" t="s">
        <v>72</v>
      </c>
      <c r="C3373" s="5" t="n">
        <v>2023</v>
      </c>
      <c r="D3373" s="5" t="s">
        <v>44</v>
      </c>
      <c r="E3373" s="5" t="s">
        <v>57</v>
      </c>
      <c r="F3373" s="5" t="s">
        <v>39</v>
      </c>
      <c r="G3373" s="6" t="n">
        <v>558</v>
      </c>
      <c r="H3373" s="6" t="n">
        <v>163</v>
      </c>
      <c r="I3373" s="7" t="n">
        <f aca="false">(G3373-H3373)/G3373</f>
        <v>0.707885304659498</v>
      </c>
      <c r="J3373" s="15" t="n">
        <v>0.4774</v>
      </c>
      <c r="K3373" s="11" t="str">
        <f aca="false">IF(I3373&lt;J3373,"TAK","NIE")</f>
        <v>NIE</v>
      </c>
    </row>
    <row r="3374" customFormat="false" ht="15" hidden="false" customHeight="false" outlineLevel="0" collapsed="false">
      <c r="A3374" s="5" t="s">
        <v>665</v>
      </c>
      <c r="B3374" s="5" t="s">
        <v>72</v>
      </c>
      <c r="C3374" s="5" t="n">
        <v>2023</v>
      </c>
      <c r="D3374" s="5" t="s">
        <v>44</v>
      </c>
      <c r="E3374" s="5" t="s">
        <v>57</v>
      </c>
      <c r="F3374" s="5" t="s">
        <v>40</v>
      </c>
      <c r="G3374" s="6" t="n">
        <v>585</v>
      </c>
      <c r="H3374" s="6" t="n">
        <v>68</v>
      </c>
      <c r="I3374" s="7" t="n">
        <f aca="false">(G3374-H3374)/G3374</f>
        <v>0.883760683760684</v>
      </c>
      <c r="J3374" s="15" t="n">
        <v>0.2121</v>
      </c>
      <c r="K3374" s="11" t="str">
        <f aca="false">IF(I3374&lt;J3374,"TAK","NIE")</f>
        <v>NIE</v>
      </c>
    </row>
    <row r="3375" customFormat="false" ht="15" hidden="false" customHeight="false" outlineLevel="0" collapsed="false">
      <c r="A3375" s="5" t="s">
        <v>666</v>
      </c>
      <c r="B3375" s="5" t="s">
        <v>72</v>
      </c>
      <c r="C3375" s="5" t="n">
        <v>2023</v>
      </c>
      <c r="D3375" s="5" t="s">
        <v>44</v>
      </c>
      <c r="E3375" s="5" t="s">
        <v>57</v>
      </c>
      <c r="F3375" s="5" t="s">
        <v>40</v>
      </c>
      <c r="G3375" s="6" t="n">
        <v>596</v>
      </c>
      <c r="H3375" s="6" t="n">
        <v>207</v>
      </c>
      <c r="I3375" s="7" t="n">
        <f aca="false">(G3375-H3375)/G3375</f>
        <v>0.652684563758389</v>
      </c>
      <c r="J3375" s="15" t="n">
        <v>0.2121</v>
      </c>
      <c r="K3375" s="11" t="str">
        <f aca="false">IF(I3375&lt;J3375,"TAK","NIE")</f>
        <v>NIE</v>
      </c>
    </row>
    <row r="3376" customFormat="false" ht="15" hidden="false" customHeight="false" outlineLevel="0" collapsed="false">
      <c r="A3376" s="5" t="s">
        <v>667</v>
      </c>
      <c r="B3376" s="5" t="s">
        <v>72</v>
      </c>
      <c r="C3376" s="5" t="n">
        <v>2023</v>
      </c>
      <c r="D3376" s="5" t="s">
        <v>44</v>
      </c>
      <c r="E3376" s="5" t="s">
        <v>57</v>
      </c>
      <c r="F3376" s="5" t="s">
        <v>40</v>
      </c>
      <c r="G3376" s="6" t="n">
        <v>424</v>
      </c>
      <c r="H3376" s="6" t="n">
        <v>183</v>
      </c>
      <c r="I3376" s="7" t="n">
        <f aca="false">(G3376-H3376)/G3376</f>
        <v>0.568396226415094</v>
      </c>
      <c r="J3376" s="15" t="n">
        <v>0.2121</v>
      </c>
      <c r="K3376" s="11" t="str">
        <f aca="false">IF(I3376&lt;J3376,"TAK","NIE")</f>
        <v>NIE</v>
      </c>
    </row>
    <row r="3377" customFormat="false" ht="15" hidden="false" customHeight="false" outlineLevel="0" collapsed="false">
      <c r="A3377" s="5" t="s">
        <v>668</v>
      </c>
      <c r="B3377" s="5" t="s">
        <v>72</v>
      </c>
      <c r="C3377" s="5" t="n">
        <v>2023</v>
      </c>
      <c r="D3377" s="5" t="s">
        <v>44</v>
      </c>
      <c r="E3377" s="5" t="s">
        <v>57</v>
      </c>
      <c r="F3377" s="5" t="s">
        <v>40</v>
      </c>
      <c r="G3377" s="6" t="n">
        <v>596</v>
      </c>
      <c r="H3377" s="6" t="n">
        <v>226</v>
      </c>
      <c r="I3377" s="7" t="n">
        <f aca="false">(G3377-H3377)/G3377</f>
        <v>0.620805369127517</v>
      </c>
      <c r="J3377" s="15" t="n">
        <v>0.2121</v>
      </c>
      <c r="K3377" s="11" t="str">
        <f aca="false">IF(I3377&lt;J3377,"TAK","NIE")</f>
        <v>NIE</v>
      </c>
    </row>
    <row r="3378" customFormat="false" ht="15" hidden="false" customHeight="false" outlineLevel="0" collapsed="false">
      <c r="A3378" s="5" t="s">
        <v>669</v>
      </c>
      <c r="B3378" s="5" t="s">
        <v>72</v>
      </c>
      <c r="C3378" s="5" t="n">
        <v>2023</v>
      </c>
      <c r="D3378" s="5" t="s">
        <v>44</v>
      </c>
      <c r="E3378" s="5" t="s">
        <v>57</v>
      </c>
      <c r="F3378" s="5" t="s">
        <v>40</v>
      </c>
      <c r="G3378" s="6" t="n">
        <v>596</v>
      </c>
      <c r="H3378" s="6" t="n">
        <v>200</v>
      </c>
      <c r="I3378" s="7" t="n">
        <f aca="false">(G3378-H3378)/G3378</f>
        <v>0.664429530201342</v>
      </c>
      <c r="J3378" s="15" t="n">
        <v>0.2121</v>
      </c>
      <c r="K3378" s="11" t="str">
        <f aca="false">IF(I3378&lt;J3378,"TAK","NIE")</f>
        <v>NIE</v>
      </c>
    </row>
    <row r="3379" customFormat="false" ht="15" hidden="false" customHeight="false" outlineLevel="0" collapsed="false">
      <c r="A3379" s="5" t="s">
        <v>670</v>
      </c>
      <c r="B3379" s="5" t="s">
        <v>72</v>
      </c>
      <c r="C3379" s="5" t="n">
        <v>2023</v>
      </c>
      <c r="D3379" s="5" t="s">
        <v>44</v>
      </c>
      <c r="E3379" s="5" t="s">
        <v>57</v>
      </c>
      <c r="F3379" s="5" t="s">
        <v>40</v>
      </c>
      <c r="G3379" s="6" t="n">
        <v>598</v>
      </c>
      <c r="H3379" s="6" t="n">
        <v>100</v>
      </c>
      <c r="I3379" s="7" t="n">
        <f aca="false">(G3379-H3379)/G3379</f>
        <v>0.832775919732442</v>
      </c>
      <c r="J3379" s="15" t="n">
        <v>0.2121</v>
      </c>
      <c r="K3379" s="11" t="str">
        <f aca="false">IF(I3379&lt;J3379,"TAK","NIE")</f>
        <v>NIE</v>
      </c>
    </row>
    <row r="3380" customFormat="false" ht="15" hidden="false" customHeight="false" outlineLevel="0" collapsed="false">
      <c r="A3380" s="5" t="s">
        <v>671</v>
      </c>
      <c r="B3380" s="5" t="s">
        <v>72</v>
      </c>
      <c r="C3380" s="5" t="n">
        <v>2023</v>
      </c>
      <c r="D3380" s="5" t="s">
        <v>44</v>
      </c>
      <c r="E3380" s="5" t="s">
        <v>57</v>
      </c>
      <c r="F3380" s="5" t="s">
        <v>40</v>
      </c>
      <c r="G3380" s="6" t="n">
        <v>548</v>
      </c>
      <c r="H3380" s="6" t="n">
        <v>546</v>
      </c>
      <c r="I3380" s="7" t="n">
        <f aca="false">(G3380-H3380)/G3380</f>
        <v>0.00364963503649635</v>
      </c>
      <c r="J3380" s="15" t="n">
        <v>0.2121</v>
      </c>
      <c r="K3380" s="11" t="str">
        <f aca="false">IF(I3380&lt;J3380,"TAK","NIE")</f>
        <v>TAK</v>
      </c>
    </row>
    <row r="3381" customFormat="false" ht="15" hidden="false" customHeight="false" outlineLevel="0" collapsed="false">
      <c r="A3381" s="5" t="s">
        <v>672</v>
      </c>
      <c r="B3381" s="5" t="s">
        <v>72</v>
      </c>
      <c r="C3381" s="5" t="n">
        <v>2023</v>
      </c>
      <c r="D3381" s="5" t="s">
        <v>44</v>
      </c>
      <c r="E3381" s="5" t="s">
        <v>57</v>
      </c>
      <c r="F3381" s="5" t="s">
        <v>40</v>
      </c>
      <c r="G3381" s="6" t="n">
        <v>596</v>
      </c>
      <c r="H3381" s="6" t="n">
        <v>116</v>
      </c>
      <c r="I3381" s="7" t="n">
        <f aca="false">(G3381-H3381)/G3381</f>
        <v>0.805369127516779</v>
      </c>
      <c r="J3381" s="15" t="n">
        <v>0.2121</v>
      </c>
      <c r="K3381" s="11" t="str">
        <f aca="false">IF(I3381&lt;J3381,"TAK","NIE")</f>
        <v>NIE</v>
      </c>
    </row>
    <row r="3382" customFormat="false" ht="15" hidden="false" customHeight="false" outlineLevel="0" collapsed="false">
      <c r="A3382" s="5" t="s">
        <v>673</v>
      </c>
      <c r="B3382" s="5" t="s">
        <v>72</v>
      </c>
      <c r="C3382" s="5" t="n">
        <v>2023</v>
      </c>
      <c r="D3382" s="5" t="s">
        <v>44</v>
      </c>
      <c r="E3382" s="5" t="s">
        <v>57</v>
      </c>
      <c r="F3382" s="5" t="s">
        <v>40</v>
      </c>
      <c r="G3382" s="6" t="n">
        <v>596</v>
      </c>
      <c r="H3382" s="6" t="n">
        <v>245</v>
      </c>
      <c r="I3382" s="7" t="n">
        <f aca="false">(G3382-H3382)/G3382</f>
        <v>0.588926174496644</v>
      </c>
      <c r="J3382" s="15" t="n">
        <v>0.2121</v>
      </c>
      <c r="K3382" s="11" t="str">
        <f aca="false">IF(I3382&lt;J3382,"TAK","NIE")</f>
        <v>NIE</v>
      </c>
    </row>
    <row r="3383" customFormat="false" ht="15" hidden="false" customHeight="false" outlineLevel="0" collapsed="false">
      <c r="A3383" s="5" t="s">
        <v>674</v>
      </c>
      <c r="B3383" s="5" t="s">
        <v>72</v>
      </c>
      <c r="C3383" s="5" t="n">
        <v>2023</v>
      </c>
      <c r="D3383" s="5" t="s">
        <v>44</v>
      </c>
      <c r="E3383" s="5" t="s">
        <v>57</v>
      </c>
      <c r="F3383" s="5" t="s">
        <v>40</v>
      </c>
      <c r="G3383" s="6" t="n">
        <v>587</v>
      </c>
      <c r="H3383" s="6" t="n">
        <v>131</v>
      </c>
      <c r="I3383" s="7" t="n">
        <f aca="false">(G3383-H3383)/G3383</f>
        <v>0.776831345826235</v>
      </c>
      <c r="J3383" s="15" t="n">
        <v>0.2121</v>
      </c>
      <c r="K3383" s="11" t="str">
        <f aca="false">IF(I3383&lt;J3383,"TAK","NIE")</f>
        <v>NIE</v>
      </c>
    </row>
    <row r="3384" customFormat="false" ht="15" hidden="false" customHeight="false" outlineLevel="0" collapsed="false">
      <c r="A3384" s="5" t="s">
        <v>675</v>
      </c>
      <c r="B3384" s="5" t="s">
        <v>72</v>
      </c>
      <c r="C3384" s="5" t="n">
        <v>2023</v>
      </c>
      <c r="D3384" s="5" t="s">
        <v>44</v>
      </c>
      <c r="E3384" s="5" t="s">
        <v>57</v>
      </c>
      <c r="F3384" s="5" t="s">
        <v>40</v>
      </c>
      <c r="G3384" s="6" t="n">
        <v>619</v>
      </c>
      <c r="H3384" s="6" t="n">
        <v>86</v>
      </c>
      <c r="I3384" s="7" t="n">
        <f aca="false">(G3384-H3384)/G3384</f>
        <v>0.861066235864297</v>
      </c>
      <c r="J3384" s="15" t="n">
        <v>0.2121</v>
      </c>
      <c r="K3384" s="11" t="str">
        <f aca="false">IF(I3384&lt;J3384,"TAK","NIE")</f>
        <v>NIE</v>
      </c>
    </row>
    <row r="3385" customFormat="false" ht="15" hidden="false" customHeight="false" outlineLevel="0" collapsed="false">
      <c r="A3385" s="5" t="s">
        <v>676</v>
      </c>
      <c r="B3385" s="5" t="s">
        <v>72</v>
      </c>
      <c r="C3385" s="5" t="n">
        <v>2023</v>
      </c>
      <c r="D3385" s="5" t="s">
        <v>44</v>
      </c>
      <c r="E3385" s="5" t="s">
        <v>57</v>
      </c>
      <c r="F3385" s="5" t="s">
        <v>40</v>
      </c>
      <c r="G3385" s="6" t="n">
        <v>596</v>
      </c>
      <c r="H3385" s="6" t="n">
        <v>309</v>
      </c>
      <c r="I3385" s="7" t="n">
        <f aca="false">(G3385-H3385)/G3385</f>
        <v>0.481543624161074</v>
      </c>
      <c r="J3385" s="15" t="n">
        <v>0.2121</v>
      </c>
      <c r="K3385" s="11" t="str">
        <f aca="false">IF(I3385&lt;J3385,"TAK","NIE")</f>
        <v>NIE</v>
      </c>
    </row>
    <row r="3386" customFormat="false" ht="15" hidden="false" customHeight="false" outlineLevel="0" collapsed="false">
      <c r="A3386" s="5" t="s">
        <v>687</v>
      </c>
      <c r="B3386" s="5" t="s">
        <v>72</v>
      </c>
      <c r="C3386" s="5" t="n">
        <v>2023</v>
      </c>
      <c r="D3386" s="5" t="s">
        <v>44</v>
      </c>
      <c r="E3386" s="5" t="s">
        <v>57</v>
      </c>
      <c r="F3386" s="5" t="s">
        <v>40</v>
      </c>
      <c r="G3386" s="6" t="n">
        <v>581</v>
      </c>
      <c r="H3386" s="6" t="n">
        <v>215</v>
      </c>
      <c r="I3386" s="7" t="n">
        <f aca="false">(G3386-H3386)/G3386</f>
        <v>0.629948364888124</v>
      </c>
      <c r="J3386" s="15" t="n">
        <v>0.2121</v>
      </c>
      <c r="K3386" s="11" t="str">
        <f aca="false">IF(I3386&lt;J3386,"TAK","NIE")</f>
        <v>NIE</v>
      </c>
    </row>
    <row r="3387" customFormat="false" ht="15" hidden="false" customHeight="false" outlineLevel="0" collapsed="false">
      <c r="A3387" s="5" t="s">
        <v>688</v>
      </c>
      <c r="B3387" s="5" t="s">
        <v>72</v>
      </c>
      <c r="C3387" s="5" t="n">
        <v>2023</v>
      </c>
      <c r="D3387" s="5" t="s">
        <v>44</v>
      </c>
      <c r="E3387" s="5" t="s">
        <v>57</v>
      </c>
      <c r="F3387" s="5" t="s">
        <v>40</v>
      </c>
      <c r="G3387" s="6" t="n">
        <v>302</v>
      </c>
      <c r="H3387" s="6" t="n">
        <v>130</v>
      </c>
      <c r="I3387" s="7" t="n">
        <f aca="false">(G3387-H3387)/G3387</f>
        <v>0.56953642384106</v>
      </c>
      <c r="J3387" s="15" t="n">
        <v>0.2121</v>
      </c>
      <c r="K3387" s="11" t="str">
        <f aca="false">IF(I3387&lt;J3387,"TAK","NIE")</f>
        <v>NIE</v>
      </c>
    </row>
    <row r="3388" customFormat="false" ht="15" hidden="false" customHeight="false" outlineLevel="0" collapsed="false">
      <c r="A3388" s="5" t="s">
        <v>677</v>
      </c>
      <c r="B3388" s="5" t="s">
        <v>72</v>
      </c>
      <c r="C3388" s="5" t="n">
        <v>2023</v>
      </c>
      <c r="D3388" s="5" t="s">
        <v>44</v>
      </c>
      <c r="E3388" s="5" t="s">
        <v>57</v>
      </c>
      <c r="F3388" s="5" t="s">
        <v>40</v>
      </c>
      <c r="G3388" s="6" t="n">
        <v>596</v>
      </c>
      <c r="H3388" s="6" t="n">
        <v>188</v>
      </c>
      <c r="I3388" s="7" t="n">
        <f aca="false">(G3388-H3388)/G3388</f>
        <v>0.684563758389262</v>
      </c>
      <c r="J3388" s="15" t="n">
        <v>0.2121</v>
      </c>
      <c r="K3388" s="11" t="str">
        <f aca="false">IF(I3388&lt;J3388,"TAK","NIE")</f>
        <v>NIE</v>
      </c>
    </row>
    <row r="3389" customFormat="false" ht="15" hidden="false" customHeight="false" outlineLevel="0" collapsed="false">
      <c r="A3389" s="5" t="s">
        <v>678</v>
      </c>
      <c r="B3389" s="5" t="s">
        <v>72</v>
      </c>
      <c r="C3389" s="5" t="n">
        <v>2023</v>
      </c>
      <c r="D3389" s="5" t="s">
        <v>44</v>
      </c>
      <c r="E3389" s="5" t="s">
        <v>57</v>
      </c>
      <c r="F3389" s="5" t="s">
        <v>40</v>
      </c>
      <c r="G3389" s="6" t="n">
        <v>598</v>
      </c>
      <c r="H3389" s="6" t="n">
        <v>214</v>
      </c>
      <c r="I3389" s="7" t="n">
        <f aca="false">(G3389-H3389)/G3389</f>
        <v>0.642140468227425</v>
      </c>
      <c r="J3389" s="15" t="n">
        <v>0.2121</v>
      </c>
      <c r="K3389" s="11" t="str">
        <f aca="false">IF(I3389&lt;J3389,"TAK","NIE")</f>
        <v>NIE</v>
      </c>
    </row>
    <row r="3390" customFormat="false" ht="15" hidden="false" customHeight="false" outlineLevel="0" collapsed="false">
      <c r="A3390" s="5" t="s">
        <v>679</v>
      </c>
      <c r="B3390" s="5" t="s">
        <v>72</v>
      </c>
      <c r="C3390" s="5" t="n">
        <v>2023</v>
      </c>
      <c r="D3390" s="5" t="s">
        <v>44</v>
      </c>
      <c r="E3390" s="5" t="s">
        <v>57</v>
      </c>
      <c r="F3390" s="5" t="s">
        <v>40</v>
      </c>
      <c r="G3390" s="6" t="n">
        <v>598</v>
      </c>
      <c r="H3390" s="6" t="n">
        <v>230</v>
      </c>
      <c r="I3390" s="7" t="n">
        <f aca="false">(G3390-H3390)/G3390</f>
        <v>0.615384615384615</v>
      </c>
      <c r="J3390" s="15" t="n">
        <v>0.2121</v>
      </c>
      <c r="K3390" s="11" t="str">
        <f aca="false">IF(I3390&lt;J3390,"TAK","NIE")</f>
        <v>NIE</v>
      </c>
    </row>
    <row r="3391" customFormat="false" ht="15" hidden="false" customHeight="false" outlineLevel="0" collapsed="false">
      <c r="A3391" s="5" t="s">
        <v>689</v>
      </c>
      <c r="B3391" s="5" t="s">
        <v>72</v>
      </c>
      <c r="C3391" s="5" t="n">
        <v>2023</v>
      </c>
      <c r="D3391" s="5" t="s">
        <v>44</v>
      </c>
      <c r="E3391" s="5" t="s">
        <v>57</v>
      </c>
      <c r="F3391" s="5" t="s">
        <v>40</v>
      </c>
      <c r="G3391" s="6" t="n">
        <v>302</v>
      </c>
      <c r="H3391" s="6" t="n">
        <v>157</v>
      </c>
      <c r="I3391" s="7" t="n">
        <f aca="false">(G3391-H3391)/G3391</f>
        <v>0.480132450331126</v>
      </c>
      <c r="J3391" s="15" t="n">
        <v>0.2121</v>
      </c>
      <c r="K3391" s="11" t="str">
        <f aca="false">IF(I3391&lt;J3391,"TAK","NIE")</f>
        <v>NIE</v>
      </c>
    </row>
    <row r="3392" customFormat="false" ht="15" hidden="false" customHeight="false" outlineLevel="0" collapsed="false">
      <c r="A3392" s="5" t="s">
        <v>681</v>
      </c>
      <c r="B3392" s="5" t="s">
        <v>72</v>
      </c>
      <c r="C3392" s="5" t="n">
        <v>2023</v>
      </c>
      <c r="D3392" s="5" t="s">
        <v>44</v>
      </c>
      <c r="E3392" s="5" t="s">
        <v>57</v>
      </c>
      <c r="F3392" s="5" t="s">
        <v>40</v>
      </c>
      <c r="G3392" s="6" t="n">
        <v>618</v>
      </c>
      <c r="H3392" s="6" t="n">
        <v>94</v>
      </c>
      <c r="I3392" s="7" t="n">
        <f aca="false">(G3392-H3392)/G3392</f>
        <v>0.84789644012945</v>
      </c>
      <c r="J3392" s="15" t="n">
        <v>0.2121</v>
      </c>
      <c r="K3392" s="11" t="str">
        <f aca="false">IF(I3392&lt;J3392,"TAK","NIE")</f>
        <v>NIE</v>
      </c>
    </row>
    <row r="3393" customFormat="false" ht="15" hidden="false" customHeight="false" outlineLevel="0" collapsed="false">
      <c r="A3393" s="5" t="s">
        <v>682</v>
      </c>
      <c r="B3393" s="5" t="s">
        <v>72</v>
      </c>
      <c r="C3393" s="5" t="n">
        <v>2023</v>
      </c>
      <c r="D3393" s="5" t="s">
        <v>44</v>
      </c>
      <c r="E3393" s="5" t="s">
        <v>57</v>
      </c>
      <c r="F3393" s="5" t="s">
        <v>40</v>
      </c>
      <c r="G3393" s="6" t="n">
        <v>598</v>
      </c>
      <c r="H3393" s="6" t="n">
        <v>50</v>
      </c>
      <c r="I3393" s="7" t="n">
        <f aca="false">(G3393-H3393)/G3393</f>
        <v>0.916387959866221</v>
      </c>
      <c r="J3393" s="15" t="n">
        <v>0.2121</v>
      </c>
      <c r="K3393" s="11" t="str">
        <f aca="false">IF(I3393&lt;J3393,"TAK","NIE")</f>
        <v>NIE</v>
      </c>
    </row>
    <row r="3394" customFormat="false" ht="15" hidden="false" customHeight="false" outlineLevel="0" collapsed="false">
      <c r="A3394" s="5" t="s">
        <v>683</v>
      </c>
      <c r="B3394" s="5" t="s">
        <v>72</v>
      </c>
      <c r="C3394" s="5" t="n">
        <v>2023</v>
      </c>
      <c r="D3394" s="5" t="s">
        <v>44</v>
      </c>
      <c r="E3394" s="5" t="s">
        <v>57</v>
      </c>
      <c r="F3394" s="5" t="s">
        <v>40</v>
      </c>
      <c r="G3394" s="6" t="n">
        <v>598</v>
      </c>
      <c r="H3394" s="6" t="n">
        <v>152</v>
      </c>
      <c r="I3394" s="7" t="n">
        <f aca="false">(G3394-H3394)/G3394</f>
        <v>0.745819397993311</v>
      </c>
      <c r="J3394" s="15" t="n">
        <v>0.2121</v>
      </c>
      <c r="K3394" s="11" t="str">
        <f aca="false">IF(I3394&lt;J3394,"TAK","NIE")</f>
        <v>NIE</v>
      </c>
    </row>
    <row r="3395" customFormat="false" ht="15" hidden="false" customHeight="false" outlineLevel="0" collapsed="false">
      <c r="A3395" s="5" t="s">
        <v>684</v>
      </c>
      <c r="B3395" s="5" t="s">
        <v>72</v>
      </c>
      <c r="C3395" s="5" t="n">
        <v>2023</v>
      </c>
      <c r="D3395" s="5" t="s">
        <v>44</v>
      </c>
      <c r="E3395" s="5" t="s">
        <v>57</v>
      </c>
      <c r="F3395" s="5" t="s">
        <v>40</v>
      </c>
      <c r="G3395" s="6" t="n">
        <v>547</v>
      </c>
      <c r="H3395" s="6" t="n">
        <v>525</v>
      </c>
      <c r="I3395" s="7" t="n">
        <f aca="false">(G3395-H3395)/G3395</f>
        <v>0.0402193784277879</v>
      </c>
      <c r="J3395" s="15" t="n">
        <v>0.2121</v>
      </c>
      <c r="K3395" s="11" t="str">
        <f aca="false">IF(I3395&lt;J3395,"TAK","NIE")</f>
        <v>TAK</v>
      </c>
    </row>
    <row r="3396" customFormat="false" ht="15" hidden="false" customHeight="false" outlineLevel="0" collapsed="false">
      <c r="A3396" s="5" t="s">
        <v>685</v>
      </c>
      <c r="B3396" s="5" t="s">
        <v>72</v>
      </c>
      <c r="C3396" s="5" t="n">
        <v>2023</v>
      </c>
      <c r="D3396" s="5" t="s">
        <v>44</v>
      </c>
      <c r="E3396" s="5" t="s">
        <v>57</v>
      </c>
      <c r="F3396" s="5" t="s">
        <v>40</v>
      </c>
      <c r="G3396" s="6" t="n">
        <v>596</v>
      </c>
      <c r="H3396" s="6" t="n">
        <v>288</v>
      </c>
      <c r="I3396" s="7" t="n">
        <f aca="false">(G3396-H3396)/G3396</f>
        <v>0.516778523489933</v>
      </c>
      <c r="J3396" s="15" t="n">
        <v>0.2121</v>
      </c>
      <c r="K3396" s="11" t="str">
        <f aca="false">IF(I3396&lt;J3396,"TAK","NIE")</f>
        <v>NIE</v>
      </c>
    </row>
    <row r="3397" customFormat="false" ht="15" hidden="false" customHeight="false" outlineLevel="0" collapsed="false">
      <c r="A3397" s="5" t="s">
        <v>686</v>
      </c>
      <c r="B3397" s="5" t="s">
        <v>72</v>
      </c>
      <c r="C3397" s="5" t="n">
        <v>2023</v>
      </c>
      <c r="D3397" s="5" t="s">
        <v>44</v>
      </c>
      <c r="E3397" s="5" t="s">
        <v>57</v>
      </c>
      <c r="F3397" s="5" t="s">
        <v>40</v>
      </c>
      <c r="G3397" s="6" t="n">
        <v>596</v>
      </c>
      <c r="H3397" s="6" t="n">
        <v>288</v>
      </c>
      <c r="I3397" s="7" t="n">
        <f aca="false">(G3397-H3397)/G3397</f>
        <v>0.516778523489933</v>
      </c>
      <c r="J3397" s="15" t="n">
        <v>0.2121</v>
      </c>
      <c r="K3397" s="11" t="str">
        <f aca="false">IF(I3397&lt;J3397,"TAK","NIE")</f>
        <v>NIE</v>
      </c>
    </row>
    <row r="3398" customFormat="false" ht="15" hidden="false" customHeight="false" outlineLevel="0" collapsed="false">
      <c r="A3398" s="5" t="s">
        <v>665</v>
      </c>
      <c r="B3398" s="5" t="s">
        <v>73</v>
      </c>
      <c r="C3398" s="5" t="n">
        <v>2023</v>
      </c>
      <c r="D3398" s="5" t="s">
        <v>44</v>
      </c>
      <c r="E3398" s="5" t="s">
        <v>75</v>
      </c>
      <c r="F3398" s="5" t="s">
        <v>39</v>
      </c>
      <c r="G3398" s="6" t="n">
        <v>500</v>
      </c>
      <c r="H3398" s="6" t="n">
        <v>61</v>
      </c>
      <c r="I3398" s="7" t="n">
        <f aca="false">(G3398-H3398)/G3398</f>
        <v>0.878</v>
      </c>
      <c r="J3398" s="15" t="n">
        <v>0.2543</v>
      </c>
      <c r="K3398" s="11" t="str">
        <f aca="false">IF(I3398&lt;J3398,"TAK","NIE")</f>
        <v>NIE</v>
      </c>
    </row>
    <row r="3399" customFormat="false" ht="15" hidden="false" customHeight="false" outlineLevel="0" collapsed="false">
      <c r="A3399" s="5" t="s">
        <v>666</v>
      </c>
      <c r="B3399" s="5" t="s">
        <v>73</v>
      </c>
      <c r="C3399" s="5" t="n">
        <v>2023</v>
      </c>
      <c r="D3399" s="5" t="s">
        <v>44</v>
      </c>
      <c r="E3399" s="5" t="s">
        <v>75</v>
      </c>
      <c r="F3399" s="5" t="s">
        <v>39</v>
      </c>
      <c r="G3399" s="6" t="n">
        <v>500</v>
      </c>
      <c r="H3399" s="6" t="n">
        <v>84</v>
      </c>
      <c r="I3399" s="7" t="n">
        <f aca="false">(G3399-H3399)/G3399</f>
        <v>0.832</v>
      </c>
      <c r="J3399" s="15" t="n">
        <v>0.2543</v>
      </c>
      <c r="K3399" s="11" t="str">
        <f aca="false">IF(I3399&lt;J3399,"TAK","NIE")</f>
        <v>NIE</v>
      </c>
    </row>
    <row r="3400" customFormat="false" ht="15" hidden="false" customHeight="false" outlineLevel="0" collapsed="false">
      <c r="A3400" s="5" t="s">
        <v>667</v>
      </c>
      <c r="B3400" s="5" t="s">
        <v>73</v>
      </c>
      <c r="C3400" s="5" t="n">
        <v>2023</v>
      </c>
      <c r="D3400" s="5" t="s">
        <v>44</v>
      </c>
      <c r="E3400" s="5" t="s">
        <v>75</v>
      </c>
      <c r="F3400" s="5" t="s">
        <v>39</v>
      </c>
      <c r="G3400" s="6" t="n">
        <v>472</v>
      </c>
      <c r="H3400" s="6" t="n">
        <v>199</v>
      </c>
      <c r="I3400" s="7" t="n">
        <f aca="false">(G3400-H3400)/G3400</f>
        <v>0.578389830508475</v>
      </c>
      <c r="J3400" s="15" t="n">
        <v>0.2543</v>
      </c>
      <c r="K3400" s="11" t="str">
        <f aca="false">IF(I3400&lt;J3400,"TAK","NIE")</f>
        <v>NIE</v>
      </c>
    </row>
    <row r="3401" customFormat="false" ht="15" hidden="false" customHeight="false" outlineLevel="0" collapsed="false">
      <c r="A3401" s="5" t="s">
        <v>668</v>
      </c>
      <c r="B3401" s="5" t="s">
        <v>73</v>
      </c>
      <c r="C3401" s="5" t="n">
        <v>2023</v>
      </c>
      <c r="D3401" s="5" t="s">
        <v>44</v>
      </c>
      <c r="E3401" s="5" t="s">
        <v>75</v>
      </c>
      <c r="F3401" s="5" t="s">
        <v>39</v>
      </c>
      <c r="G3401" s="6" t="n">
        <v>500</v>
      </c>
      <c r="H3401" s="6" t="n">
        <v>165</v>
      </c>
      <c r="I3401" s="7" t="n">
        <f aca="false">(G3401-H3401)/G3401</f>
        <v>0.67</v>
      </c>
      <c r="J3401" s="15" t="n">
        <v>0.2543</v>
      </c>
      <c r="K3401" s="11" t="str">
        <f aca="false">IF(I3401&lt;J3401,"TAK","NIE")</f>
        <v>NIE</v>
      </c>
    </row>
    <row r="3402" customFormat="false" ht="15" hidden="false" customHeight="false" outlineLevel="0" collapsed="false">
      <c r="A3402" s="5" t="s">
        <v>543</v>
      </c>
      <c r="B3402" s="5" t="s">
        <v>73</v>
      </c>
      <c r="C3402" s="5" t="n">
        <v>2023</v>
      </c>
      <c r="D3402" s="5" t="s">
        <v>44</v>
      </c>
      <c r="E3402" s="5" t="s">
        <v>75</v>
      </c>
      <c r="F3402" s="5" t="s">
        <v>39</v>
      </c>
      <c r="G3402" s="6" t="n">
        <v>500</v>
      </c>
      <c r="H3402" s="6" t="n">
        <v>248</v>
      </c>
      <c r="I3402" s="7" t="n">
        <f aca="false">(G3402-H3402)/G3402</f>
        <v>0.504</v>
      </c>
      <c r="J3402" s="15" t="n">
        <v>0.2543</v>
      </c>
      <c r="K3402" s="11" t="str">
        <f aca="false">IF(I3402&lt;J3402,"TAK","NIE")</f>
        <v>NIE</v>
      </c>
    </row>
    <row r="3403" customFormat="false" ht="15" hidden="false" customHeight="false" outlineLevel="0" collapsed="false">
      <c r="A3403" s="5" t="s">
        <v>669</v>
      </c>
      <c r="B3403" s="5" t="s">
        <v>73</v>
      </c>
      <c r="C3403" s="5" t="n">
        <v>2023</v>
      </c>
      <c r="D3403" s="5" t="s">
        <v>44</v>
      </c>
      <c r="E3403" s="5" t="s">
        <v>75</v>
      </c>
      <c r="F3403" s="5" t="s">
        <v>39</v>
      </c>
      <c r="G3403" s="6" t="n">
        <v>500</v>
      </c>
      <c r="H3403" s="6" t="n">
        <v>169</v>
      </c>
      <c r="I3403" s="7" t="n">
        <f aca="false">(G3403-H3403)/G3403</f>
        <v>0.662</v>
      </c>
      <c r="J3403" s="15" t="n">
        <v>0.2543</v>
      </c>
      <c r="K3403" s="11" t="str">
        <f aca="false">IF(I3403&lt;J3403,"TAK","NIE")</f>
        <v>NIE</v>
      </c>
    </row>
    <row r="3404" customFormat="false" ht="15" hidden="false" customHeight="false" outlineLevel="0" collapsed="false">
      <c r="A3404" s="5" t="s">
        <v>670</v>
      </c>
      <c r="B3404" s="5" t="s">
        <v>73</v>
      </c>
      <c r="C3404" s="5" t="n">
        <v>2023</v>
      </c>
      <c r="D3404" s="5" t="s">
        <v>44</v>
      </c>
      <c r="E3404" s="5" t="s">
        <v>75</v>
      </c>
      <c r="F3404" s="5" t="s">
        <v>39</v>
      </c>
      <c r="G3404" s="6" t="n">
        <v>500</v>
      </c>
      <c r="H3404" s="6" t="n">
        <v>56</v>
      </c>
      <c r="I3404" s="7" t="n">
        <f aca="false">(G3404-H3404)/G3404</f>
        <v>0.888</v>
      </c>
      <c r="J3404" s="15" t="n">
        <v>0.2543</v>
      </c>
      <c r="K3404" s="11" t="str">
        <f aca="false">IF(I3404&lt;J3404,"TAK","NIE")</f>
        <v>NIE</v>
      </c>
    </row>
    <row r="3405" customFormat="false" ht="15" hidden="false" customHeight="false" outlineLevel="0" collapsed="false">
      <c r="A3405" s="5" t="s">
        <v>672</v>
      </c>
      <c r="B3405" s="5" t="s">
        <v>73</v>
      </c>
      <c r="C3405" s="5" t="n">
        <v>2023</v>
      </c>
      <c r="D3405" s="5" t="s">
        <v>44</v>
      </c>
      <c r="E3405" s="5" t="s">
        <v>75</v>
      </c>
      <c r="F3405" s="5" t="s">
        <v>39</v>
      </c>
      <c r="G3405" s="6" t="n">
        <v>500</v>
      </c>
      <c r="H3405" s="6" t="n">
        <v>77</v>
      </c>
      <c r="I3405" s="7" t="n">
        <f aca="false">(G3405-H3405)/G3405</f>
        <v>0.846</v>
      </c>
      <c r="J3405" s="15" t="n">
        <v>0.2543</v>
      </c>
      <c r="K3405" s="11" t="str">
        <f aca="false">IF(I3405&lt;J3405,"TAK","NIE")</f>
        <v>NIE</v>
      </c>
    </row>
    <row r="3406" customFormat="false" ht="15" hidden="false" customHeight="false" outlineLevel="0" collapsed="false">
      <c r="A3406" s="5" t="s">
        <v>673</v>
      </c>
      <c r="B3406" s="5" t="s">
        <v>73</v>
      </c>
      <c r="C3406" s="5" t="n">
        <v>2023</v>
      </c>
      <c r="D3406" s="5" t="s">
        <v>44</v>
      </c>
      <c r="E3406" s="5" t="s">
        <v>75</v>
      </c>
      <c r="F3406" s="5" t="s">
        <v>39</v>
      </c>
      <c r="G3406" s="6" t="n">
        <v>500</v>
      </c>
      <c r="H3406" s="6" t="n">
        <v>116</v>
      </c>
      <c r="I3406" s="7" t="n">
        <f aca="false">(G3406-H3406)/G3406</f>
        <v>0.768</v>
      </c>
      <c r="J3406" s="15" t="n">
        <v>0.2543</v>
      </c>
      <c r="K3406" s="11" t="str">
        <f aca="false">IF(I3406&lt;J3406,"TAK","NIE")</f>
        <v>NIE</v>
      </c>
    </row>
    <row r="3407" customFormat="false" ht="15" hidden="false" customHeight="false" outlineLevel="0" collapsed="false">
      <c r="A3407" s="5" t="s">
        <v>674</v>
      </c>
      <c r="B3407" s="5" t="s">
        <v>73</v>
      </c>
      <c r="C3407" s="5" t="n">
        <v>2023</v>
      </c>
      <c r="D3407" s="5" t="s">
        <v>44</v>
      </c>
      <c r="E3407" s="5" t="s">
        <v>75</v>
      </c>
      <c r="F3407" s="5" t="s">
        <v>39</v>
      </c>
      <c r="G3407" s="6" t="n">
        <v>500</v>
      </c>
      <c r="H3407" s="6" t="n">
        <v>64</v>
      </c>
      <c r="I3407" s="7" t="n">
        <f aca="false">(G3407-H3407)/G3407</f>
        <v>0.872</v>
      </c>
      <c r="J3407" s="15" t="n">
        <v>0.2543</v>
      </c>
      <c r="K3407" s="11" t="str">
        <f aca="false">IF(I3407&lt;J3407,"TAK","NIE")</f>
        <v>NIE</v>
      </c>
    </row>
    <row r="3408" customFormat="false" ht="15" hidden="false" customHeight="false" outlineLevel="0" collapsed="false">
      <c r="A3408" s="5" t="s">
        <v>675</v>
      </c>
      <c r="B3408" s="5" t="s">
        <v>73</v>
      </c>
      <c r="C3408" s="5" t="n">
        <v>2023</v>
      </c>
      <c r="D3408" s="5" t="s">
        <v>44</v>
      </c>
      <c r="E3408" s="5" t="s">
        <v>75</v>
      </c>
      <c r="F3408" s="5" t="s">
        <v>39</v>
      </c>
      <c r="G3408" s="6" t="n">
        <v>486</v>
      </c>
      <c r="H3408" s="6" t="n">
        <v>50</v>
      </c>
      <c r="I3408" s="7" t="n">
        <f aca="false">(G3408-H3408)/G3408</f>
        <v>0.897119341563786</v>
      </c>
      <c r="J3408" s="15" t="n">
        <v>0.2543</v>
      </c>
      <c r="K3408" s="11" t="str">
        <f aca="false">IF(I3408&lt;J3408,"TAK","NIE")</f>
        <v>NIE</v>
      </c>
    </row>
    <row r="3409" customFormat="false" ht="15" hidden="false" customHeight="false" outlineLevel="0" collapsed="false">
      <c r="A3409" s="5" t="s">
        <v>676</v>
      </c>
      <c r="B3409" s="5" t="s">
        <v>73</v>
      </c>
      <c r="C3409" s="5" t="n">
        <v>2023</v>
      </c>
      <c r="D3409" s="5" t="s">
        <v>44</v>
      </c>
      <c r="E3409" s="5" t="s">
        <v>75</v>
      </c>
      <c r="F3409" s="5" t="s">
        <v>39</v>
      </c>
      <c r="G3409" s="6" t="n">
        <v>500</v>
      </c>
      <c r="H3409" s="6" t="n">
        <v>176</v>
      </c>
      <c r="I3409" s="7" t="n">
        <f aca="false">(G3409-H3409)/G3409</f>
        <v>0.648</v>
      </c>
      <c r="J3409" s="15" t="n">
        <v>0.2543</v>
      </c>
      <c r="K3409" s="11" t="str">
        <f aca="false">IF(I3409&lt;J3409,"TAK","NIE")</f>
        <v>NIE</v>
      </c>
    </row>
    <row r="3410" customFormat="false" ht="15" hidden="false" customHeight="false" outlineLevel="0" collapsed="false">
      <c r="A3410" s="5" t="s">
        <v>687</v>
      </c>
      <c r="B3410" s="5" t="s">
        <v>73</v>
      </c>
      <c r="C3410" s="5" t="n">
        <v>2023</v>
      </c>
      <c r="D3410" s="5" t="s">
        <v>44</v>
      </c>
      <c r="E3410" s="5" t="s">
        <v>75</v>
      </c>
      <c r="F3410" s="5" t="s">
        <v>39</v>
      </c>
      <c r="G3410" s="6" t="n">
        <v>500</v>
      </c>
      <c r="H3410" s="6" t="n">
        <v>216</v>
      </c>
      <c r="I3410" s="7" t="n">
        <f aca="false">(G3410-H3410)/G3410</f>
        <v>0.568</v>
      </c>
      <c r="J3410" s="15" t="n">
        <v>0.2543</v>
      </c>
      <c r="K3410" s="11" t="str">
        <f aca="false">IF(I3410&lt;J3410,"TAK","NIE")</f>
        <v>NIE</v>
      </c>
    </row>
    <row r="3411" customFormat="false" ht="15" hidden="false" customHeight="false" outlineLevel="0" collapsed="false">
      <c r="A3411" s="5" t="s">
        <v>688</v>
      </c>
      <c r="B3411" s="5" t="s">
        <v>73</v>
      </c>
      <c r="C3411" s="5" t="n">
        <v>2023</v>
      </c>
      <c r="D3411" s="5" t="s">
        <v>44</v>
      </c>
      <c r="E3411" s="5" t="s">
        <v>75</v>
      </c>
      <c r="F3411" s="5" t="s">
        <v>39</v>
      </c>
      <c r="G3411" s="6" t="n">
        <v>500</v>
      </c>
      <c r="H3411" s="6" t="n">
        <v>155</v>
      </c>
      <c r="I3411" s="7" t="n">
        <f aca="false">(G3411-H3411)/G3411</f>
        <v>0.69</v>
      </c>
      <c r="J3411" s="15" t="n">
        <v>0.2543</v>
      </c>
      <c r="K3411" s="11" t="str">
        <f aca="false">IF(I3411&lt;J3411,"TAK","NIE")</f>
        <v>NIE</v>
      </c>
    </row>
    <row r="3412" customFormat="false" ht="15" hidden="false" customHeight="false" outlineLevel="0" collapsed="false">
      <c r="A3412" s="5" t="s">
        <v>678</v>
      </c>
      <c r="B3412" s="5" t="s">
        <v>73</v>
      </c>
      <c r="C3412" s="5" t="n">
        <v>2023</v>
      </c>
      <c r="D3412" s="5" t="s">
        <v>44</v>
      </c>
      <c r="E3412" s="5" t="s">
        <v>75</v>
      </c>
      <c r="F3412" s="5" t="s">
        <v>39</v>
      </c>
      <c r="G3412" s="6" t="n">
        <v>500</v>
      </c>
      <c r="H3412" s="6" t="n">
        <v>199</v>
      </c>
      <c r="I3412" s="7" t="n">
        <f aca="false">(G3412-H3412)/G3412</f>
        <v>0.602</v>
      </c>
      <c r="J3412" s="15" t="n">
        <v>0.2543</v>
      </c>
      <c r="K3412" s="11" t="str">
        <f aca="false">IF(I3412&lt;J3412,"TAK","NIE")</f>
        <v>NIE</v>
      </c>
    </row>
    <row r="3413" customFormat="false" ht="15" hidden="false" customHeight="false" outlineLevel="0" collapsed="false">
      <c r="A3413" s="5" t="s">
        <v>679</v>
      </c>
      <c r="B3413" s="5" t="s">
        <v>73</v>
      </c>
      <c r="C3413" s="5" t="n">
        <v>2023</v>
      </c>
      <c r="D3413" s="5" t="s">
        <v>44</v>
      </c>
      <c r="E3413" s="5" t="s">
        <v>75</v>
      </c>
      <c r="F3413" s="5" t="s">
        <v>39</v>
      </c>
      <c r="G3413" s="6" t="n">
        <v>500</v>
      </c>
      <c r="H3413" s="6" t="n">
        <v>194</v>
      </c>
      <c r="I3413" s="7" t="n">
        <f aca="false">(G3413-H3413)/G3413</f>
        <v>0.612</v>
      </c>
      <c r="J3413" s="15" t="n">
        <v>0.2543</v>
      </c>
      <c r="K3413" s="11" t="str">
        <f aca="false">IF(I3413&lt;J3413,"TAK","NIE")</f>
        <v>NIE</v>
      </c>
    </row>
    <row r="3414" customFormat="false" ht="15" hidden="false" customHeight="false" outlineLevel="0" collapsed="false">
      <c r="A3414" s="5" t="s">
        <v>689</v>
      </c>
      <c r="B3414" s="5" t="s">
        <v>73</v>
      </c>
      <c r="C3414" s="5" t="n">
        <v>2023</v>
      </c>
      <c r="D3414" s="5" t="s">
        <v>44</v>
      </c>
      <c r="E3414" s="5" t="s">
        <v>75</v>
      </c>
      <c r="F3414" s="5" t="s">
        <v>39</v>
      </c>
      <c r="G3414" s="6" t="n">
        <v>500</v>
      </c>
      <c r="H3414" s="6" t="n">
        <v>145</v>
      </c>
      <c r="I3414" s="7" t="n">
        <f aca="false">(G3414-H3414)/G3414</f>
        <v>0.71</v>
      </c>
      <c r="J3414" s="15" t="n">
        <v>0.2543</v>
      </c>
      <c r="K3414" s="11" t="str">
        <f aca="false">IF(I3414&lt;J3414,"TAK","NIE")</f>
        <v>NIE</v>
      </c>
    </row>
    <row r="3415" customFormat="false" ht="15" hidden="false" customHeight="false" outlineLevel="0" collapsed="false">
      <c r="A3415" s="5" t="s">
        <v>681</v>
      </c>
      <c r="B3415" s="5" t="s">
        <v>73</v>
      </c>
      <c r="C3415" s="5" t="n">
        <v>2023</v>
      </c>
      <c r="D3415" s="5" t="s">
        <v>44</v>
      </c>
      <c r="E3415" s="5" t="s">
        <v>75</v>
      </c>
      <c r="F3415" s="5" t="s">
        <v>39</v>
      </c>
      <c r="G3415" s="6" t="n">
        <v>486</v>
      </c>
      <c r="H3415" s="6" t="n">
        <v>39</v>
      </c>
      <c r="I3415" s="7" t="n">
        <f aca="false">(G3415-H3415)/G3415</f>
        <v>0.919753086419753</v>
      </c>
      <c r="J3415" s="15" t="n">
        <v>0.2543</v>
      </c>
      <c r="K3415" s="11" t="str">
        <f aca="false">IF(I3415&lt;J3415,"TAK","NIE")</f>
        <v>NIE</v>
      </c>
    </row>
    <row r="3416" customFormat="false" ht="15" hidden="false" customHeight="false" outlineLevel="0" collapsed="false">
      <c r="A3416" s="5" t="s">
        <v>682</v>
      </c>
      <c r="B3416" s="5" t="s">
        <v>73</v>
      </c>
      <c r="C3416" s="5" t="n">
        <v>2023</v>
      </c>
      <c r="D3416" s="5" t="s">
        <v>44</v>
      </c>
      <c r="E3416" s="5" t="s">
        <v>75</v>
      </c>
      <c r="F3416" s="5" t="s">
        <v>39</v>
      </c>
      <c r="G3416" s="6" t="n">
        <v>500</v>
      </c>
      <c r="H3416" s="6" t="n">
        <v>48</v>
      </c>
      <c r="I3416" s="7" t="n">
        <f aca="false">(G3416-H3416)/G3416</f>
        <v>0.904</v>
      </c>
      <c r="J3416" s="15" t="n">
        <v>0.2543</v>
      </c>
      <c r="K3416" s="11" t="str">
        <f aca="false">IF(I3416&lt;J3416,"TAK","NIE")</f>
        <v>NIE</v>
      </c>
    </row>
    <row r="3417" customFormat="false" ht="15" hidden="false" customHeight="false" outlineLevel="0" collapsed="false">
      <c r="A3417" s="5" t="s">
        <v>563</v>
      </c>
      <c r="B3417" s="5" t="s">
        <v>73</v>
      </c>
      <c r="C3417" s="5" t="n">
        <v>2023</v>
      </c>
      <c r="D3417" s="5" t="s">
        <v>44</v>
      </c>
      <c r="E3417" s="5" t="s">
        <v>75</v>
      </c>
      <c r="F3417" s="5" t="s">
        <v>39</v>
      </c>
      <c r="G3417" s="6" t="n">
        <v>500</v>
      </c>
      <c r="H3417" s="6" t="n">
        <v>312</v>
      </c>
      <c r="I3417" s="7" t="n">
        <f aca="false">(G3417-H3417)/G3417</f>
        <v>0.376</v>
      </c>
      <c r="J3417" s="15" t="n">
        <v>0.2543</v>
      </c>
      <c r="K3417" s="11" t="str">
        <f aca="false">IF(I3417&lt;J3417,"TAK","NIE")</f>
        <v>NIE</v>
      </c>
    </row>
    <row r="3418" customFormat="false" ht="15" hidden="false" customHeight="false" outlineLevel="0" collapsed="false">
      <c r="A3418" s="5" t="s">
        <v>683</v>
      </c>
      <c r="B3418" s="5" t="s">
        <v>73</v>
      </c>
      <c r="C3418" s="5" t="n">
        <v>2023</v>
      </c>
      <c r="D3418" s="5" t="s">
        <v>44</v>
      </c>
      <c r="E3418" s="5" t="s">
        <v>75</v>
      </c>
      <c r="F3418" s="5" t="s">
        <v>39</v>
      </c>
      <c r="G3418" s="6" t="n">
        <v>500</v>
      </c>
      <c r="H3418" s="6" t="n">
        <v>106</v>
      </c>
      <c r="I3418" s="7" t="n">
        <f aca="false">(G3418-H3418)/G3418</f>
        <v>0.788</v>
      </c>
      <c r="J3418" s="15" t="n">
        <v>0.2543</v>
      </c>
      <c r="K3418" s="11" t="str">
        <f aca="false">IF(I3418&lt;J3418,"TAK","NIE")</f>
        <v>NIE</v>
      </c>
    </row>
    <row r="3419" customFormat="false" ht="15" hidden="false" customHeight="false" outlineLevel="0" collapsed="false">
      <c r="A3419" s="5" t="s">
        <v>685</v>
      </c>
      <c r="B3419" s="5" t="s">
        <v>73</v>
      </c>
      <c r="C3419" s="5" t="n">
        <v>2023</v>
      </c>
      <c r="D3419" s="5" t="s">
        <v>44</v>
      </c>
      <c r="E3419" s="5" t="s">
        <v>75</v>
      </c>
      <c r="F3419" s="5" t="s">
        <v>39</v>
      </c>
      <c r="G3419" s="6" t="n">
        <v>500</v>
      </c>
      <c r="H3419" s="6" t="n">
        <v>174</v>
      </c>
      <c r="I3419" s="7" t="n">
        <f aca="false">(G3419-H3419)/G3419</f>
        <v>0.652</v>
      </c>
      <c r="J3419" s="15" t="n">
        <v>0.2543</v>
      </c>
      <c r="K3419" s="11" t="str">
        <f aca="false">IF(I3419&lt;J3419,"TAK","NIE")</f>
        <v>NIE</v>
      </c>
    </row>
    <row r="3420" customFormat="false" ht="15" hidden="false" customHeight="false" outlineLevel="0" collapsed="false">
      <c r="A3420" s="5" t="s">
        <v>665</v>
      </c>
      <c r="B3420" s="5" t="s">
        <v>73</v>
      </c>
      <c r="C3420" s="5" t="n">
        <v>2023</v>
      </c>
      <c r="D3420" s="5" t="s">
        <v>44</v>
      </c>
      <c r="E3420" s="5" t="s">
        <v>75</v>
      </c>
      <c r="F3420" s="5" t="s">
        <v>40</v>
      </c>
      <c r="G3420" s="6" t="n">
        <v>674</v>
      </c>
      <c r="H3420" s="6" t="n">
        <v>109</v>
      </c>
      <c r="I3420" s="7" t="n">
        <f aca="false">(G3420-H3420)/G3420</f>
        <v>0.838278931750742</v>
      </c>
      <c r="J3420" s="15" t="n">
        <v>0.2773</v>
      </c>
      <c r="K3420" s="11" t="str">
        <f aca="false">IF(I3420&lt;J3420,"TAK","NIE")</f>
        <v>NIE</v>
      </c>
    </row>
    <row r="3421" customFormat="false" ht="15" hidden="false" customHeight="false" outlineLevel="0" collapsed="false">
      <c r="A3421" s="5" t="s">
        <v>666</v>
      </c>
      <c r="B3421" s="5" t="s">
        <v>73</v>
      </c>
      <c r="C3421" s="5" t="n">
        <v>2023</v>
      </c>
      <c r="D3421" s="5" t="s">
        <v>44</v>
      </c>
      <c r="E3421" s="5" t="s">
        <v>75</v>
      </c>
      <c r="F3421" s="5" t="s">
        <v>40</v>
      </c>
      <c r="G3421" s="6" t="n">
        <v>674</v>
      </c>
      <c r="H3421" s="6" t="n">
        <v>260</v>
      </c>
      <c r="I3421" s="7" t="n">
        <f aca="false">(G3421-H3421)/G3421</f>
        <v>0.614243323442137</v>
      </c>
      <c r="J3421" s="15" t="n">
        <v>0.2773</v>
      </c>
      <c r="K3421" s="11" t="str">
        <f aca="false">IF(I3421&lt;J3421,"TAK","NIE")</f>
        <v>NIE</v>
      </c>
    </row>
    <row r="3422" customFormat="false" ht="15" hidden="false" customHeight="false" outlineLevel="0" collapsed="false">
      <c r="A3422" s="5" t="s">
        <v>667</v>
      </c>
      <c r="B3422" s="5" t="s">
        <v>73</v>
      </c>
      <c r="C3422" s="5" t="n">
        <v>2023</v>
      </c>
      <c r="D3422" s="5" t="s">
        <v>44</v>
      </c>
      <c r="E3422" s="5" t="s">
        <v>75</v>
      </c>
      <c r="F3422" s="5" t="s">
        <v>40</v>
      </c>
      <c r="G3422" s="6" t="n">
        <v>649</v>
      </c>
      <c r="H3422" s="6" t="n">
        <v>324</v>
      </c>
      <c r="I3422" s="7" t="n">
        <f aca="false">(G3422-H3422)/G3422</f>
        <v>0.500770416024653</v>
      </c>
      <c r="J3422" s="15" t="n">
        <v>0.2773</v>
      </c>
      <c r="K3422" s="11" t="str">
        <f aca="false">IF(I3422&lt;J3422,"TAK","NIE")</f>
        <v>NIE</v>
      </c>
    </row>
    <row r="3423" customFormat="false" ht="15" hidden="false" customHeight="false" outlineLevel="0" collapsed="false">
      <c r="A3423" s="5" t="s">
        <v>668</v>
      </c>
      <c r="B3423" s="5" t="s">
        <v>73</v>
      </c>
      <c r="C3423" s="5" t="n">
        <v>2023</v>
      </c>
      <c r="D3423" s="5" t="s">
        <v>44</v>
      </c>
      <c r="E3423" s="5" t="s">
        <v>75</v>
      </c>
      <c r="F3423" s="5" t="s">
        <v>40</v>
      </c>
      <c r="G3423" s="6" t="n">
        <v>687</v>
      </c>
      <c r="H3423" s="6" t="n">
        <v>206</v>
      </c>
      <c r="I3423" s="7" t="n">
        <f aca="false">(G3423-H3423)/G3423</f>
        <v>0.700145560407569</v>
      </c>
      <c r="J3423" s="15" t="n">
        <v>0.2773</v>
      </c>
      <c r="K3423" s="11" t="str">
        <f aca="false">IF(I3423&lt;J3423,"TAK","NIE")</f>
        <v>NIE</v>
      </c>
    </row>
    <row r="3424" customFormat="false" ht="15" hidden="false" customHeight="false" outlineLevel="0" collapsed="false">
      <c r="A3424" s="5" t="s">
        <v>543</v>
      </c>
      <c r="B3424" s="5" t="s">
        <v>73</v>
      </c>
      <c r="C3424" s="5" t="n">
        <v>2023</v>
      </c>
      <c r="D3424" s="5" t="s">
        <v>44</v>
      </c>
      <c r="E3424" s="5" t="s">
        <v>75</v>
      </c>
      <c r="F3424" s="5" t="s">
        <v>40</v>
      </c>
      <c r="G3424" s="6" t="n">
        <v>682</v>
      </c>
      <c r="H3424" s="6" t="n">
        <v>511</v>
      </c>
      <c r="I3424" s="7" t="n">
        <f aca="false">(G3424-H3424)/G3424</f>
        <v>0.250733137829912</v>
      </c>
      <c r="J3424" s="15" t="n">
        <v>0.2773</v>
      </c>
      <c r="K3424" s="11" t="str">
        <f aca="false">IF(I3424&lt;J3424,"TAK","NIE")</f>
        <v>TAK</v>
      </c>
    </row>
    <row r="3425" customFormat="false" ht="15" hidden="false" customHeight="false" outlineLevel="0" collapsed="false">
      <c r="A3425" s="5" t="s">
        <v>669</v>
      </c>
      <c r="B3425" s="5" t="s">
        <v>73</v>
      </c>
      <c r="C3425" s="5" t="n">
        <v>2023</v>
      </c>
      <c r="D3425" s="5" t="s">
        <v>44</v>
      </c>
      <c r="E3425" s="5" t="s">
        <v>75</v>
      </c>
      <c r="F3425" s="5" t="s">
        <v>40</v>
      </c>
      <c r="G3425" s="6" t="n">
        <v>687</v>
      </c>
      <c r="H3425" s="6" t="n">
        <v>275</v>
      </c>
      <c r="I3425" s="7" t="n">
        <f aca="false">(G3425-H3425)/G3425</f>
        <v>0.599708879184862</v>
      </c>
      <c r="J3425" s="15" t="n">
        <v>0.2773</v>
      </c>
      <c r="K3425" s="11" t="str">
        <f aca="false">IF(I3425&lt;J3425,"TAK","NIE")</f>
        <v>NIE</v>
      </c>
    </row>
    <row r="3426" customFormat="false" ht="15" hidden="false" customHeight="false" outlineLevel="0" collapsed="false">
      <c r="A3426" s="5" t="s">
        <v>670</v>
      </c>
      <c r="B3426" s="5" t="s">
        <v>73</v>
      </c>
      <c r="C3426" s="5" t="n">
        <v>2023</v>
      </c>
      <c r="D3426" s="5" t="s">
        <v>44</v>
      </c>
      <c r="E3426" s="5" t="s">
        <v>75</v>
      </c>
      <c r="F3426" s="5" t="s">
        <v>40</v>
      </c>
      <c r="G3426" s="6" t="n">
        <v>682</v>
      </c>
      <c r="H3426" s="6" t="n">
        <v>111</v>
      </c>
      <c r="I3426" s="7" t="n">
        <f aca="false">(G3426-H3426)/G3426</f>
        <v>0.837243401759531</v>
      </c>
      <c r="J3426" s="15" t="n">
        <v>0.2773</v>
      </c>
      <c r="K3426" s="11" t="str">
        <f aca="false">IF(I3426&lt;J3426,"TAK","NIE")</f>
        <v>NIE</v>
      </c>
    </row>
    <row r="3427" customFormat="false" ht="15" hidden="false" customHeight="false" outlineLevel="0" collapsed="false">
      <c r="A3427" s="5" t="s">
        <v>672</v>
      </c>
      <c r="B3427" s="5" t="s">
        <v>73</v>
      </c>
      <c r="C3427" s="5" t="n">
        <v>2023</v>
      </c>
      <c r="D3427" s="5" t="s">
        <v>44</v>
      </c>
      <c r="E3427" s="5" t="s">
        <v>75</v>
      </c>
      <c r="F3427" s="5" t="s">
        <v>40</v>
      </c>
      <c r="G3427" s="6" t="n">
        <v>674</v>
      </c>
      <c r="H3427" s="6" t="n">
        <v>168</v>
      </c>
      <c r="I3427" s="7" t="n">
        <f aca="false">(G3427-H3427)/G3427</f>
        <v>0.750741839762611</v>
      </c>
      <c r="J3427" s="15" t="n">
        <v>0.2773</v>
      </c>
      <c r="K3427" s="11" t="str">
        <f aca="false">IF(I3427&lt;J3427,"TAK","NIE")</f>
        <v>NIE</v>
      </c>
    </row>
    <row r="3428" customFormat="false" ht="15" hidden="false" customHeight="false" outlineLevel="0" collapsed="false">
      <c r="A3428" s="5" t="s">
        <v>673</v>
      </c>
      <c r="B3428" s="5" t="s">
        <v>73</v>
      </c>
      <c r="C3428" s="5" t="n">
        <v>2023</v>
      </c>
      <c r="D3428" s="5" t="s">
        <v>44</v>
      </c>
      <c r="E3428" s="5" t="s">
        <v>75</v>
      </c>
      <c r="F3428" s="5" t="s">
        <v>40</v>
      </c>
      <c r="G3428" s="6" t="n">
        <v>687</v>
      </c>
      <c r="H3428" s="6" t="n">
        <v>260</v>
      </c>
      <c r="I3428" s="7" t="n">
        <f aca="false">(G3428-H3428)/G3428</f>
        <v>0.621542940320233</v>
      </c>
      <c r="J3428" s="15" t="n">
        <v>0.2773</v>
      </c>
      <c r="K3428" s="11" t="str">
        <f aca="false">IF(I3428&lt;J3428,"TAK","NIE")</f>
        <v>NIE</v>
      </c>
    </row>
    <row r="3429" customFormat="false" ht="15" hidden="false" customHeight="false" outlineLevel="0" collapsed="false">
      <c r="A3429" s="5" t="s">
        <v>674</v>
      </c>
      <c r="B3429" s="5" t="s">
        <v>73</v>
      </c>
      <c r="C3429" s="5" t="n">
        <v>2023</v>
      </c>
      <c r="D3429" s="5" t="s">
        <v>44</v>
      </c>
      <c r="E3429" s="5" t="s">
        <v>75</v>
      </c>
      <c r="F3429" s="5" t="s">
        <v>40</v>
      </c>
      <c r="G3429" s="6" t="n">
        <v>682</v>
      </c>
      <c r="H3429" s="6" t="n">
        <v>197</v>
      </c>
      <c r="I3429" s="7" t="n">
        <f aca="false">(G3429-H3429)/G3429</f>
        <v>0.711143695014663</v>
      </c>
      <c r="J3429" s="15" t="n">
        <v>0.2773</v>
      </c>
      <c r="K3429" s="11" t="str">
        <f aca="false">IF(I3429&lt;J3429,"TAK","NIE")</f>
        <v>NIE</v>
      </c>
    </row>
    <row r="3430" customFormat="false" ht="15" hidden="false" customHeight="false" outlineLevel="0" collapsed="false">
      <c r="A3430" s="5" t="s">
        <v>675</v>
      </c>
      <c r="B3430" s="5" t="s">
        <v>73</v>
      </c>
      <c r="C3430" s="5" t="n">
        <v>2023</v>
      </c>
      <c r="D3430" s="5" t="s">
        <v>44</v>
      </c>
      <c r="E3430" s="5" t="s">
        <v>75</v>
      </c>
      <c r="F3430" s="5" t="s">
        <v>40</v>
      </c>
      <c r="G3430" s="6" t="n">
        <v>659</v>
      </c>
      <c r="H3430" s="6" t="n">
        <v>148</v>
      </c>
      <c r="I3430" s="7" t="n">
        <f aca="false">(G3430-H3430)/G3430</f>
        <v>0.775417298937785</v>
      </c>
      <c r="J3430" s="15" t="n">
        <v>0.2773</v>
      </c>
      <c r="K3430" s="11" t="str">
        <f aca="false">IF(I3430&lt;J3430,"TAK","NIE")</f>
        <v>NIE</v>
      </c>
    </row>
    <row r="3431" customFormat="false" ht="15" hidden="false" customHeight="false" outlineLevel="0" collapsed="false">
      <c r="A3431" s="5" t="s">
        <v>676</v>
      </c>
      <c r="B3431" s="5" t="s">
        <v>73</v>
      </c>
      <c r="C3431" s="5" t="n">
        <v>2023</v>
      </c>
      <c r="D3431" s="5" t="s">
        <v>44</v>
      </c>
      <c r="E3431" s="5" t="s">
        <v>75</v>
      </c>
      <c r="F3431" s="5" t="s">
        <v>40</v>
      </c>
      <c r="G3431" s="6" t="n">
        <v>674</v>
      </c>
      <c r="H3431" s="6" t="n">
        <v>296</v>
      </c>
      <c r="I3431" s="7" t="n">
        <f aca="false">(G3431-H3431)/G3431</f>
        <v>0.560830860534125</v>
      </c>
      <c r="J3431" s="15" t="n">
        <v>0.2773</v>
      </c>
      <c r="K3431" s="11" t="str">
        <f aca="false">IF(I3431&lt;J3431,"TAK","NIE")</f>
        <v>NIE</v>
      </c>
    </row>
    <row r="3432" customFormat="false" ht="15" hidden="false" customHeight="false" outlineLevel="0" collapsed="false">
      <c r="A3432" s="5" t="s">
        <v>687</v>
      </c>
      <c r="B3432" s="5" t="s">
        <v>73</v>
      </c>
      <c r="C3432" s="5" t="n">
        <v>2023</v>
      </c>
      <c r="D3432" s="5" t="s">
        <v>44</v>
      </c>
      <c r="E3432" s="5" t="s">
        <v>75</v>
      </c>
      <c r="F3432" s="5" t="s">
        <v>40</v>
      </c>
      <c r="G3432" s="6" t="n">
        <v>674</v>
      </c>
      <c r="H3432" s="6" t="n">
        <v>309</v>
      </c>
      <c r="I3432" s="7" t="n">
        <f aca="false">(G3432-H3432)/G3432</f>
        <v>0.541543026706231</v>
      </c>
      <c r="J3432" s="15" t="n">
        <v>0.2773</v>
      </c>
      <c r="K3432" s="11" t="str">
        <f aca="false">IF(I3432&lt;J3432,"TAK","NIE")</f>
        <v>NIE</v>
      </c>
    </row>
    <row r="3433" customFormat="false" ht="15" hidden="false" customHeight="false" outlineLevel="0" collapsed="false">
      <c r="A3433" s="5" t="s">
        <v>688</v>
      </c>
      <c r="B3433" s="5" t="s">
        <v>73</v>
      </c>
      <c r="C3433" s="5" t="n">
        <v>2023</v>
      </c>
      <c r="D3433" s="5" t="s">
        <v>44</v>
      </c>
      <c r="E3433" s="5" t="s">
        <v>75</v>
      </c>
      <c r="F3433" s="5" t="s">
        <v>40</v>
      </c>
      <c r="G3433" s="6" t="n">
        <v>669</v>
      </c>
      <c r="H3433" s="6" t="n">
        <v>300</v>
      </c>
      <c r="I3433" s="7" t="n">
        <f aca="false">(G3433-H3433)/G3433</f>
        <v>0.551569506726457</v>
      </c>
      <c r="J3433" s="15" t="n">
        <v>0.2773</v>
      </c>
      <c r="K3433" s="11" t="str">
        <f aca="false">IF(I3433&lt;J3433,"TAK","NIE")</f>
        <v>NIE</v>
      </c>
    </row>
    <row r="3434" customFormat="false" ht="15" hidden="false" customHeight="false" outlineLevel="0" collapsed="false">
      <c r="A3434" s="5" t="s">
        <v>690</v>
      </c>
      <c r="B3434" s="5" t="s">
        <v>73</v>
      </c>
      <c r="C3434" s="5" t="n">
        <v>2023</v>
      </c>
      <c r="D3434" s="5" t="s">
        <v>44</v>
      </c>
      <c r="E3434" s="5" t="s">
        <v>75</v>
      </c>
      <c r="F3434" s="5" t="s">
        <v>40</v>
      </c>
      <c r="G3434" s="6" t="n">
        <v>575</v>
      </c>
      <c r="H3434" s="6" t="n">
        <v>173</v>
      </c>
      <c r="I3434" s="7" t="n">
        <f aca="false">(G3434-H3434)/G3434</f>
        <v>0.699130434782609</v>
      </c>
      <c r="J3434" s="15" t="n">
        <v>0.2773</v>
      </c>
      <c r="K3434" s="11" t="str">
        <f aca="false">IF(I3434&lt;J3434,"TAK","NIE")</f>
        <v>NIE</v>
      </c>
    </row>
    <row r="3435" customFormat="false" ht="15" hidden="false" customHeight="false" outlineLevel="0" collapsed="false">
      <c r="A3435" s="5" t="s">
        <v>678</v>
      </c>
      <c r="B3435" s="5" t="s">
        <v>73</v>
      </c>
      <c r="C3435" s="5" t="n">
        <v>2023</v>
      </c>
      <c r="D3435" s="5" t="s">
        <v>44</v>
      </c>
      <c r="E3435" s="5" t="s">
        <v>75</v>
      </c>
      <c r="F3435" s="5" t="s">
        <v>40</v>
      </c>
      <c r="G3435" s="6" t="n">
        <v>682</v>
      </c>
      <c r="H3435" s="6" t="n">
        <v>243</v>
      </c>
      <c r="I3435" s="7" t="n">
        <f aca="false">(G3435-H3435)/G3435</f>
        <v>0.643695014662757</v>
      </c>
      <c r="J3435" s="15" t="n">
        <v>0.2773</v>
      </c>
      <c r="K3435" s="11" t="str">
        <f aca="false">IF(I3435&lt;J3435,"TAK","NIE")</f>
        <v>NIE</v>
      </c>
    </row>
    <row r="3436" customFormat="false" ht="15" hidden="false" customHeight="false" outlineLevel="0" collapsed="false">
      <c r="A3436" s="5" t="s">
        <v>679</v>
      </c>
      <c r="B3436" s="5" t="s">
        <v>73</v>
      </c>
      <c r="C3436" s="5" t="n">
        <v>2023</v>
      </c>
      <c r="D3436" s="5" t="s">
        <v>44</v>
      </c>
      <c r="E3436" s="5" t="s">
        <v>75</v>
      </c>
      <c r="F3436" s="5" t="s">
        <v>40</v>
      </c>
      <c r="G3436" s="6" t="n">
        <v>669</v>
      </c>
      <c r="H3436" s="6" t="n">
        <v>303</v>
      </c>
      <c r="I3436" s="7" t="n">
        <f aca="false">(G3436-H3436)/G3436</f>
        <v>0.547085201793722</v>
      </c>
      <c r="J3436" s="15" t="n">
        <v>0.2773</v>
      </c>
      <c r="K3436" s="11" t="str">
        <f aca="false">IF(I3436&lt;J3436,"TAK","NIE")</f>
        <v>NIE</v>
      </c>
    </row>
    <row r="3437" customFormat="false" ht="15" hidden="false" customHeight="false" outlineLevel="0" collapsed="false">
      <c r="A3437" s="5" t="s">
        <v>689</v>
      </c>
      <c r="B3437" s="5" t="s">
        <v>73</v>
      </c>
      <c r="C3437" s="5" t="n">
        <v>2023</v>
      </c>
      <c r="D3437" s="5" t="s">
        <v>44</v>
      </c>
      <c r="E3437" s="5" t="s">
        <v>75</v>
      </c>
      <c r="F3437" s="5" t="s">
        <v>40</v>
      </c>
      <c r="G3437" s="6" t="n">
        <v>669</v>
      </c>
      <c r="H3437" s="6" t="n">
        <v>283</v>
      </c>
      <c r="I3437" s="7" t="n">
        <f aca="false">(G3437-H3437)/G3437</f>
        <v>0.576980568011958</v>
      </c>
      <c r="J3437" s="15" t="n">
        <v>0.2773</v>
      </c>
      <c r="K3437" s="11" t="str">
        <f aca="false">IF(I3437&lt;J3437,"TAK","NIE")</f>
        <v>NIE</v>
      </c>
    </row>
    <row r="3438" customFormat="false" ht="15" hidden="false" customHeight="false" outlineLevel="0" collapsed="false">
      <c r="A3438" s="5" t="s">
        <v>681</v>
      </c>
      <c r="B3438" s="5" t="s">
        <v>73</v>
      </c>
      <c r="C3438" s="5" t="n">
        <v>2023</v>
      </c>
      <c r="D3438" s="5" t="s">
        <v>44</v>
      </c>
      <c r="E3438" s="5" t="s">
        <v>75</v>
      </c>
      <c r="F3438" s="5" t="s">
        <v>40</v>
      </c>
      <c r="G3438" s="6" t="n">
        <v>672</v>
      </c>
      <c r="H3438" s="6" t="n">
        <v>145</v>
      </c>
      <c r="I3438" s="7" t="n">
        <f aca="false">(G3438-H3438)/G3438</f>
        <v>0.784226190476191</v>
      </c>
      <c r="J3438" s="15" t="n">
        <v>0.2773</v>
      </c>
      <c r="K3438" s="11" t="str">
        <f aca="false">IF(I3438&lt;J3438,"TAK","NIE")</f>
        <v>NIE</v>
      </c>
    </row>
    <row r="3439" customFormat="false" ht="15" hidden="false" customHeight="false" outlineLevel="0" collapsed="false">
      <c r="A3439" s="5" t="s">
        <v>682</v>
      </c>
      <c r="B3439" s="5" t="s">
        <v>73</v>
      </c>
      <c r="C3439" s="5" t="n">
        <v>2023</v>
      </c>
      <c r="D3439" s="5" t="s">
        <v>44</v>
      </c>
      <c r="E3439" s="5" t="s">
        <v>75</v>
      </c>
      <c r="F3439" s="5" t="s">
        <v>40</v>
      </c>
      <c r="G3439" s="6" t="n">
        <v>669</v>
      </c>
      <c r="H3439" s="6" t="n">
        <v>125</v>
      </c>
      <c r="I3439" s="7" t="n">
        <f aca="false">(G3439-H3439)/G3439</f>
        <v>0.813153961136024</v>
      </c>
      <c r="J3439" s="15" t="n">
        <v>0.2773</v>
      </c>
      <c r="K3439" s="11" t="str">
        <f aca="false">IF(I3439&lt;J3439,"TAK","NIE")</f>
        <v>NIE</v>
      </c>
    </row>
    <row r="3440" customFormat="false" ht="15" hidden="false" customHeight="false" outlineLevel="0" collapsed="false">
      <c r="A3440" s="5" t="s">
        <v>563</v>
      </c>
      <c r="B3440" s="5" t="s">
        <v>73</v>
      </c>
      <c r="C3440" s="5" t="n">
        <v>2023</v>
      </c>
      <c r="D3440" s="5" t="s">
        <v>44</v>
      </c>
      <c r="E3440" s="5" t="s">
        <v>75</v>
      </c>
      <c r="F3440" s="5" t="s">
        <v>40</v>
      </c>
      <c r="G3440" s="6" t="n">
        <v>504</v>
      </c>
      <c r="H3440" s="6" t="n">
        <v>455</v>
      </c>
      <c r="I3440" s="7" t="n">
        <f aca="false">(G3440-H3440)/G3440</f>
        <v>0.0972222222222222</v>
      </c>
      <c r="J3440" s="15" t="n">
        <v>0.2773</v>
      </c>
      <c r="K3440" s="11" t="str">
        <f aca="false">IF(I3440&lt;J3440,"TAK","NIE")</f>
        <v>TAK</v>
      </c>
    </row>
    <row r="3441" customFormat="false" ht="15" hidden="false" customHeight="false" outlineLevel="0" collapsed="false">
      <c r="A3441" s="5" t="s">
        <v>683</v>
      </c>
      <c r="B3441" s="5" t="s">
        <v>73</v>
      </c>
      <c r="C3441" s="5" t="n">
        <v>2023</v>
      </c>
      <c r="D3441" s="5" t="s">
        <v>44</v>
      </c>
      <c r="E3441" s="5" t="s">
        <v>75</v>
      </c>
      <c r="F3441" s="5" t="s">
        <v>40</v>
      </c>
      <c r="G3441" s="6" t="n">
        <v>669</v>
      </c>
      <c r="H3441" s="6" t="n">
        <v>203</v>
      </c>
      <c r="I3441" s="7" t="n">
        <f aca="false">(G3441-H3441)/G3441</f>
        <v>0.696562032884903</v>
      </c>
      <c r="J3441" s="15" t="n">
        <v>0.2773</v>
      </c>
      <c r="K3441" s="11" t="str">
        <f aca="false">IF(I3441&lt;J3441,"TAK","NIE")</f>
        <v>NIE</v>
      </c>
    </row>
    <row r="3442" customFormat="false" ht="15" hidden="false" customHeight="false" outlineLevel="0" collapsed="false">
      <c r="A3442" s="5" t="s">
        <v>685</v>
      </c>
      <c r="B3442" s="5" t="s">
        <v>73</v>
      </c>
      <c r="C3442" s="5" t="n">
        <v>2023</v>
      </c>
      <c r="D3442" s="5" t="s">
        <v>44</v>
      </c>
      <c r="E3442" s="5" t="s">
        <v>75</v>
      </c>
      <c r="F3442" s="5" t="s">
        <v>40</v>
      </c>
      <c r="G3442" s="6" t="n">
        <v>674</v>
      </c>
      <c r="H3442" s="6" t="n">
        <v>338</v>
      </c>
      <c r="I3442" s="7" t="n">
        <f aca="false">(G3442-H3442)/G3442</f>
        <v>0.498516320474777</v>
      </c>
      <c r="J3442" s="15" t="n">
        <v>0.2773</v>
      </c>
      <c r="K3442" s="11" t="str">
        <f aca="false">IF(I3442&lt;J3442,"TAK","NIE")</f>
        <v>NIE</v>
      </c>
    </row>
    <row r="3443" customFormat="false" ht="15" hidden="false" customHeight="false" outlineLevel="0" collapsed="false">
      <c r="A3443" s="5" t="s">
        <v>665</v>
      </c>
      <c r="B3443" s="5" t="s">
        <v>43</v>
      </c>
      <c r="C3443" s="5" t="n">
        <v>2023</v>
      </c>
      <c r="D3443" s="5" t="s">
        <v>44</v>
      </c>
      <c r="E3443" s="5" t="s">
        <v>89</v>
      </c>
      <c r="F3443" s="5" t="s">
        <v>39</v>
      </c>
      <c r="G3443" s="6" t="n">
        <v>471</v>
      </c>
      <c r="H3443" s="6" t="n">
        <v>64</v>
      </c>
      <c r="I3443" s="7" t="n">
        <f aca="false">(G3443-H3443)/G3443</f>
        <v>0.86411889596603</v>
      </c>
      <c r="J3443" s="15" t="n">
        <v>0.2025</v>
      </c>
      <c r="K3443" s="11" t="str">
        <f aca="false">IF(I3443&lt;J3443,"TAK","NIE")</f>
        <v>NIE</v>
      </c>
    </row>
    <row r="3444" customFormat="false" ht="15" hidden="false" customHeight="false" outlineLevel="0" collapsed="false">
      <c r="A3444" s="5" t="s">
        <v>666</v>
      </c>
      <c r="B3444" s="5" t="s">
        <v>43</v>
      </c>
      <c r="C3444" s="5" t="n">
        <v>2023</v>
      </c>
      <c r="D3444" s="5" t="s">
        <v>44</v>
      </c>
      <c r="E3444" s="5" t="s">
        <v>89</v>
      </c>
      <c r="F3444" s="5" t="s">
        <v>39</v>
      </c>
      <c r="G3444" s="6" t="n">
        <v>471</v>
      </c>
      <c r="H3444" s="6" t="n">
        <v>103</v>
      </c>
      <c r="I3444" s="7" t="n">
        <f aca="false">(G3444-H3444)/G3444</f>
        <v>0.781316348195329</v>
      </c>
      <c r="J3444" s="15" t="n">
        <v>0.2025</v>
      </c>
      <c r="K3444" s="11" t="str">
        <f aca="false">IF(I3444&lt;J3444,"TAK","NIE")</f>
        <v>NIE</v>
      </c>
    </row>
    <row r="3445" customFormat="false" ht="15" hidden="false" customHeight="false" outlineLevel="0" collapsed="false">
      <c r="A3445" s="5" t="s">
        <v>667</v>
      </c>
      <c r="B3445" s="5" t="s">
        <v>43</v>
      </c>
      <c r="C3445" s="5" t="n">
        <v>2023</v>
      </c>
      <c r="D3445" s="5" t="s">
        <v>44</v>
      </c>
      <c r="E3445" s="5" t="s">
        <v>89</v>
      </c>
      <c r="F3445" s="5" t="s">
        <v>39</v>
      </c>
      <c r="G3445" s="6" t="n">
        <v>468</v>
      </c>
      <c r="H3445" s="6" t="n">
        <v>182</v>
      </c>
      <c r="I3445" s="7" t="n">
        <f aca="false">(G3445-H3445)/G3445</f>
        <v>0.611111111111111</v>
      </c>
      <c r="J3445" s="15" t="n">
        <v>0.2025</v>
      </c>
      <c r="K3445" s="11" t="str">
        <f aca="false">IF(I3445&lt;J3445,"TAK","NIE")</f>
        <v>NIE</v>
      </c>
    </row>
    <row r="3446" customFormat="false" ht="15" hidden="false" customHeight="false" outlineLevel="0" collapsed="false">
      <c r="A3446" s="5" t="s">
        <v>668</v>
      </c>
      <c r="B3446" s="5" t="s">
        <v>43</v>
      </c>
      <c r="C3446" s="5" t="n">
        <v>2023</v>
      </c>
      <c r="D3446" s="5" t="s">
        <v>44</v>
      </c>
      <c r="E3446" s="5" t="s">
        <v>89</v>
      </c>
      <c r="F3446" s="5" t="s">
        <v>39</v>
      </c>
      <c r="G3446" s="6" t="n">
        <v>481</v>
      </c>
      <c r="H3446" s="6" t="n">
        <v>141</v>
      </c>
      <c r="I3446" s="7" t="n">
        <f aca="false">(G3446-H3446)/G3446</f>
        <v>0.706860706860707</v>
      </c>
      <c r="J3446" s="15" t="n">
        <v>0.2025</v>
      </c>
      <c r="K3446" s="11" t="str">
        <f aca="false">IF(I3446&lt;J3446,"TAK","NIE")</f>
        <v>NIE</v>
      </c>
    </row>
    <row r="3447" customFormat="false" ht="15" hidden="false" customHeight="false" outlineLevel="0" collapsed="false">
      <c r="A3447" s="5" t="s">
        <v>669</v>
      </c>
      <c r="B3447" s="5" t="s">
        <v>43</v>
      </c>
      <c r="C3447" s="5" t="n">
        <v>2023</v>
      </c>
      <c r="D3447" s="5" t="s">
        <v>44</v>
      </c>
      <c r="E3447" s="5" t="s">
        <v>89</v>
      </c>
      <c r="F3447" s="5" t="s">
        <v>39</v>
      </c>
      <c r="G3447" s="6" t="n">
        <v>482</v>
      </c>
      <c r="H3447" s="6" t="n">
        <v>129</v>
      </c>
      <c r="I3447" s="7" t="n">
        <f aca="false">(G3447-H3447)/G3447</f>
        <v>0.732365145228216</v>
      </c>
      <c r="J3447" s="15" t="n">
        <v>0.2025</v>
      </c>
      <c r="K3447" s="11" t="str">
        <f aca="false">IF(I3447&lt;J3447,"TAK","NIE")</f>
        <v>NIE</v>
      </c>
    </row>
    <row r="3448" customFormat="false" ht="15" hidden="false" customHeight="false" outlineLevel="0" collapsed="false">
      <c r="A3448" s="5" t="s">
        <v>670</v>
      </c>
      <c r="B3448" s="5" t="s">
        <v>43</v>
      </c>
      <c r="C3448" s="5" t="n">
        <v>2023</v>
      </c>
      <c r="D3448" s="5" t="s">
        <v>44</v>
      </c>
      <c r="E3448" s="5" t="s">
        <v>89</v>
      </c>
      <c r="F3448" s="5" t="s">
        <v>39</v>
      </c>
      <c r="G3448" s="6" t="n">
        <v>481</v>
      </c>
      <c r="H3448" s="6" t="n">
        <v>83</v>
      </c>
      <c r="I3448" s="7" t="n">
        <f aca="false">(G3448-H3448)/G3448</f>
        <v>0.827442827442828</v>
      </c>
      <c r="J3448" s="15" t="n">
        <v>0.2025</v>
      </c>
      <c r="K3448" s="11" t="str">
        <f aca="false">IF(I3448&lt;J3448,"TAK","NIE")</f>
        <v>NIE</v>
      </c>
    </row>
    <row r="3449" customFormat="false" ht="15" hidden="false" customHeight="false" outlineLevel="0" collapsed="false">
      <c r="A3449" s="5" t="s">
        <v>550</v>
      </c>
      <c r="B3449" s="5" t="s">
        <v>43</v>
      </c>
      <c r="C3449" s="5" t="n">
        <v>2023</v>
      </c>
      <c r="D3449" s="5" t="s">
        <v>44</v>
      </c>
      <c r="E3449" s="5" t="s">
        <v>89</v>
      </c>
      <c r="F3449" s="5" t="s">
        <v>39</v>
      </c>
      <c r="G3449" s="6" t="n">
        <v>469</v>
      </c>
      <c r="H3449" s="6" t="n">
        <v>460</v>
      </c>
      <c r="I3449" s="7" t="n">
        <f aca="false">(G3449-H3449)/G3449</f>
        <v>0.0191897654584222</v>
      </c>
      <c r="J3449" s="15" t="n">
        <v>0.2025</v>
      </c>
      <c r="K3449" s="11" t="str">
        <f aca="false">IF(I3449&lt;J3449,"TAK","NIE")</f>
        <v>TAK</v>
      </c>
    </row>
    <row r="3450" customFormat="false" ht="15" hidden="false" customHeight="false" outlineLevel="0" collapsed="false">
      <c r="A3450" s="5" t="s">
        <v>672</v>
      </c>
      <c r="B3450" s="5" t="s">
        <v>43</v>
      </c>
      <c r="C3450" s="5" t="n">
        <v>2023</v>
      </c>
      <c r="D3450" s="5" t="s">
        <v>44</v>
      </c>
      <c r="E3450" s="5" t="s">
        <v>89</v>
      </c>
      <c r="F3450" s="5" t="s">
        <v>39</v>
      </c>
      <c r="G3450" s="6" t="n">
        <v>471</v>
      </c>
      <c r="H3450" s="6" t="n">
        <v>97</v>
      </c>
      <c r="I3450" s="7" t="n">
        <f aca="false">(G3450-H3450)/G3450</f>
        <v>0.794055201698514</v>
      </c>
      <c r="J3450" s="15" t="n">
        <v>0.2025</v>
      </c>
      <c r="K3450" s="11" t="str">
        <f aca="false">IF(I3450&lt;J3450,"TAK","NIE")</f>
        <v>NIE</v>
      </c>
    </row>
    <row r="3451" customFormat="false" ht="15" hidden="false" customHeight="false" outlineLevel="0" collapsed="false">
      <c r="A3451" s="5" t="s">
        <v>673</v>
      </c>
      <c r="B3451" s="5" t="s">
        <v>43</v>
      </c>
      <c r="C3451" s="5" t="n">
        <v>2023</v>
      </c>
      <c r="D3451" s="5" t="s">
        <v>44</v>
      </c>
      <c r="E3451" s="5" t="s">
        <v>89</v>
      </c>
      <c r="F3451" s="5" t="s">
        <v>39</v>
      </c>
      <c r="G3451" s="6" t="n">
        <v>482</v>
      </c>
      <c r="H3451" s="6" t="n">
        <v>176</v>
      </c>
      <c r="I3451" s="7" t="n">
        <f aca="false">(G3451-H3451)/G3451</f>
        <v>0.634854771784232</v>
      </c>
      <c r="J3451" s="15" t="n">
        <v>0.2025</v>
      </c>
      <c r="K3451" s="11" t="str">
        <f aca="false">IF(I3451&lt;J3451,"TAK","NIE")</f>
        <v>NIE</v>
      </c>
    </row>
    <row r="3452" customFormat="false" ht="15" hidden="false" customHeight="false" outlineLevel="0" collapsed="false">
      <c r="A3452" s="5" t="s">
        <v>674</v>
      </c>
      <c r="B3452" s="5" t="s">
        <v>43</v>
      </c>
      <c r="C3452" s="5" t="n">
        <v>2023</v>
      </c>
      <c r="D3452" s="5" t="s">
        <v>44</v>
      </c>
      <c r="E3452" s="5" t="s">
        <v>89</v>
      </c>
      <c r="F3452" s="5" t="s">
        <v>39</v>
      </c>
      <c r="G3452" s="6" t="n">
        <v>481</v>
      </c>
      <c r="H3452" s="6" t="n">
        <v>93</v>
      </c>
      <c r="I3452" s="7" t="n">
        <f aca="false">(G3452-H3452)/G3452</f>
        <v>0.806652806652807</v>
      </c>
      <c r="J3452" s="15" t="n">
        <v>0.2025</v>
      </c>
      <c r="K3452" s="11" t="str">
        <f aca="false">IF(I3452&lt;J3452,"TAK","NIE")</f>
        <v>NIE</v>
      </c>
    </row>
    <row r="3453" customFormat="false" ht="15" hidden="false" customHeight="false" outlineLevel="0" collapsed="false">
      <c r="A3453" s="5" t="s">
        <v>675</v>
      </c>
      <c r="B3453" s="5" t="s">
        <v>43</v>
      </c>
      <c r="C3453" s="5" t="n">
        <v>2023</v>
      </c>
      <c r="D3453" s="5" t="s">
        <v>44</v>
      </c>
      <c r="E3453" s="5" t="s">
        <v>89</v>
      </c>
      <c r="F3453" s="5" t="s">
        <v>39</v>
      </c>
      <c r="G3453" s="6" t="n">
        <v>468</v>
      </c>
      <c r="H3453" s="6" t="n">
        <v>57</v>
      </c>
      <c r="I3453" s="7" t="n">
        <f aca="false">(G3453-H3453)/G3453</f>
        <v>0.878205128205128</v>
      </c>
      <c r="J3453" s="15" t="n">
        <v>0.2025</v>
      </c>
      <c r="K3453" s="11" t="str">
        <f aca="false">IF(I3453&lt;J3453,"TAK","NIE")</f>
        <v>NIE</v>
      </c>
    </row>
    <row r="3454" customFormat="false" ht="15" hidden="false" customHeight="false" outlineLevel="0" collapsed="false">
      <c r="A3454" s="5" t="s">
        <v>676</v>
      </c>
      <c r="B3454" s="5" t="s">
        <v>43</v>
      </c>
      <c r="C3454" s="5" t="n">
        <v>2023</v>
      </c>
      <c r="D3454" s="5" t="s">
        <v>44</v>
      </c>
      <c r="E3454" s="5" t="s">
        <v>89</v>
      </c>
      <c r="F3454" s="5" t="s">
        <v>39</v>
      </c>
      <c r="G3454" s="6" t="n">
        <v>471</v>
      </c>
      <c r="H3454" s="6" t="n">
        <v>189</v>
      </c>
      <c r="I3454" s="7" t="n">
        <f aca="false">(G3454-H3454)/G3454</f>
        <v>0.598726114649682</v>
      </c>
      <c r="J3454" s="15" t="n">
        <v>0.2025</v>
      </c>
      <c r="K3454" s="11" t="str">
        <f aca="false">IF(I3454&lt;J3454,"TAK","NIE")</f>
        <v>NIE</v>
      </c>
    </row>
    <row r="3455" customFormat="false" ht="15" hidden="false" customHeight="false" outlineLevel="0" collapsed="false">
      <c r="A3455" s="5" t="s">
        <v>687</v>
      </c>
      <c r="B3455" s="5" t="s">
        <v>43</v>
      </c>
      <c r="C3455" s="5" t="n">
        <v>2023</v>
      </c>
      <c r="D3455" s="5" t="s">
        <v>44</v>
      </c>
      <c r="E3455" s="5" t="s">
        <v>89</v>
      </c>
      <c r="F3455" s="5" t="s">
        <v>39</v>
      </c>
      <c r="G3455" s="6" t="n">
        <v>471</v>
      </c>
      <c r="H3455" s="6" t="n">
        <v>256</v>
      </c>
      <c r="I3455" s="7" t="n">
        <f aca="false">(G3455-H3455)/G3455</f>
        <v>0.456475583864119</v>
      </c>
      <c r="J3455" s="15" t="n">
        <v>0.2025</v>
      </c>
      <c r="K3455" s="11" t="str">
        <f aca="false">IF(I3455&lt;J3455,"TAK","NIE")</f>
        <v>NIE</v>
      </c>
    </row>
    <row r="3456" customFormat="false" ht="15" hidden="false" customHeight="false" outlineLevel="0" collapsed="false">
      <c r="A3456" s="5" t="s">
        <v>688</v>
      </c>
      <c r="B3456" s="5" t="s">
        <v>43</v>
      </c>
      <c r="C3456" s="5" t="n">
        <v>2023</v>
      </c>
      <c r="D3456" s="5" t="s">
        <v>44</v>
      </c>
      <c r="E3456" s="5" t="s">
        <v>89</v>
      </c>
      <c r="F3456" s="5" t="s">
        <v>39</v>
      </c>
      <c r="G3456" s="6" t="n">
        <v>470</v>
      </c>
      <c r="H3456" s="6" t="n">
        <v>240</v>
      </c>
      <c r="I3456" s="7" t="n">
        <f aca="false">(G3456-H3456)/G3456</f>
        <v>0.48936170212766</v>
      </c>
      <c r="J3456" s="15" t="n">
        <v>0.2025</v>
      </c>
      <c r="K3456" s="11" t="str">
        <f aca="false">IF(I3456&lt;J3456,"TAK","NIE")</f>
        <v>NIE</v>
      </c>
    </row>
    <row r="3457" customFormat="false" ht="15" hidden="false" customHeight="false" outlineLevel="0" collapsed="false">
      <c r="A3457" s="5" t="s">
        <v>690</v>
      </c>
      <c r="B3457" s="5" t="s">
        <v>43</v>
      </c>
      <c r="C3457" s="5" t="n">
        <v>2023</v>
      </c>
      <c r="D3457" s="5" t="s">
        <v>44</v>
      </c>
      <c r="E3457" s="5" t="s">
        <v>89</v>
      </c>
      <c r="F3457" s="5" t="s">
        <v>39</v>
      </c>
      <c r="G3457" s="6" t="n">
        <v>481</v>
      </c>
      <c r="H3457" s="6" t="n">
        <v>149</v>
      </c>
      <c r="I3457" s="7" t="n">
        <f aca="false">(G3457-H3457)/G3457</f>
        <v>0.69022869022869</v>
      </c>
      <c r="J3457" s="15" t="n">
        <v>0.2025</v>
      </c>
      <c r="K3457" s="11" t="str">
        <f aca="false">IF(I3457&lt;J3457,"TAK","NIE")</f>
        <v>NIE</v>
      </c>
    </row>
    <row r="3458" customFormat="false" ht="15" hidden="false" customHeight="false" outlineLevel="0" collapsed="false">
      <c r="A3458" s="5" t="s">
        <v>678</v>
      </c>
      <c r="B3458" s="5" t="s">
        <v>43</v>
      </c>
      <c r="C3458" s="5" t="n">
        <v>2023</v>
      </c>
      <c r="D3458" s="5" t="s">
        <v>44</v>
      </c>
      <c r="E3458" s="5" t="s">
        <v>89</v>
      </c>
      <c r="F3458" s="5" t="s">
        <v>39</v>
      </c>
      <c r="G3458" s="6" t="n">
        <v>481</v>
      </c>
      <c r="H3458" s="6" t="n">
        <v>185</v>
      </c>
      <c r="I3458" s="7" t="n">
        <f aca="false">(G3458-H3458)/G3458</f>
        <v>0.615384615384615</v>
      </c>
      <c r="J3458" s="15" t="n">
        <v>0.2025</v>
      </c>
      <c r="K3458" s="11" t="str">
        <f aca="false">IF(I3458&lt;J3458,"TAK","NIE")</f>
        <v>NIE</v>
      </c>
    </row>
    <row r="3459" customFormat="false" ht="15" hidden="false" customHeight="false" outlineLevel="0" collapsed="false">
      <c r="A3459" s="5" t="s">
        <v>679</v>
      </c>
      <c r="B3459" s="5" t="s">
        <v>43</v>
      </c>
      <c r="C3459" s="5" t="n">
        <v>2023</v>
      </c>
      <c r="D3459" s="5" t="s">
        <v>44</v>
      </c>
      <c r="E3459" s="5" t="s">
        <v>89</v>
      </c>
      <c r="F3459" s="5" t="s">
        <v>39</v>
      </c>
      <c r="G3459" s="6" t="n">
        <v>470</v>
      </c>
      <c r="H3459" s="6" t="n">
        <v>263</v>
      </c>
      <c r="I3459" s="7" t="n">
        <f aca="false">(G3459-H3459)/G3459</f>
        <v>0.440425531914894</v>
      </c>
      <c r="J3459" s="15" t="n">
        <v>0.2025</v>
      </c>
      <c r="K3459" s="11" t="str">
        <f aca="false">IF(I3459&lt;J3459,"TAK","NIE")</f>
        <v>NIE</v>
      </c>
    </row>
    <row r="3460" customFormat="false" ht="15" hidden="false" customHeight="false" outlineLevel="0" collapsed="false">
      <c r="A3460" s="5" t="s">
        <v>689</v>
      </c>
      <c r="B3460" s="5" t="s">
        <v>43</v>
      </c>
      <c r="C3460" s="5" t="n">
        <v>2023</v>
      </c>
      <c r="D3460" s="5" t="s">
        <v>44</v>
      </c>
      <c r="E3460" s="5" t="s">
        <v>89</v>
      </c>
      <c r="F3460" s="5" t="s">
        <v>39</v>
      </c>
      <c r="G3460" s="6" t="n">
        <v>470</v>
      </c>
      <c r="H3460" s="6" t="n">
        <v>222</v>
      </c>
      <c r="I3460" s="7" t="n">
        <f aca="false">(G3460-H3460)/G3460</f>
        <v>0.527659574468085</v>
      </c>
      <c r="J3460" s="15" t="n">
        <v>0.2025</v>
      </c>
      <c r="K3460" s="11" t="str">
        <f aca="false">IF(I3460&lt;J3460,"TAK","NIE")</f>
        <v>NIE</v>
      </c>
    </row>
    <row r="3461" customFormat="false" ht="15" hidden="false" customHeight="false" outlineLevel="0" collapsed="false">
      <c r="A3461" s="5" t="s">
        <v>681</v>
      </c>
      <c r="B3461" s="5" t="s">
        <v>43</v>
      </c>
      <c r="C3461" s="5" t="n">
        <v>2023</v>
      </c>
      <c r="D3461" s="5" t="s">
        <v>44</v>
      </c>
      <c r="E3461" s="5" t="s">
        <v>89</v>
      </c>
      <c r="F3461" s="5" t="s">
        <v>39</v>
      </c>
      <c r="G3461" s="6" t="n">
        <v>479</v>
      </c>
      <c r="H3461" s="6" t="n">
        <v>80</v>
      </c>
      <c r="I3461" s="7" t="n">
        <f aca="false">(G3461-H3461)/G3461</f>
        <v>0.832985386221294</v>
      </c>
      <c r="J3461" s="15" t="n">
        <v>0.2025</v>
      </c>
      <c r="K3461" s="11" t="str">
        <f aca="false">IF(I3461&lt;J3461,"TAK","NIE")</f>
        <v>NIE</v>
      </c>
    </row>
    <row r="3462" customFormat="false" ht="15" hidden="false" customHeight="false" outlineLevel="0" collapsed="false">
      <c r="A3462" s="5" t="s">
        <v>682</v>
      </c>
      <c r="B3462" s="5" t="s">
        <v>43</v>
      </c>
      <c r="C3462" s="5" t="n">
        <v>2023</v>
      </c>
      <c r="D3462" s="5" t="s">
        <v>44</v>
      </c>
      <c r="E3462" s="5" t="s">
        <v>89</v>
      </c>
      <c r="F3462" s="5" t="s">
        <v>39</v>
      </c>
      <c r="G3462" s="6" t="n">
        <v>470</v>
      </c>
      <c r="H3462" s="6" t="n">
        <v>96</v>
      </c>
      <c r="I3462" s="7" t="n">
        <f aca="false">(G3462-H3462)/G3462</f>
        <v>0.795744680851064</v>
      </c>
      <c r="J3462" s="15" t="n">
        <v>0.2025</v>
      </c>
      <c r="K3462" s="11" t="str">
        <f aca="false">IF(I3462&lt;J3462,"TAK","NIE")</f>
        <v>NIE</v>
      </c>
    </row>
    <row r="3463" customFormat="false" ht="15" hidden="false" customHeight="false" outlineLevel="0" collapsed="false">
      <c r="A3463" s="5" t="s">
        <v>683</v>
      </c>
      <c r="B3463" s="5" t="s">
        <v>43</v>
      </c>
      <c r="C3463" s="5" t="n">
        <v>2023</v>
      </c>
      <c r="D3463" s="5" t="s">
        <v>44</v>
      </c>
      <c r="E3463" s="5" t="s">
        <v>89</v>
      </c>
      <c r="F3463" s="5" t="s">
        <v>39</v>
      </c>
      <c r="G3463" s="6" t="n">
        <v>470</v>
      </c>
      <c r="H3463" s="6" t="n">
        <v>151</v>
      </c>
      <c r="I3463" s="7" t="n">
        <f aca="false">(G3463-H3463)/G3463</f>
        <v>0.678723404255319</v>
      </c>
      <c r="J3463" s="15" t="n">
        <v>0.2025</v>
      </c>
      <c r="K3463" s="11" t="str">
        <f aca="false">IF(I3463&lt;J3463,"TAK","NIE")</f>
        <v>NIE</v>
      </c>
    </row>
    <row r="3464" customFormat="false" ht="15" hidden="false" customHeight="false" outlineLevel="0" collapsed="false">
      <c r="A3464" s="5" t="s">
        <v>685</v>
      </c>
      <c r="B3464" s="5" t="s">
        <v>43</v>
      </c>
      <c r="C3464" s="5" t="n">
        <v>2023</v>
      </c>
      <c r="D3464" s="5" t="s">
        <v>44</v>
      </c>
      <c r="E3464" s="5" t="s">
        <v>89</v>
      </c>
      <c r="F3464" s="5" t="s">
        <v>39</v>
      </c>
      <c r="G3464" s="6" t="n">
        <v>471</v>
      </c>
      <c r="H3464" s="6" t="n">
        <v>194</v>
      </c>
      <c r="I3464" s="7" t="n">
        <f aca="false">(G3464-H3464)/G3464</f>
        <v>0.588110403397028</v>
      </c>
      <c r="J3464" s="15" t="n">
        <v>0.2025</v>
      </c>
      <c r="K3464" s="11" t="str">
        <f aca="false">IF(I3464&lt;J3464,"TAK","NIE")</f>
        <v>NIE</v>
      </c>
    </row>
    <row r="3465" customFormat="false" ht="15" hidden="false" customHeight="false" outlineLevel="0" collapsed="false">
      <c r="A3465" s="5" t="s">
        <v>566</v>
      </c>
      <c r="B3465" s="5" t="s">
        <v>43</v>
      </c>
      <c r="C3465" s="5" t="n">
        <v>2023</v>
      </c>
      <c r="D3465" s="5" t="s">
        <v>44</v>
      </c>
      <c r="E3465" s="5" t="s">
        <v>89</v>
      </c>
      <c r="F3465" s="5" t="s">
        <v>39</v>
      </c>
      <c r="G3465" s="6" t="n">
        <v>64</v>
      </c>
      <c r="H3465" s="6" t="n">
        <v>63</v>
      </c>
      <c r="I3465" s="7" t="n">
        <f aca="false">(G3465-H3465)/G3465</f>
        <v>0.015625</v>
      </c>
      <c r="J3465" s="15" t="n">
        <v>0.2025</v>
      </c>
      <c r="K3465" s="11" t="str">
        <f aca="false">IF(I3465&lt;J3465,"TAK","NIE")</f>
        <v>TAK</v>
      </c>
    </row>
    <row r="3466" customFormat="false" ht="15" hidden="false" customHeight="false" outlineLevel="0" collapsed="false">
      <c r="A3466" s="5" t="s">
        <v>691</v>
      </c>
      <c r="B3466" s="5" t="s">
        <v>43</v>
      </c>
      <c r="C3466" s="5" t="n">
        <v>2023</v>
      </c>
      <c r="D3466" s="5" t="s">
        <v>44</v>
      </c>
      <c r="E3466" s="5" t="s">
        <v>89</v>
      </c>
      <c r="F3466" s="5" t="s">
        <v>40</v>
      </c>
      <c r="G3466" s="6" t="n">
        <v>473</v>
      </c>
      <c r="H3466" s="6" t="n">
        <v>276</v>
      </c>
      <c r="I3466" s="7" t="n">
        <f aca="false">(G3466-H3466)/G3466</f>
        <v>0.416490486257928</v>
      </c>
      <c r="J3466" s="15" t="n">
        <v>0.1397</v>
      </c>
      <c r="K3466" s="11" t="str">
        <f aca="false">IF(I3466&lt;J3466,"TAK","NIE")</f>
        <v>NIE</v>
      </c>
    </row>
    <row r="3467" customFormat="false" ht="15" hidden="false" customHeight="false" outlineLevel="0" collapsed="false">
      <c r="A3467" s="5" t="s">
        <v>665</v>
      </c>
      <c r="B3467" s="5" t="s">
        <v>43</v>
      </c>
      <c r="C3467" s="5" t="n">
        <v>2023</v>
      </c>
      <c r="D3467" s="5" t="s">
        <v>44</v>
      </c>
      <c r="E3467" s="5" t="s">
        <v>89</v>
      </c>
      <c r="F3467" s="5" t="s">
        <v>40</v>
      </c>
      <c r="G3467" s="6" t="n">
        <v>637</v>
      </c>
      <c r="H3467" s="6" t="n">
        <v>106</v>
      </c>
      <c r="I3467" s="7" t="n">
        <f aca="false">(G3467-H3467)/G3467</f>
        <v>0.833594976452119</v>
      </c>
      <c r="J3467" s="15" t="n">
        <v>0.1397</v>
      </c>
      <c r="K3467" s="11" t="str">
        <f aca="false">IF(I3467&lt;J3467,"TAK","NIE")</f>
        <v>NIE</v>
      </c>
    </row>
    <row r="3468" customFormat="false" ht="15" hidden="false" customHeight="false" outlineLevel="0" collapsed="false">
      <c r="A3468" s="5" t="s">
        <v>666</v>
      </c>
      <c r="B3468" s="5" t="s">
        <v>43</v>
      </c>
      <c r="C3468" s="5" t="n">
        <v>2023</v>
      </c>
      <c r="D3468" s="5" t="s">
        <v>44</v>
      </c>
      <c r="E3468" s="5" t="s">
        <v>89</v>
      </c>
      <c r="F3468" s="5" t="s">
        <v>40</v>
      </c>
      <c r="G3468" s="6" t="n">
        <v>637</v>
      </c>
      <c r="H3468" s="6" t="n">
        <v>308</v>
      </c>
      <c r="I3468" s="7" t="n">
        <f aca="false">(G3468-H3468)/G3468</f>
        <v>0.516483516483517</v>
      </c>
      <c r="J3468" s="15" t="n">
        <v>0.1397</v>
      </c>
      <c r="K3468" s="11" t="str">
        <f aca="false">IF(I3468&lt;J3468,"TAK","NIE")</f>
        <v>NIE</v>
      </c>
    </row>
    <row r="3469" customFormat="false" ht="15" hidden="false" customHeight="false" outlineLevel="0" collapsed="false">
      <c r="A3469" s="5" t="s">
        <v>667</v>
      </c>
      <c r="B3469" s="5" t="s">
        <v>43</v>
      </c>
      <c r="C3469" s="5" t="n">
        <v>2023</v>
      </c>
      <c r="D3469" s="5" t="s">
        <v>44</v>
      </c>
      <c r="E3469" s="5" t="s">
        <v>89</v>
      </c>
      <c r="F3469" s="5" t="s">
        <v>40</v>
      </c>
      <c r="G3469" s="6" t="n">
        <v>637</v>
      </c>
      <c r="H3469" s="6" t="n">
        <v>295</v>
      </c>
      <c r="I3469" s="7" t="n">
        <f aca="false">(G3469-H3469)/G3469</f>
        <v>0.536891679748823</v>
      </c>
      <c r="J3469" s="15" t="n">
        <v>0.1397</v>
      </c>
      <c r="K3469" s="11" t="str">
        <f aca="false">IF(I3469&lt;J3469,"TAK","NIE")</f>
        <v>NIE</v>
      </c>
    </row>
    <row r="3470" customFormat="false" ht="15" hidden="false" customHeight="false" outlineLevel="0" collapsed="false">
      <c r="A3470" s="5" t="s">
        <v>668</v>
      </c>
      <c r="B3470" s="5" t="s">
        <v>43</v>
      </c>
      <c r="C3470" s="5" t="n">
        <v>2023</v>
      </c>
      <c r="D3470" s="5" t="s">
        <v>44</v>
      </c>
      <c r="E3470" s="5" t="s">
        <v>89</v>
      </c>
      <c r="F3470" s="5" t="s">
        <v>40</v>
      </c>
      <c r="G3470" s="6" t="n">
        <v>656</v>
      </c>
      <c r="H3470" s="6" t="n">
        <v>257</v>
      </c>
      <c r="I3470" s="7" t="n">
        <f aca="false">(G3470-H3470)/G3470</f>
        <v>0.608231707317073</v>
      </c>
      <c r="J3470" s="15" t="n">
        <v>0.1397</v>
      </c>
      <c r="K3470" s="11" t="str">
        <f aca="false">IF(I3470&lt;J3470,"TAK","NIE")</f>
        <v>NIE</v>
      </c>
    </row>
    <row r="3471" customFormat="false" ht="15" hidden="false" customHeight="false" outlineLevel="0" collapsed="false">
      <c r="A3471" s="5" t="s">
        <v>669</v>
      </c>
      <c r="B3471" s="5" t="s">
        <v>43</v>
      </c>
      <c r="C3471" s="5" t="n">
        <v>2023</v>
      </c>
      <c r="D3471" s="5" t="s">
        <v>44</v>
      </c>
      <c r="E3471" s="5" t="s">
        <v>89</v>
      </c>
      <c r="F3471" s="5" t="s">
        <v>40</v>
      </c>
      <c r="G3471" s="6" t="n">
        <v>656</v>
      </c>
      <c r="H3471" s="6" t="n">
        <v>333</v>
      </c>
      <c r="I3471" s="7" t="n">
        <f aca="false">(G3471-H3471)/G3471</f>
        <v>0.492378048780488</v>
      </c>
      <c r="J3471" s="15" t="n">
        <v>0.1397</v>
      </c>
      <c r="K3471" s="11" t="str">
        <f aca="false">IF(I3471&lt;J3471,"TAK","NIE")</f>
        <v>NIE</v>
      </c>
    </row>
    <row r="3472" customFormat="false" ht="15" hidden="false" customHeight="false" outlineLevel="0" collapsed="false">
      <c r="A3472" s="5" t="s">
        <v>670</v>
      </c>
      <c r="B3472" s="5" t="s">
        <v>43</v>
      </c>
      <c r="C3472" s="5" t="n">
        <v>2023</v>
      </c>
      <c r="D3472" s="5" t="s">
        <v>44</v>
      </c>
      <c r="E3472" s="5" t="s">
        <v>89</v>
      </c>
      <c r="F3472" s="5" t="s">
        <v>40</v>
      </c>
      <c r="G3472" s="6" t="n">
        <v>654</v>
      </c>
      <c r="H3472" s="6" t="n">
        <v>188</v>
      </c>
      <c r="I3472" s="7" t="n">
        <f aca="false">(G3472-H3472)/G3472</f>
        <v>0.712538226299694</v>
      </c>
      <c r="J3472" s="15" t="n">
        <v>0.1397</v>
      </c>
      <c r="K3472" s="11" t="str">
        <f aca="false">IF(I3472&lt;J3472,"TAK","NIE")</f>
        <v>NIE</v>
      </c>
    </row>
    <row r="3473" customFormat="false" ht="15" hidden="false" customHeight="false" outlineLevel="0" collapsed="false">
      <c r="A3473" s="5" t="s">
        <v>550</v>
      </c>
      <c r="B3473" s="5" t="s">
        <v>43</v>
      </c>
      <c r="C3473" s="5" t="n">
        <v>2023</v>
      </c>
      <c r="D3473" s="5" t="s">
        <v>44</v>
      </c>
      <c r="E3473" s="5" t="s">
        <v>89</v>
      </c>
      <c r="F3473" s="5" t="s">
        <v>40</v>
      </c>
      <c r="G3473" s="6" t="n">
        <v>48</v>
      </c>
      <c r="H3473" s="6" t="n">
        <v>48</v>
      </c>
      <c r="I3473" s="7" t="n">
        <f aca="false">(G3473-H3473)/G3473</f>
        <v>0</v>
      </c>
      <c r="J3473" s="15" t="n">
        <v>0.1397</v>
      </c>
      <c r="K3473" s="11" t="str">
        <f aca="false">IF(I3473&lt;J3473,"TAK","NIE")</f>
        <v>TAK</v>
      </c>
    </row>
    <row r="3474" customFormat="false" ht="15" hidden="false" customHeight="false" outlineLevel="0" collapsed="false">
      <c r="A3474" s="5" t="s">
        <v>672</v>
      </c>
      <c r="B3474" s="5" t="s">
        <v>43</v>
      </c>
      <c r="C3474" s="5" t="n">
        <v>2023</v>
      </c>
      <c r="D3474" s="5" t="s">
        <v>44</v>
      </c>
      <c r="E3474" s="5" t="s">
        <v>89</v>
      </c>
      <c r="F3474" s="5" t="s">
        <v>40</v>
      </c>
      <c r="G3474" s="6" t="n">
        <v>637</v>
      </c>
      <c r="H3474" s="6" t="n">
        <v>268</v>
      </c>
      <c r="I3474" s="7" t="n">
        <f aca="false">(G3474-H3474)/G3474</f>
        <v>0.579277864992151</v>
      </c>
      <c r="J3474" s="15" t="n">
        <v>0.1397</v>
      </c>
      <c r="K3474" s="11" t="str">
        <f aca="false">IF(I3474&lt;J3474,"TAK","NIE")</f>
        <v>NIE</v>
      </c>
    </row>
    <row r="3475" customFormat="false" ht="15" hidden="false" customHeight="false" outlineLevel="0" collapsed="false">
      <c r="A3475" s="5" t="s">
        <v>673</v>
      </c>
      <c r="B3475" s="5" t="s">
        <v>43</v>
      </c>
      <c r="C3475" s="5" t="n">
        <v>2023</v>
      </c>
      <c r="D3475" s="5" t="s">
        <v>44</v>
      </c>
      <c r="E3475" s="5" t="s">
        <v>89</v>
      </c>
      <c r="F3475" s="5" t="s">
        <v>40</v>
      </c>
      <c r="G3475" s="6" t="n">
        <v>656</v>
      </c>
      <c r="H3475" s="6" t="n">
        <v>302</v>
      </c>
      <c r="I3475" s="7" t="n">
        <f aca="false">(G3475-H3475)/G3475</f>
        <v>0.539634146341463</v>
      </c>
      <c r="J3475" s="15" t="n">
        <v>0.1397</v>
      </c>
      <c r="K3475" s="11" t="str">
        <f aca="false">IF(I3475&lt;J3475,"TAK","NIE")</f>
        <v>NIE</v>
      </c>
    </row>
    <row r="3476" customFormat="false" ht="15" hidden="false" customHeight="false" outlineLevel="0" collapsed="false">
      <c r="A3476" s="5" t="s">
        <v>674</v>
      </c>
      <c r="B3476" s="5" t="s">
        <v>43</v>
      </c>
      <c r="C3476" s="5" t="n">
        <v>2023</v>
      </c>
      <c r="D3476" s="5" t="s">
        <v>44</v>
      </c>
      <c r="E3476" s="5" t="s">
        <v>89</v>
      </c>
      <c r="F3476" s="5" t="s">
        <v>40</v>
      </c>
      <c r="G3476" s="6" t="n">
        <v>654</v>
      </c>
      <c r="H3476" s="6" t="n">
        <v>280</v>
      </c>
      <c r="I3476" s="7" t="n">
        <f aca="false">(G3476-H3476)/G3476</f>
        <v>0.571865443425077</v>
      </c>
      <c r="J3476" s="15" t="n">
        <v>0.1397</v>
      </c>
      <c r="K3476" s="11" t="str">
        <f aca="false">IF(I3476&lt;J3476,"TAK","NIE")</f>
        <v>NIE</v>
      </c>
    </row>
    <row r="3477" customFormat="false" ht="15" hidden="false" customHeight="false" outlineLevel="0" collapsed="false">
      <c r="A3477" s="5" t="s">
        <v>675</v>
      </c>
      <c r="B3477" s="5" t="s">
        <v>43</v>
      </c>
      <c r="C3477" s="5" t="n">
        <v>2023</v>
      </c>
      <c r="D3477" s="5" t="s">
        <v>44</v>
      </c>
      <c r="E3477" s="5" t="s">
        <v>89</v>
      </c>
      <c r="F3477" s="5" t="s">
        <v>40</v>
      </c>
      <c r="G3477" s="6" t="n">
        <v>631</v>
      </c>
      <c r="H3477" s="6" t="n">
        <v>191</v>
      </c>
      <c r="I3477" s="7" t="n">
        <f aca="false">(G3477-H3477)/G3477</f>
        <v>0.697305863708399</v>
      </c>
      <c r="J3477" s="15" t="n">
        <v>0.1397</v>
      </c>
      <c r="K3477" s="11" t="str">
        <f aca="false">IF(I3477&lt;J3477,"TAK","NIE")</f>
        <v>NIE</v>
      </c>
    </row>
    <row r="3478" customFormat="false" ht="15" hidden="false" customHeight="false" outlineLevel="0" collapsed="false">
      <c r="A3478" s="5" t="s">
        <v>676</v>
      </c>
      <c r="B3478" s="5" t="s">
        <v>43</v>
      </c>
      <c r="C3478" s="5" t="n">
        <v>2023</v>
      </c>
      <c r="D3478" s="5" t="s">
        <v>44</v>
      </c>
      <c r="E3478" s="5" t="s">
        <v>89</v>
      </c>
      <c r="F3478" s="5" t="s">
        <v>40</v>
      </c>
      <c r="G3478" s="6" t="n">
        <v>637</v>
      </c>
      <c r="H3478" s="6" t="n">
        <v>365</v>
      </c>
      <c r="I3478" s="7" t="n">
        <f aca="false">(G3478-H3478)/G3478</f>
        <v>0.427001569858713</v>
      </c>
      <c r="J3478" s="15" t="n">
        <v>0.1397</v>
      </c>
      <c r="K3478" s="11" t="str">
        <f aca="false">IF(I3478&lt;J3478,"TAK","NIE")</f>
        <v>NIE</v>
      </c>
    </row>
    <row r="3479" customFormat="false" ht="15" hidden="false" customHeight="false" outlineLevel="0" collapsed="false">
      <c r="A3479" s="5" t="s">
        <v>687</v>
      </c>
      <c r="B3479" s="5" t="s">
        <v>43</v>
      </c>
      <c r="C3479" s="5" t="n">
        <v>2023</v>
      </c>
      <c r="D3479" s="5" t="s">
        <v>44</v>
      </c>
      <c r="E3479" s="5" t="s">
        <v>89</v>
      </c>
      <c r="F3479" s="5" t="s">
        <v>40</v>
      </c>
      <c r="G3479" s="6" t="n">
        <v>637</v>
      </c>
      <c r="H3479" s="6" t="n">
        <v>400</v>
      </c>
      <c r="I3479" s="7" t="n">
        <f aca="false">(G3479-H3479)/G3479</f>
        <v>0.372056514913658</v>
      </c>
      <c r="J3479" s="15" t="n">
        <v>0.1397</v>
      </c>
      <c r="K3479" s="11" t="str">
        <f aca="false">IF(I3479&lt;J3479,"TAK","NIE")</f>
        <v>NIE</v>
      </c>
    </row>
    <row r="3480" customFormat="false" ht="15" hidden="false" customHeight="false" outlineLevel="0" collapsed="false">
      <c r="A3480" s="5" t="s">
        <v>688</v>
      </c>
      <c r="B3480" s="5" t="s">
        <v>43</v>
      </c>
      <c r="C3480" s="5" t="n">
        <v>2023</v>
      </c>
      <c r="D3480" s="5" t="s">
        <v>44</v>
      </c>
      <c r="E3480" s="5" t="s">
        <v>89</v>
      </c>
      <c r="F3480" s="5" t="s">
        <v>40</v>
      </c>
      <c r="G3480" s="6" t="n">
        <v>635</v>
      </c>
      <c r="H3480" s="6" t="n">
        <v>355</v>
      </c>
      <c r="I3480" s="7" t="n">
        <f aca="false">(G3480-H3480)/G3480</f>
        <v>0.440944881889764</v>
      </c>
      <c r="J3480" s="15" t="n">
        <v>0.1397</v>
      </c>
      <c r="K3480" s="11" t="str">
        <f aca="false">IF(I3480&lt;J3480,"TAK","NIE")</f>
        <v>NIE</v>
      </c>
    </row>
    <row r="3481" customFormat="false" ht="15" hidden="false" customHeight="false" outlineLevel="0" collapsed="false">
      <c r="A3481" s="5" t="s">
        <v>690</v>
      </c>
      <c r="B3481" s="5" t="s">
        <v>43</v>
      </c>
      <c r="C3481" s="5" t="n">
        <v>2023</v>
      </c>
      <c r="D3481" s="5" t="s">
        <v>44</v>
      </c>
      <c r="E3481" s="5" t="s">
        <v>89</v>
      </c>
      <c r="F3481" s="5" t="s">
        <v>40</v>
      </c>
      <c r="G3481" s="6" t="n">
        <v>654</v>
      </c>
      <c r="H3481" s="6" t="n">
        <v>244</v>
      </c>
      <c r="I3481" s="7" t="n">
        <f aca="false">(G3481-H3481)/G3481</f>
        <v>0.62691131498471</v>
      </c>
      <c r="J3481" s="15" t="n">
        <v>0.1397</v>
      </c>
      <c r="K3481" s="11" t="str">
        <f aca="false">IF(I3481&lt;J3481,"TAK","NIE")</f>
        <v>NIE</v>
      </c>
    </row>
    <row r="3482" customFormat="false" ht="15" hidden="false" customHeight="false" outlineLevel="0" collapsed="false">
      <c r="A3482" s="5" t="s">
        <v>678</v>
      </c>
      <c r="B3482" s="5" t="s">
        <v>43</v>
      </c>
      <c r="C3482" s="5" t="n">
        <v>2023</v>
      </c>
      <c r="D3482" s="5" t="s">
        <v>44</v>
      </c>
      <c r="E3482" s="5" t="s">
        <v>89</v>
      </c>
      <c r="F3482" s="5" t="s">
        <v>40</v>
      </c>
      <c r="G3482" s="6" t="n">
        <v>654</v>
      </c>
      <c r="H3482" s="6" t="n">
        <v>338</v>
      </c>
      <c r="I3482" s="7" t="n">
        <f aca="false">(G3482-H3482)/G3482</f>
        <v>0.483180428134557</v>
      </c>
      <c r="J3482" s="15" t="n">
        <v>0.1397</v>
      </c>
      <c r="K3482" s="11" t="str">
        <f aca="false">IF(I3482&lt;J3482,"TAK","NIE")</f>
        <v>NIE</v>
      </c>
    </row>
    <row r="3483" customFormat="false" ht="15" hidden="false" customHeight="false" outlineLevel="0" collapsed="false">
      <c r="A3483" s="5" t="s">
        <v>679</v>
      </c>
      <c r="B3483" s="5" t="s">
        <v>43</v>
      </c>
      <c r="C3483" s="5" t="n">
        <v>2023</v>
      </c>
      <c r="D3483" s="5" t="s">
        <v>44</v>
      </c>
      <c r="E3483" s="5" t="s">
        <v>89</v>
      </c>
      <c r="F3483" s="5" t="s">
        <v>40</v>
      </c>
      <c r="G3483" s="6" t="n">
        <v>635</v>
      </c>
      <c r="H3483" s="6" t="n">
        <v>454</v>
      </c>
      <c r="I3483" s="7" t="n">
        <f aca="false">(G3483-H3483)/G3483</f>
        <v>0.28503937007874</v>
      </c>
      <c r="J3483" s="15" t="n">
        <v>0.1397</v>
      </c>
      <c r="K3483" s="11" t="str">
        <f aca="false">IF(I3483&lt;J3483,"TAK","NIE")</f>
        <v>NIE</v>
      </c>
    </row>
    <row r="3484" customFormat="false" ht="15" hidden="false" customHeight="false" outlineLevel="0" collapsed="false">
      <c r="A3484" s="5" t="s">
        <v>689</v>
      </c>
      <c r="B3484" s="5" t="s">
        <v>43</v>
      </c>
      <c r="C3484" s="5" t="n">
        <v>2023</v>
      </c>
      <c r="D3484" s="5" t="s">
        <v>44</v>
      </c>
      <c r="E3484" s="5" t="s">
        <v>89</v>
      </c>
      <c r="F3484" s="5" t="s">
        <v>40</v>
      </c>
      <c r="G3484" s="6" t="n">
        <v>635</v>
      </c>
      <c r="H3484" s="6" t="n">
        <v>339</v>
      </c>
      <c r="I3484" s="7" t="n">
        <f aca="false">(G3484-H3484)/G3484</f>
        <v>0.466141732283465</v>
      </c>
      <c r="J3484" s="15" t="n">
        <v>0.1397</v>
      </c>
      <c r="K3484" s="11" t="str">
        <f aca="false">IF(I3484&lt;J3484,"TAK","NIE")</f>
        <v>NIE</v>
      </c>
    </row>
    <row r="3485" customFormat="false" ht="15" hidden="false" customHeight="false" outlineLevel="0" collapsed="false">
      <c r="A3485" s="5" t="s">
        <v>692</v>
      </c>
      <c r="B3485" s="5" t="s">
        <v>43</v>
      </c>
      <c r="C3485" s="5" t="n">
        <v>2023</v>
      </c>
      <c r="D3485" s="5" t="s">
        <v>44</v>
      </c>
      <c r="E3485" s="5" t="s">
        <v>89</v>
      </c>
      <c r="F3485" s="5" t="s">
        <v>40</v>
      </c>
      <c r="G3485" s="6" t="n">
        <v>463</v>
      </c>
      <c r="H3485" s="6" t="n">
        <v>292</v>
      </c>
      <c r="I3485" s="7" t="n">
        <f aca="false">(G3485-H3485)/G3485</f>
        <v>0.369330453563715</v>
      </c>
      <c r="J3485" s="15" t="n">
        <v>0.1397</v>
      </c>
      <c r="K3485" s="11" t="str">
        <f aca="false">IF(I3485&lt;J3485,"TAK","NIE")</f>
        <v>NIE</v>
      </c>
    </row>
    <row r="3486" customFormat="false" ht="15" hidden="false" customHeight="false" outlineLevel="0" collapsed="false">
      <c r="A3486" s="5" t="s">
        <v>681</v>
      </c>
      <c r="B3486" s="5" t="s">
        <v>43</v>
      </c>
      <c r="C3486" s="5" t="n">
        <v>2023</v>
      </c>
      <c r="D3486" s="5" t="s">
        <v>44</v>
      </c>
      <c r="E3486" s="5" t="s">
        <v>89</v>
      </c>
      <c r="F3486" s="5" t="s">
        <v>40</v>
      </c>
      <c r="G3486" s="6" t="n">
        <v>650</v>
      </c>
      <c r="H3486" s="6" t="n">
        <v>219</v>
      </c>
      <c r="I3486" s="7" t="n">
        <f aca="false">(G3486-H3486)/G3486</f>
        <v>0.663076923076923</v>
      </c>
      <c r="J3486" s="15" t="n">
        <v>0.1397</v>
      </c>
      <c r="K3486" s="11" t="str">
        <f aca="false">IF(I3486&lt;J3486,"TAK","NIE")</f>
        <v>NIE</v>
      </c>
    </row>
    <row r="3487" customFormat="false" ht="15" hidden="false" customHeight="false" outlineLevel="0" collapsed="false">
      <c r="A3487" s="5" t="s">
        <v>682</v>
      </c>
      <c r="B3487" s="5" t="s">
        <v>43</v>
      </c>
      <c r="C3487" s="5" t="n">
        <v>2023</v>
      </c>
      <c r="D3487" s="5" t="s">
        <v>44</v>
      </c>
      <c r="E3487" s="5" t="s">
        <v>89</v>
      </c>
      <c r="F3487" s="5" t="s">
        <v>40</v>
      </c>
      <c r="G3487" s="6" t="n">
        <v>635</v>
      </c>
      <c r="H3487" s="6" t="n">
        <v>157</v>
      </c>
      <c r="I3487" s="7" t="n">
        <f aca="false">(G3487-H3487)/G3487</f>
        <v>0.752755905511811</v>
      </c>
      <c r="J3487" s="15" t="n">
        <v>0.1397</v>
      </c>
      <c r="K3487" s="11" t="str">
        <f aca="false">IF(I3487&lt;J3487,"TAK","NIE")</f>
        <v>NIE</v>
      </c>
    </row>
    <row r="3488" customFormat="false" ht="15" hidden="false" customHeight="false" outlineLevel="0" collapsed="false">
      <c r="A3488" s="5" t="s">
        <v>683</v>
      </c>
      <c r="B3488" s="5" t="s">
        <v>43</v>
      </c>
      <c r="C3488" s="5" t="n">
        <v>2023</v>
      </c>
      <c r="D3488" s="5" t="s">
        <v>44</v>
      </c>
      <c r="E3488" s="5" t="s">
        <v>89</v>
      </c>
      <c r="F3488" s="5" t="s">
        <v>40</v>
      </c>
      <c r="G3488" s="6" t="n">
        <v>635</v>
      </c>
      <c r="H3488" s="6" t="n">
        <v>214</v>
      </c>
      <c r="I3488" s="7" t="n">
        <f aca="false">(G3488-H3488)/G3488</f>
        <v>0.662992125984252</v>
      </c>
      <c r="J3488" s="15" t="n">
        <v>0.1397</v>
      </c>
      <c r="K3488" s="11" t="str">
        <f aca="false">IF(I3488&lt;J3488,"TAK","NIE")</f>
        <v>NIE</v>
      </c>
    </row>
    <row r="3489" customFormat="false" ht="15" hidden="false" customHeight="false" outlineLevel="0" collapsed="false">
      <c r="A3489" s="5" t="s">
        <v>685</v>
      </c>
      <c r="B3489" s="5" t="s">
        <v>43</v>
      </c>
      <c r="C3489" s="5" t="n">
        <v>2023</v>
      </c>
      <c r="D3489" s="5" t="s">
        <v>44</v>
      </c>
      <c r="E3489" s="5" t="s">
        <v>89</v>
      </c>
      <c r="F3489" s="5" t="s">
        <v>40</v>
      </c>
      <c r="G3489" s="6" t="n">
        <v>637</v>
      </c>
      <c r="H3489" s="6" t="n">
        <v>333</v>
      </c>
      <c r="I3489" s="7" t="n">
        <f aca="false">(G3489-H3489)/G3489</f>
        <v>0.47723704866562</v>
      </c>
      <c r="J3489" s="15" t="n">
        <v>0.1397</v>
      </c>
      <c r="K3489" s="11" t="str">
        <f aca="false">IF(I3489&lt;J3489,"TAK","NIE")</f>
        <v>NIE</v>
      </c>
    </row>
    <row r="3490" customFormat="false" ht="15" hidden="false" customHeight="false" outlineLevel="0" collapsed="false">
      <c r="A3490" s="5" t="s">
        <v>693</v>
      </c>
      <c r="B3490" s="5" t="s">
        <v>96</v>
      </c>
      <c r="C3490" s="5" t="n">
        <v>2023</v>
      </c>
      <c r="D3490" s="5" t="s">
        <v>64</v>
      </c>
      <c r="E3490" s="5" t="s">
        <v>57</v>
      </c>
      <c r="F3490" s="5" t="s">
        <v>39</v>
      </c>
      <c r="G3490" s="6" t="n">
        <v>628</v>
      </c>
      <c r="H3490" s="6" t="n">
        <v>52</v>
      </c>
      <c r="I3490" s="7" t="n">
        <f aca="false">(G3490-H3490)/G3490</f>
        <v>0.917197452229299</v>
      </c>
      <c r="J3490" s="15" t="n">
        <v>0.614</v>
      </c>
      <c r="K3490" s="11" t="str">
        <f aca="false">IF(I3490&lt;J3490,"TAK","NIE")</f>
        <v>NIE</v>
      </c>
    </row>
    <row r="3491" customFormat="false" ht="15" hidden="false" customHeight="false" outlineLevel="0" collapsed="false">
      <c r="A3491" s="5" t="s">
        <v>694</v>
      </c>
      <c r="B3491" s="5" t="s">
        <v>96</v>
      </c>
      <c r="C3491" s="5" t="n">
        <v>2023</v>
      </c>
      <c r="D3491" s="5" t="s">
        <v>64</v>
      </c>
      <c r="E3491" s="5" t="s">
        <v>57</v>
      </c>
      <c r="F3491" s="5" t="s">
        <v>39</v>
      </c>
      <c r="G3491" s="6" t="n">
        <v>628</v>
      </c>
      <c r="H3491" s="6" t="n">
        <v>117</v>
      </c>
      <c r="I3491" s="7" t="n">
        <f aca="false">(G3491-H3491)/G3491</f>
        <v>0.813694267515924</v>
      </c>
      <c r="J3491" s="15" t="n">
        <v>0.614</v>
      </c>
      <c r="K3491" s="11" t="str">
        <f aca="false">IF(I3491&lt;J3491,"TAK","NIE")</f>
        <v>NIE</v>
      </c>
    </row>
    <row r="3492" customFormat="false" ht="15" hidden="false" customHeight="false" outlineLevel="0" collapsed="false">
      <c r="A3492" s="5" t="s">
        <v>695</v>
      </c>
      <c r="B3492" s="5" t="s">
        <v>96</v>
      </c>
      <c r="C3492" s="5" t="n">
        <v>2023</v>
      </c>
      <c r="D3492" s="5" t="s">
        <v>64</v>
      </c>
      <c r="E3492" s="5" t="s">
        <v>57</v>
      </c>
      <c r="F3492" s="5" t="s">
        <v>39</v>
      </c>
      <c r="G3492" s="6" t="n">
        <v>491</v>
      </c>
      <c r="H3492" s="6" t="n">
        <v>84</v>
      </c>
      <c r="I3492" s="7" t="n">
        <f aca="false">(G3492-H3492)/G3492</f>
        <v>0.828920570264766</v>
      </c>
      <c r="J3492" s="15" t="n">
        <v>0.614</v>
      </c>
      <c r="K3492" s="11" t="str">
        <f aca="false">IF(I3492&lt;J3492,"TAK","NIE")</f>
        <v>NIE</v>
      </c>
    </row>
    <row r="3493" customFormat="false" ht="15" hidden="false" customHeight="false" outlineLevel="0" collapsed="false">
      <c r="A3493" s="5" t="s">
        <v>696</v>
      </c>
      <c r="B3493" s="5" t="s">
        <v>96</v>
      </c>
      <c r="C3493" s="5" t="n">
        <v>2023</v>
      </c>
      <c r="D3493" s="5" t="s">
        <v>64</v>
      </c>
      <c r="E3493" s="5" t="s">
        <v>57</v>
      </c>
      <c r="F3493" s="5" t="s">
        <v>39</v>
      </c>
      <c r="G3493" s="6" t="n">
        <v>625</v>
      </c>
      <c r="H3493" s="6" t="n">
        <v>128</v>
      </c>
      <c r="I3493" s="7" t="n">
        <f aca="false">(G3493-H3493)/G3493</f>
        <v>0.7952</v>
      </c>
      <c r="J3493" s="15" t="n">
        <v>0.614</v>
      </c>
      <c r="K3493" s="11" t="str">
        <f aca="false">IF(I3493&lt;J3493,"TAK","NIE")</f>
        <v>NIE</v>
      </c>
    </row>
    <row r="3494" customFormat="false" ht="15" hidden="false" customHeight="false" outlineLevel="0" collapsed="false">
      <c r="A3494" s="5" t="s">
        <v>697</v>
      </c>
      <c r="B3494" s="5" t="s">
        <v>96</v>
      </c>
      <c r="C3494" s="5" t="n">
        <v>2023</v>
      </c>
      <c r="D3494" s="5" t="s">
        <v>64</v>
      </c>
      <c r="E3494" s="5" t="s">
        <v>57</v>
      </c>
      <c r="F3494" s="5" t="s">
        <v>39</v>
      </c>
      <c r="G3494" s="6" t="n">
        <v>625</v>
      </c>
      <c r="H3494" s="6" t="n">
        <v>78</v>
      </c>
      <c r="I3494" s="7" t="n">
        <f aca="false">(G3494-H3494)/G3494</f>
        <v>0.8752</v>
      </c>
      <c r="J3494" s="15" t="n">
        <v>0.614</v>
      </c>
      <c r="K3494" s="11" t="str">
        <f aca="false">IF(I3494&lt;J3494,"TAK","NIE")</f>
        <v>NIE</v>
      </c>
    </row>
    <row r="3495" customFormat="false" ht="15" hidden="false" customHeight="false" outlineLevel="0" collapsed="false">
      <c r="A3495" s="5" t="s">
        <v>698</v>
      </c>
      <c r="B3495" s="5" t="s">
        <v>96</v>
      </c>
      <c r="C3495" s="5" t="n">
        <v>2023</v>
      </c>
      <c r="D3495" s="5" t="s">
        <v>64</v>
      </c>
      <c r="E3495" s="5" t="s">
        <v>57</v>
      </c>
      <c r="F3495" s="5" t="s">
        <v>39</v>
      </c>
      <c r="G3495" s="6" t="n">
        <v>626</v>
      </c>
      <c r="H3495" s="6" t="n">
        <v>38</v>
      </c>
      <c r="I3495" s="7" t="n">
        <f aca="false">(G3495-H3495)/G3495</f>
        <v>0.939297124600639</v>
      </c>
      <c r="J3495" s="15" t="n">
        <v>0.614</v>
      </c>
      <c r="K3495" s="11" t="str">
        <f aca="false">IF(I3495&lt;J3495,"TAK","NIE")</f>
        <v>NIE</v>
      </c>
    </row>
    <row r="3496" customFormat="false" ht="15" hidden="false" customHeight="false" outlineLevel="0" collapsed="false">
      <c r="A3496" s="5" t="s">
        <v>582</v>
      </c>
      <c r="B3496" s="5" t="s">
        <v>96</v>
      </c>
      <c r="C3496" s="5" t="n">
        <v>2023</v>
      </c>
      <c r="D3496" s="5" t="s">
        <v>64</v>
      </c>
      <c r="E3496" s="5" t="s">
        <v>57</v>
      </c>
      <c r="F3496" s="5" t="s">
        <v>39</v>
      </c>
      <c r="G3496" s="6" t="n">
        <v>626</v>
      </c>
      <c r="H3496" s="6" t="n">
        <v>68</v>
      </c>
      <c r="I3496" s="7" t="n">
        <f aca="false">(G3496-H3496)/G3496</f>
        <v>0.891373801916933</v>
      </c>
      <c r="J3496" s="15" t="n">
        <v>0.614</v>
      </c>
      <c r="K3496" s="11" t="str">
        <f aca="false">IF(I3496&lt;J3496,"TAK","NIE")</f>
        <v>NIE</v>
      </c>
    </row>
    <row r="3497" customFormat="false" ht="15" hidden="false" customHeight="false" outlineLevel="0" collapsed="false">
      <c r="A3497" s="5" t="s">
        <v>699</v>
      </c>
      <c r="B3497" s="5" t="s">
        <v>96</v>
      </c>
      <c r="C3497" s="5" t="n">
        <v>2023</v>
      </c>
      <c r="D3497" s="5" t="s">
        <v>64</v>
      </c>
      <c r="E3497" s="5" t="s">
        <v>57</v>
      </c>
      <c r="F3497" s="5" t="s">
        <v>39</v>
      </c>
      <c r="G3497" s="6" t="n">
        <v>626</v>
      </c>
      <c r="H3497" s="6" t="n">
        <v>35</v>
      </c>
      <c r="I3497" s="7" t="n">
        <f aca="false">(G3497-H3497)/G3497</f>
        <v>0.94408945686901</v>
      </c>
      <c r="J3497" s="15" t="n">
        <v>0.614</v>
      </c>
      <c r="K3497" s="11" t="str">
        <f aca="false">IF(I3497&lt;J3497,"TAK","NIE")</f>
        <v>NIE</v>
      </c>
    </row>
    <row r="3498" customFormat="false" ht="15" hidden="false" customHeight="false" outlineLevel="0" collapsed="false">
      <c r="A3498" s="5" t="s">
        <v>700</v>
      </c>
      <c r="B3498" s="5" t="s">
        <v>96</v>
      </c>
      <c r="C3498" s="5" t="n">
        <v>2023</v>
      </c>
      <c r="D3498" s="5" t="s">
        <v>64</v>
      </c>
      <c r="E3498" s="5" t="s">
        <v>57</v>
      </c>
      <c r="F3498" s="5" t="s">
        <v>39</v>
      </c>
      <c r="G3498" s="6" t="n">
        <v>628</v>
      </c>
      <c r="H3498" s="6" t="n">
        <v>87</v>
      </c>
      <c r="I3498" s="7" t="n">
        <f aca="false">(G3498-H3498)/G3498</f>
        <v>0.861464968152866</v>
      </c>
      <c r="J3498" s="15" t="n">
        <v>0.614</v>
      </c>
      <c r="K3498" s="11" t="str">
        <f aca="false">IF(I3498&lt;J3498,"TAK","NIE")</f>
        <v>NIE</v>
      </c>
    </row>
    <row r="3499" customFormat="false" ht="15" hidden="false" customHeight="false" outlineLevel="0" collapsed="false">
      <c r="A3499" s="5" t="s">
        <v>701</v>
      </c>
      <c r="B3499" s="5" t="s">
        <v>96</v>
      </c>
      <c r="C3499" s="5" t="n">
        <v>2023</v>
      </c>
      <c r="D3499" s="5" t="s">
        <v>64</v>
      </c>
      <c r="E3499" s="5" t="s">
        <v>57</v>
      </c>
      <c r="F3499" s="5" t="s">
        <v>39</v>
      </c>
      <c r="G3499" s="6" t="n">
        <v>597</v>
      </c>
      <c r="H3499" s="6" t="n">
        <v>271</v>
      </c>
      <c r="I3499" s="7" t="n">
        <f aca="false">(G3499-H3499)/G3499</f>
        <v>0.54606365159129</v>
      </c>
      <c r="J3499" s="15" t="n">
        <v>0.614</v>
      </c>
      <c r="K3499" s="11" t="str">
        <f aca="false">IF(I3499&lt;J3499,"TAK","NIE")</f>
        <v>TAK</v>
      </c>
    </row>
    <row r="3500" customFormat="false" ht="15" hidden="false" customHeight="false" outlineLevel="0" collapsed="false">
      <c r="A3500" s="5" t="s">
        <v>702</v>
      </c>
      <c r="B3500" s="5" t="s">
        <v>96</v>
      </c>
      <c r="C3500" s="5" t="n">
        <v>2023</v>
      </c>
      <c r="D3500" s="5" t="s">
        <v>64</v>
      </c>
      <c r="E3500" s="5" t="s">
        <v>57</v>
      </c>
      <c r="F3500" s="5" t="s">
        <v>39</v>
      </c>
      <c r="G3500" s="6" t="n">
        <v>628</v>
      </c>
      <c r="H3500" s="6" t="n">
        <v>172</v>
      </c>
      <c r="I3500" s="7" t="n">
        <f aca="false">(G3500-H3500)/G3500</f>
        <v>0.726114649681529</v>
      </c>
      <c r="J3500" s="15" t="n">
        <v>0.614</v>
      </c>
      <c r="K3500" s="11" t="str">
        <f aca="false">IF(I3500&lt;J3500,"TAK","NIE")</f>
        <v>NIE</v>
      </c>
    </row>
    <row r="3501" customFormat="false" ht="15" hidden="false" customHeight="false" outlineLevel="0" collapsed="false">
      <c r="A3501" s="5" t="s">
        <v>703</v>
      </c>
      <c r="B3501" s="5" t="s">
        <v>96</v>
      </c>
      <c r="C3501" s="5" t="n">
        <v>2023</v>
      </c>
      <c r="D3501" s="5" t="s">
        <v>64</v>
      </c>
      <c r="E3501" s="5" t="s">
        <v>57</v>
      </c>
      <c r="F3501" s="5" t="s">
        <v>39</v>
      </c>
      <c r="G3501" s="6" t="n">
        <v>628</v>
      </c>
      <c r="H3501" s="6" t="n">
        <v>37</v>
      </c>
      <c r="I3501" s="7" t="n">
        <f aca="false">(G3501-H3501)/G3501</f>
        <v>0.941082802547771</v>
      </c>
      <c r="J3501" s="15" t="n">
        <v>0.614</v>
      </c>
      <c r="K3501" s="11" t="str">
        <f aca="false">IF(I3501&lt;J3501,"TAK","NIE")</f>
        <v>NIE</v>
      </c>
    </row>
    <row r="3502" customFormat="false" ht="15" hidden="false" customHeight="false" outlineLevel="0" collapsed="false">
      <c r="A3502" s="5" t="s">
        <v>704</v>
      </c>
      <c r="B3502" s="5" t="s">
        <v>96</v>
      </c>
      <c r="C3502" s="5" t="n">
        <v>2023</v>
      </c>
      <c r="D3502" s="5" t="s">
        <v>64</v>
      </c>
      <c r="E3502" s="5" t="s">
        <v>57</v>
      </c>
      <c r="F3502" s="5" t="s">
        <v>39</v>
      </c>
      <c r="G3502" s="6" t="n">
        <v>628</v>
      </c>
      <c r="H3502" s="6" t="n">
        <v>109</v>
      </c>
      <c r="I3502" s="7" t="n">
        <f aca="false">(G3502-H3502)/G3502</f>
        <v>0.826433121019108</v>
      </c>
      <c r="J3502" s="15" t="n">
        <v>0.614</v>
      </c>
      <c r="K3502" s="11" t="str">
        <f aca="false">IF(I3502&lt;J3502,"TAK","NIE")</f>
        <v>NIE</v>
      </c>
    </row>
    <row r="3503" customFormat="false" ht="15" hidden="false" customHeight="false" outlineLevel="0" collapsed="false">
      <c r="A3503" s="5" t="s">
        <v>705</v>
      </c>
      <c r="B3503" s="5" t="s">
        <v>96</v>
      </c>
      <c r="C3503" s="5" t="n">
        <v>2023</v>
      </c>
      <c r="D3503" s="5" t="s">
        <v>64</v>
      </c>
      <c r="E3503" s="5" t="s">
        <v>57</v>
      </c>
      <c r="F3503" s="5" t="s">
        <v>39</v>
      </c>
      <c r="G3503" s="6" t="n">
        <v>409</v>
      </c>
      <c r="H3503" s="6" t="n">
        <v>19</v>
      </c>
      <c r="I3503" s="7" t="n">
        <f aca="false">(G3503-H3503)/G3503</f>
        <v>0.953545232273839</v>
      </c>
      <c r="J3503" s="15" t="n">
        <v>0.614</v>
      </c>
      <c r="K3503" s="11" t="str">
        <f aca="false">IF(I3503&lt;J3503,"TAK","NIE")</f>
        <v>NIE</v>
      </c>
    </row>
    <row r="3504" customFormat="false" ht="15" hidden="false" customHeight="false" outlineLevel="0" collapsed="false">
      <c r="A3504" s="5" t="s">
        <v>706</v>
      </c>
      <c r="B3504" s="5" t="s">
        <v>96</v>
      </c>
      <c r="C3504" s="5" t="n">
        <v>2023</v>
      </c>
      <c r="D3504" s="5" t="s">
        <v>64</v>
      </c>
      <c r="E3504" s="5" t="s">
        <v>57</v>
      </c>
      <c r="F3504" s="5" t="s">
        <v>39</v>
      </c>
      <c r="G3504" s="6" t="n">
        <v>628</v>
      </c>
      <c r="H3504" s="6" t="n">
        <v>27</v>
      </c>
      <c r="I3504" s="7" t="n">
        <f aca="false">(G3504-H3504)/G3504</f>
        <v>0.957006369426752</v>
      </c>
      <c r="J3504" s="15" t="n">
        <v>0.614</v>
      </c>
      <c r="K3504" s="11" t="str">
        <f aca="false">IF(I3504&lt;J3504,"TAK","NIE")</f>
        <v>NIE</v>
      </c>
    </row>
    <row r="3505" customFormat="false" ht="15" hidden="false" customHeight="false" outlineLevel="0" collapsed="false">
      <c r="A3505" s="5" t="s">
        <v>707</v>
      </c>
      <c r="B3505" s="5" t="s">
        <v>96</v>
      </c>
      <c r="C3505" s="5" t="n">
        <v>2023</v>
      </c>
      <c r="D3505" s="5" t="s">
        <v>64</v>
      </c>
      <c r="E3505" s="5" t="s">
        <v>57</v>
      </c>
      <c r="F3505" s="5" t="s">
        <v>39</v>
      </c>
      <c r="G3505" s="6" t="n">
        <v>626</v>
      </c>
      <c r="H3505" s="6" t="n">
        <v>36</v>
      </c>
      <c r="I3505" s="7" t="n">
        <f aca="false">(G3505-H3505)/G3505</f>
        <v>0.942492012779553</v>
      </c>
      <c r="J3505" s="15" t="n">
        <v>0.614</v>
      </c>
      <c r="K3505" s="11" t="str">
        <f aca="false">IF(I3505&lt;J3505,"TAK","NIE")</f>
        <v>NIE</v>
      </c>
    </row>
    <row r="3506" customFormat="false" ht="15" hidden="false" customHeight="false" outlineLevel="0" collapsed="false">
      <c r="A3506" s="5" t="s">
        <v>708</v>
      </c>
      <c r="B3506" s="5" t="s">
        <v>96</v>
      </c>
      <c r="C3506" s="5" t="n">
        <v>2023</v>
      </c>
      <c r="D3506" s="5" t="s">
        <v>64</v>
      </c>
      <c r="E3506" s="5" t="s">
        <v>57</v>
      </c>
      <c r="F3506" s="5" t="s">
        <v>39</v>
      </c>
      <c r="G3506" s="6" t="n">
        <v>626</v>
      </c>
      <c r="H3506" s="6" t="n">
        <v>21</v>
      </c>
      <c r="I3506" s="7" t="n">
        <f aca="false">(G3506-H3506)/G3506</f>
        <v>0.966453674121406</v>
      </c>
      <c r="J3506" s="15" t="n">
        <v>0.614</v>
      </c>
      <c r="K3506" s="11" t="str">
        <f aca="false">IF(I3506&lt;J3506,"TAK","NIE")</f>
        <v>NIE</v>
      </c>
    </row>
    <row r="3507" customFormat="false" ht="15" hidden="false" customHeight="false" outlineLevel="0" collapsed="false">
      <c r="A3507" s="5" t="s">
        <v>709</v>
      </c>
      <c r="B3507" s="5" t="s">
        <v>96</v>
      </c>
      <c r="C3507" s="5" t="n">
        <v>2023</v>
      </c>
      <c r="D3507" s="5" t="s">
        <v>64</v>
      </c>
      <c r="E3507" s="5" t="s">
        <v>57</v>
      </c>
      <c r="F3507" s="5" t="s">
        <v>39</v>
      </c>
      <c r="G3507" s="6" t="n">
        <v>628</v>
      </c>
      <c r="H3507" s="6" t="n">
        <v>42</v>
      </c>
      <c r="I3507" s="7" t="n">
        <f aca="false">(G3507-H3507)/G3507</f>
        <v>0.93312101910828</v>
      </c>
      <c r="J3507" s="15" t="n">
        <v>0.614</v>
      </c>
      <c r="K3507" s="11" t="str">
        <f aca="false">IF(I3507&lt;J3507,"TAK","NIE")</f>
        <v>NIE</v>
      </c>
    </row>
    <row r="3508" customFormat="false" ht="15" hidden="false" customHeight="false" outlineLevel="0" collapsed="false">
      <c r="A3508" s="5" t="s">
        <v>710</v>
      </c>
      <c r="B3508" s="5" t="s">
        <v>96</v>
      </c>
      <c r="C3508" s="5" t="n">
        <v>2023</v>
      </c>
      <c r="D3508" s="5" t="s">
        <v>64</v>
      </c>
      <c r="E3508" s="5" t="s">
        <v>57</v>
      </c>
      <c r="F3508" s="5" t="s">
        <v>39</v>
      </c>
      <c r="G3508" s="6" t="n">
        <v>178</v>
      </c>
      <c r="H3508" s="6" t="n">
        <v>36</v>
      </c>
      <c r="I3508" s="7" t="n">
        <f aca="false">(G3508-H3508)/G3508</f>
        <v>0.797752808988764</v>
      </c>
      <c r="J3508" s="15" t="n">
        <v>0.614</v>
      </c>
      <c r="K3508" s="11" t="str">
        <f aca="false">IF(I3508&lt;J3508,"TAK","NIE")</f>
        <v>NIE</v>
      </c>
    </row>
    <row r="3509" customFormat="false" ht="15" hidden="false" customHeight="false" outlineLevel="0" collapsed="false">
      <c r="A3509" s="5" t="s">
        <v>711</v>
      </c>
      <c r="B3509" s="5" t="s">
        <v>96</v>
      </c>
      <c r="C3509" s="5" t="n">
        <v>2023</v>
      </c>
      <c r="D3509" s="5" t="s">
        <v>64</v>
      </c>
      <c r="E3509" s="5" t="s">
        <v>57</v>
      </c>
      <c r="F3509" s="5" t="s">
        <v>39</v>
      </c>
      <c r="G3509" s="6" t="n">
        <v>626</v>
      </c>
      <c r="H3509" s="6" t="n">
        <v>164</v>
      </c>
      <c r="I3509" s="7" t="n">
        <f aca="false">(G3509-H3509)/G3509</f>
        <v>0.738019169329074</v>
      </c>
      <c r="J3509" s="15" t="n">
        <v>0.614</v>
      </c>
      <c r="K3509" s="11" t="str">
        <f aca="false">IF(I3509&lt;J3509,"TAK","NIE")</f>
        <v>NIE</v>
      </c>
    </row>
    <row r="3510" customFormat="false" ht="15" hidden="false" customHeight="false" outlineLevel="0" collapsed="false">
      <c r="A3510" s="5" t="s">
        <v>712</v>
      </c>
      <c r="B3510" s="5" t="s">
        <v>96</v>
      </c>
      <c r="C3510" s="5" t="n">
        <v>2023</v>
      </c>
      <c r="D3510" s="5" t="s">
        <v>64</v>
      </c>
      <c r="E3510" s="5" t="s">
        <v>57</v>
      </c>
      <c r="F3510" s="5" t="s">
        <v>39</v>
      </c>
      <c r="G3510" s="6" t="n">
        <v>625</v>
      </c>
      <c r="H3510" s="6" t="n">
        <v>98</v>
      </c>
      <c r="I3510" s="7" t="n">
        <f aca="false">(G3510-H3510)/G3510</f>
        <v>0.8432</v>
      </c>
      <c r="J3510" s="15" t="n">
        <v>0.614</v>
      </c>
      <c r="K3510" s="11" t="str">
        <f aca="false">IF(I3510&lt;J3510,"TAK","NIE")</f>
        <v>NIE</v>
      </c>
    </row>
    <row r="3511" customFormat="false" ht="15" hidden="false" customHeight="false" outlineLevel="0" collapsed="false">
      <c r="A3511" s="5" t="s">
        <v>713</v>
      </c>
      <c r="B3511" s="5" t="s">
        <v>96</v>
      </c>
      <c r="C3511" s="5" t="n">
        <v>2023</v>
      </c>
      <c r="D3511" s="5" t="s">
        <v>64</v>
      </c>
      <c r="E3511" s="5" t="s">
        <v>57</v>
      </c>
      <c r="F3511" s="5" t="s">
        <v>39</v>
      </c>
      <c r="G3511" s="6" t="n">
        <v>628</v>
      </c>
      <c r="H3511" s="6" t="n">
        <v>60</v>
      </c>
      <c r="I3511" s="7" t="n">
        <f aca="false">(G3511-H3511)/G3511</f>
        <v>0.904458598726115</v>
      </c>
      <c r="J3511" s="15" t="n">
        <v>0.614</v>
      </c>
      <c r="K3511" s="11" t="str">
        <f aca="false">IF(I3511&lt;J3511,"TAK","NIE")</f>
        <v>NIE</v>
      </c>
    </row>
    <row r="3512" customFormat="false" ht="15" hidden="false" customHeight="false" outlineLevel="0" collapsed="false">
      <c r="A3512" s="5" t="s">
        <v>714</v>
      </c>
      <c r="B3512" s="5" t="s">
        <v>96</v>
      </c>
      <c r="C3512" s="5" t="n">
        <v>2023</v>
      </c>
      <c r="D3512" s="5" t="s">
        <v>64</v>
      </c>
      <c r="E3512" s="5" t="s">
        <v>57</v>
      </c>
      <c r="F3512" s="5" t="s">
        <v>39</v>
      </c>
      <c r="G3512" s="6" t="n">
        <v>626</v>
      </c>
      <c r="H3512" s="6" t="n">
        <v>178</v>
      </c>
      <c r="I3512" s="7" t="n">
        <f aca="false">(G3512-H3512)/G3512</f>
        <v>0.715654952076677</v>
      </c>
      <c r="J3512" s="15" t="n">
        <v>0.614</v>
      </c>
      <c r="K3512" s="11" t="str">
        <f aca="false">IF(I3512&lt;J3512,"TAK","NIE")</f>
        <v>NIE</v>
      </c>
    </row>
    <row r="3513" customFormat="false" ht="15" hidden="false" customHeight="false" outlineLevel="0" collapsed="false">
      <c r="A3513" s="5" t="s">
        <v>715</v>
      </c>
      <c r="B3513" s="5" t="s">
        <v>96</v>
      </c>
      <c r="C3513" s="5" t="n">
        <v>2023</v>
      </c>
      <c r="D3513" s="5" t="s">
        <v>64</v>
      </c>
      <c r="E3513" s="5" t="s">
        <v>57</v>
      </c>
      <c r="F3513" s="5" t="s">
        <v>39</v>
      </c>
      <c r="G3513" s="6" t="n">
        <v>628</v>
      </c>
      <c r="H3513" s="6" t="n">
        <v>120</v>
      </c>
      <c r="I3513" s="7" t="n">
        <f aca="false">(G3513-H3513)/G3513</f>
        <v>0.808917197452229</v>
      </c>
      <c r="J3513" s="15" t="n">
        <v>0.614</v>
      </c>
      <c r="K3513" s="11" t="str">
        <f aca="false">IF(I3513&lt;J3513,"TAK","NIE")</f>
        <v>NIE</v>
      </c>
    </row>
    <row r="3514" customFormat="false" ht="15" hidden="false" customHeight="false" outlineLevel="0" collapsed="false">
      <c r="A3514" s="5" t="s">
        <v>716</v>
      </c>
      <c r="B3514" s="5" t="s">
        <v>96</v>
      </c>
      <c r="C3514" s="5" t="n">
        <v>2023</v>
      </c>
      <c r="D3514" s="5" t="s">
        <v>64</v>
      </c>
      <c r="E3514" s="5" t="s">
        <v>57</v>
      </c>
      <c r="F3514" s="5" t="s">
        <v>39</v>
      </c>
      <c r="G3514" s="6" t="n">
        <v>628</v>
      </c>
      <c r="H3514" s="6" t="n">
        <v>57</v>
      </c>
      <c r="I3514" s="7" t="n">
        <f aca="false">(G3514-H3514)/G3514</f>
        <v>0.909235668789809</v>
      </c>
      <c r="J3514" s="15" t="n">
        <v>0.614</v>
      </c>
      <c r="K3514" s="11" t="str">
        <f aca="false">IF(I3514&lt;J3514,"TAK","NIE")</f>
        <v>NIE</v>
      </c>
    </row>
    <row r="3515" customFormat="false" ht="15" hidden="false" customHeight="false" outlineLevel="0" collapsed="false">
      <c r="A3515" s="5" t="s">
        <v>693</v>
      </c>
      <c r="B3515" s="5" t="s">
        <v>96</v>
      </c>
      <c r="C3515" s="5" t="n">
        <v>2023</v>
      </c>
      <c r="D3515" s="5" t="s">
        <v>64</v>
      </c>
      <c r="E3515" s="5" t="s">
        <v>57</v>
      </c>
      <c r="F3515" s="5" t="s">
        <v>40</v>
      </c>
      <c r="G3515" s="6" t="n">
        <v>665</v>
      </c>
      <c r="H3515" s="6" t="n">
        <v>181</v>
      </c>
      <c r="I3515" s="7" t="n">
        <f aca="false">(G3515-H3515)/G3515</f>
        <v>0.727819548872181</v>
      </c>
      <c r="J3515" s="15" t="n">
        <v>0.4565</v>
      </c>
      <c r="K3515" s="11" t="str">
        <f aca="false">IF(I3515&lt;J3515,"TAK","NIE")</f>
        <v>NIE</v>
      </c>
    </row>
    <row r="3516" customFormat="false" ht="15" hidden="false" customHeight="false" outlineLevel="0" collapsed="false">
      <c r="A3516" s="5" t="s">
        <v>694</v>
      </c>
      <c r="B3516" s="5" t="s">
        <v>96</v>
      </c>
      <c r="C3516" s="5" t="n">
        <v>2023</v>
      </c>
      <c r="D3516" s="5" t="s">
        <v>64</v>
      </c>
      <c r="E3516" s="5" t="s">
        <v>57</v>
      </c>
      <c r="F3516" s="5" t="s">
        <v>40</v>
      </c>
      <c r="G3516" s="6" t="n">
        <v>665</v>
      </c>
      <c r="H3516" s="6" t="n">
        <v>222</v>
      </c>
      <c r="I3516" s="7" t="n">
        <f aca="false">(G3516-H3516)/G3516</f>
        <v>0.666165413533835</v>
      </c>
      <c r="J3516" s="15" t="n">
        <v>0.4565</v>
      </c>
      <c r="K3516" s="11" t="str">
        <f aca="false">IF(I3516&lt;J3516,"TAK","NIE")</f>
        <v>NIE</v>
      </c>
    </row>
    <row r="3517" customFormat="false" ht="15" hidden="false" customHeight="false" outlineLevel="0" collapsed="false">
      <c r="A3517" s="5" t="s">
        <v>695</v>
      </c>
      <c r="B3517" s="5" t="s">
        <v>96</v>
      </c>
      <c r="C3517" s="5" t="n">
        <v>2023</v>
      </c>
      <c r="D3517" s="5" t="s">
        <v>64</v>
      </c>
      <c r="E3517" s="5" t="s">
        <v>57</v>
      </c>
      <c r="F3517" s="5" t="s">
        <v>40</v>
      </c>
      <c r="G3517" s="6" t="n">
        <v>521</v>
      </c>
      <c r="H3517" s="6" t="n">
        <v>169</v>
      </c>
      <c r="I3517" s="7" t="n">
        <f aca="false">(G3517-H3517)/G3517</f>
        <v>0.675623800383877</v>
      </c>
      <c r="J3517" s="15" t="n">
        <v>0.4565</v>
      </c>
      <c r="K3517" s="11" t="str">
        <f aca="false">IF(I3517&lt;J3517,"TAK","NIE")</f>
        <v>NIE</v>
      </c>
    </row>
    <row r="3518" customFormat="false" ht="15" hidden="false" customHeight="false" outlineLevel="0" collapsed="false">
      <c r="A3518" s="5" t="s">
        <v>696</v>
      </c>
      <c r="B3518" s="5" t="s">
        <v>96</v>
      </c>
      <c r="C3518" s="5" t="n">
        <v>2023</v>
      </c>
      <c r="D3518" s="5" t="s">
        <v>64</v>
      </c>
      <c r="E3518" s="5" t="s">
        <v>57</v>
      </c>
      <c r="F3518" s="5" t="s">
        <v>40</v>
      </c>
      <c r="G3518" s="6" t="n">
        <v>655</v>
      </c>
      <c r="H3518" s="6" t="n">
        <v>232</v>
      </c>
      <c r="I3518" s="7" t="n">
        <f aca="false">(G3518-H3518)/G3518</f>
        <v>0.645801526717557</v>
      </c>
      <c r="J3518" s="15" t="n">
        <v>0.4565</v>
      </c>
      <c r="K3518" s="11" t="str">
        <f aca="false">IF(I3518&lt;J3518,"TAK","NIE")</f>
        <v>NIE</v>
      </c>
    </row>
    <row r="3519" customFormat="false" ht="15" hidden="false" customHeight="false" outlineLevel="0" collapsed="false">
      <c r="A3519" s="5" t="s">
        <v>697</v>
      </c>
      <c r="B3519" s="5" t="s">
        <v>96</v>
      </c>
      <c r="C3519" s="5" t="n">
        <v>2023</v>
      </c>
      <c r="D3519" s="5" t="s">
        <v>64</v>
      </c>
      <c r="E3519" s="5" t="s">
        <v>57</v>
      </c>
      <c r="F3519" s="5" t="s">
        <v>40</v>
      </c>
      <c r="G3519" s="6" t="n">
        <v>663</v>
      </c>
      <c r="H3519" s="6" t="n">
        <v>146</v>
      </c>
      <c r="I3519" s="7" t="n">
        <f aca="false">(G3519-H3519)/G3519</f>
        <v>0.779788838612368</v>
      </c>
      <c r="J3519" s="15" t="n">
        <v>0.4565</v>
      </c>
      <c r="K3519" s="11" t="str">
        <f aca="false">IF(I3519&lt;J3519,"TAK","NIE")</f>
        <v>NIE</v>
      </c>
    </row>
    <row r="3520" customFormat="false" ht="15" hidden="false" customHeight="false" outlineLevel="0" collapsed="false">
      <c r="A3520" s="5" t="s">
        <v>698</v>
      </c>
      <c r="B3520" s="5" t="s">
        <v>96</v>
      </c>
      <c r="C3520" s="5" t="n">
        <v>2023</v>
      </c>
      <c r="D3520" s="5" t="s">
        <v>64</v>
      </c>
      <c r="E3520" s="5" t="s">
        <v>57</v>
      </c>
      <c r="F3520" s="5" t="s">
        <v>40</v>
      </c>
      <c r="G3520" s="6" t="n">
        <v>655</v>
      </c>
      <c r="H3520" s="6" t="n">
        <v>162</v>
      </c>
      <c r="I3520" s="7" t="n">
        <f aca="false">(G3520-H3520)/G3520</f>
        <v>0.752671755725191</v>
      </c>
      <c r="J3520" s="15" t="n">
        <v>0.4565</v>
      </c>
      <c r="K3520" s="11" t="str">
        <f aca="false">IF(I3520&lt;J3520,"TAK","NIE")</f>
        <v>NIE</v>
      </c>
    </row>
    <row r="3521" customFormat="false" ht="15" hidden="false" customHeight="false" outlineLevel="0" collapsed="false">
      <c r="A3521" s="5" t="s">
        <v>582</v>
      </c>
      <c r="B3521" s="5" t="s">
        <v>96</v>
      </c>
      <c r="C3521" s="5" t="n">
        <v>2023</v>
      </c>
      <c r="D3521" s="5" t="s">
        <v>64</v>
      </c>
      <c r="E3521" s="5" t="s">
        <v>57</v>
      </c>
      <c r="F3521" s="5" t="s">
        <v>40</v>
      </c>
      <c r="G3521" s="6" t="n">
        <v>663</v>
      </c>
      <c r="H3521" s="6" t="n">
        <v>128</v>
      </c>
      <c r="I3521" s="7" t="n">
        <f aca="false">(G3521-H3521)/G3521</f>
        <v>0.806938159879336</v>
      </c>
      <c r="J3521" s="15" t="n">
        <v>0.4565</v>
      </c>
      <c r="K3521" s="11" t="str">
        <f aca="false">IF(I3521&lt;J3521,"TAK","NIE")</f>
        <v>NIE</v>
      </c>
    </row>
    <row r="3522" customFormat="false" ht="15" hidden="false" customHeight="false" outlineLevel="0" collapsed="false">
      <c r="A3522" s="5" t="s">
        <v>699</v>
      </c>
      <c r="B3522" s="5" t="s">
        <v>96</v>
      </c>
      <c r="C3522" s="5" t="n">
        <v>2023</v>
      </c>
      <c r="D3522" s="5" t="s">
        <v>64</v>
      </c>
      <c r="E3522" s="5" t="s">
        <v>57</v>
      </c>
      <c r="F3522" s="5" t="s">
        <v>40</v>
      </c>
      <c r="G3522" s="6" t="n">
        <v>663</v>
      </c>
      <c r="H3522" s="6" t="n">
        <v>144</v>
      </c>
      <c r="I3522" s="7" t="n">
        <f aca="false">(G3522-H3522)/G3522</f>
        <v>0.782805429864253</v>
      </c>
      <c r="J3522" s="15" t="n">
        <v>0.4565</v>
      </c>
      <c r="K3522" s="11" t="str">
        <f aca="false">IF(I3522&lt;J3522,"TAK","NIE")</f>
        <v>NIE</v>
      </c>
    </row>
    <row r="3523" customFormat="false" ht="15" hidden="false" customHeight="false" outlineLevel="0" collapsed="false">
      <c r="A3523" s="5" t="s">
        <v>700</v>
      </c>
      <c r="B3523" s="5" t="s">
        <v>96</v>
      </c>
      <c r="C3523" s="5" t="n">
        <v>2023</v>
      </c>
      <c r="D3523" s="5" t="s">
        <v>64</v>
      </c>
      <c r="E3523" s="5" t="s">
        <v>57</v>
      </c>
      <c r="F3523" s="5" t="s">
        <v>40</v>
      </c>
      <c r="G3523" s="6" t="n">
        <v>643</v>
      </c>
      <c r="H3523" s="6" t="n">
        <v>128</v>
      </c>
      <c r="I3523" s="7" t="n">
        <f aca="false">(G3523-H3523)/G3523</f>
        <v>0.800933125972006</v>
      </c>
      <c r="J3523" s="15" t="n">
        <v>0.4565</v>
      </c>
      <c r="K3523" s="11" t="str">
        <f aca="false">IF(I3523&lt;J3523,"TAK","NIE")</f>
        <v>NIE</v>
      </c>
    </row>
    <row r="3524" customFormat="false" ht="15" hidden="false" customHeight="false" outlineLevel="0" collapsed="false">
      <c r="A3524" s="5" t="s">
        <v>701</v>
      </c>
      <c r="B3524" s="5" t="s">
        <v>96</v>
      </c>
      <c r="C3524" s="5" t="n">
        <v>2023</v>
      </c>
      <c r="D3524" s="5" t="s">
        <v>64</v>
      </c>
      <c r="E3524" s="5" t="s">
        <v>57</v>
      </c>
      <c r="F3524" s="5" t="s">
        <v>40</v>
      </c>
      <c r="G3524" s="6" t="n">
        <v>620</v>
      </c>
      <c r="H3524" s="6" t="n">
        <v>283</v>
      </c>
      <c r="I3524" s="7" t="n">
        <f aca="false">(G3524-H3524)/G3524</f>
        <v>0.543548387096774</v>
      </c>
      <c r="J3524" s="15" t="n">
        <v>0.4565</v>
      </c>
      <c r="K3524" s="11" t="str">
        <f aca="false">IF(I3524&lt;J3524,"TAK","NIE")</f>
        <v>NIE</v>
      </c>
    </row>
    <row r="3525" customFormat="false" ht="15" hidden="false" customHeight="false" outlineLevel="0" collapsed="false">
      <c r="A3525" s="5" t="s">
        <v>702</v>
      </c>
      <c r="B3525" s="5" t="s">
        <v>96</v>
      </c>
      <c r="C3525" s="5" t="n">
        <v>2023</v>
      </c>
      <c r="D3525" s="5" t="s">
        <v>64</v>
      </c>
      <c r="E3525" s="5" t="s">
        <v>57</v>
      </c>
      <c r="F3525" s="5" t="s">
        <v>40</v>
      </c>
      <c r="G3525" s="6" t="n">
        <v>651</v>
      </c>
      <c r="H3525" s="6" t="n">
        <v>266</v>
      </c>
      <c r="I3525" s="7" t="n">
        <f aca="false">(G3525-H3525)/G3525</f>
        <v>0.591397849462366</v>
      </c>
      <c r="J3525" s="15" t="n">
        <v>0.4565</v>
      </c>
      <c r="K3525" s="11" t="str">
        <f aca="false">IF(I3525&lt;J3525,"TAK","NIE")</f>
        <v>NIE</v>
      </c>
    </row>
    <row r="3526" customFormat="false" ht="15" hidden="false" customHeight="false" outlineLevel="0" collapsed="false">
      <c r="A3526" s="5" t="s">
        <v>703</v>
      </c>
      <c r="B3526" s="5" t="s">
        <v>96</v>
      </c>
      <c r="C3526" s="5" t="n">
        <v>2023</v>
      </c>
      <c r="D3526" s="5" t="s">
        <v>64</v>
      </c>
      <c r="E3526" s="5" t="s">
        <v>57</v>
      </c>
      <c r="F3526" s="5" t="s">
        <v>40</v>
      </c>
      <c r="G3526" s="6" t="n">
        <v>665</v>
      </c>
      <c r="H3526" s="6" t="n">
        <v>76</v>
      </c>
      <c r="I3526" s="7" t="n">
        <f aca="false">(G3526-H3526)/G3526</f>
        <v>0.885714285714286</v>
      </c>
      <c r="J3526" s="15" t="n">
        <v>0.4565</v>
      </c>
      <c r="K3526" s="11" t="str">
        <f aca="false">IF(I3526&lt;J3526,"TAK","NIE")</f>
        <v>NIE</v>
      </c>
    </row>
    <row r="3527" customFormat="false" ht="15" hidden="false" customHeight="false" outlineLevel="0" collapsed="false">
      <c r="A3527" s="5" t="s">
        <v>704</v>
      </c>
      <c r="B3527" s="5" t="s">
        <v>96</v>
      </c>
      <c r="C3527" s="5" t="n">
        <v>2023</v>
      </c>
      <c r="D3527" s="5" t="s">
        <v>64</v>
      </c>
      <c r="E3527" s="5" t="s">
        <v>57</v>
      </c>
      <c r="F3527" s="5" t="s">
        <v>40</v>
      </c>
      <c r="G3527" s="6" t="n">
        <v>657</v>
      </c>
      <c r="H3527" s="6" t="n">
        <v>223</v>
      </c>
      <c r="I3527" s="7" t="n">
        <f aca="false">(G3527-H3527)/G3527</f>
        <v>0.660578386605784</v>
      </c>
      <c r="J3527" s="15" t="n">
        <v>0.4565</v>
      </c>
      <c r="K3527" s="11" t="str">
        <f aca="false">IF(I3527&lt;J3527,"TAK","NIE")</f>
        <v>NIE</v>
      </c>
    </row>
    <row r="3528" customFormat="false" ht="15" hidden="false" customHeight="false" outlineLevel="0" collapsed="false">
      <c r="A3528" s="5" t="s">
        <v>706</v>
      </c>
      <c r="B3528" s="5" t="s">
        <v>96</v>
      </c>
      <c r="C3528" s="5" t="n">
        <v>2023</v>
      </c>
      <c r="D3528" s="5" t="s">
        <v>64</v>
      </c>
      <c r="E3528" s="5" t="s">
        <v>57</v>
      </c>
      <c r="F3528" s="5" t="s">
        <v>40</v>
      </c>
      <c r="G3528" s="6" t="n">
        <v>657</v>
      </c>
      <c r="H3528" s="6" t="n">
        <v>123</v>
      </c>
      <c r="I3528" s="7" t="n">
        <f aca="false">(G3528-H3528)/G3528</f>
        <v>0.812785388127854</v>
      </c>
      <c r="J3528" s="15" t="n">
        <v>0.4565</v>
      </c>
      <c r="K3528" s="11" t="str">
        <f aca="false">IF(I3528&lt;J3528,"TAK","NIE")</f>
        <v>NIE</v>
      </c>
    </row>
    <row r="3529" customFormat="false" ht="15" hidden="false" customHeight="false" outlineLevel="0" collapsed="false">
      <c r="A3529" s="5" t="s">
        <v>707</v>
      </c>
      <c r="B3529" s="5" t="s">
        <v>96</v>
      </c>
      <c r="C3529" s="5" t="n">
        <v>2023</v>
      </c>
      <c r="D3529" s="5" t="s">
        <v>64</v>
      </c>
      <c r="E3529" s="5" t="s">
        <v>57</v>
      </c>
      <c r="F3529" s="5" t="s">
        <v>40</v>
      </c>
      <c r="G3529" s="6" t="n">
        <v>663</v>
      </c>
      <c r="H3529" s="6" t="n">
        <v>171</v>
      </c>
      <c r="I3529" s="7" t="n">
        <f aca="false">(G3529-H3529)/G3529</f>
        <v>0.742081447963801</v>
      </c>
      <c r="J3529" s="15" t="n">
        <v>0.4565</v>
      </c>
      <c r="K3529" s="11" t="str">
        <f aca="false">IF(I3529&lt;J3529,"TAK","NIE")</f>
        <v>NIE</v>
      </c>
    </row>
    <row r="3530" customFormat="false" ht="15" hidden="false" customHeight="false" outlineLevel="0" collapsed="false">
      <c r="A3530" s="5" t="s">
        <v>708</v>
      </c>
      <c r="B3530" s="5" t="s">
        <v>96</v>
      </c>
      <c r="C3530" s="5" t="n">
        <v>2023</v>
      </c>
      <c r="D3530" s="5" t="s">
        <v>64</v>
      </c>
      <c r="E3530" s="5" t="s">
        <v>57</v>
      </c>
      <c r="F3530" s="5" t="s">
        <v>40</v>
      </c>
      <c r="G3530" s="6" t="n">
        <v>663</v>
      </c>
      <c r="H3530" s="6" t="n">
        <v>129</v>
      </c>
      <c r="I3530" s="7" t="n">
        <f aca="false">(G3530-H3530)/G3530</f>
        <v>0.805429864253394</v>
      </c>
      <c r="J3530" s="15" t="n">
        <v>0.4565</v>
      </c>
      <c r="K3530" s="11" t="str">
        <f aca="false">IF(I3530&lt;J3530,"TAK","NIE")</f>
        <v>NIE</v>
      </c>
    </row>
    <row r="3531" customFormat="false" ht="15" hidden="false" customHeight="false" outlineLevel="0" collapsed="false">
      <c r="A3531" s="5" t="s">
        <v>709</v>
      </c>
      <c r="B3531" s="5" t="s">
        <v>96</v>
      </c>
      <c r="C3531" s="5" t="n">
        <v>2023</v>
      </c>
      <c r="D3531" s="5" t="s">
        <v>64</v>
      </c>
      <c r="E3531" s="5" t="s">
        <v>57</v>
      </c>
      <c r="F3531" s="5" t="s">
        <v>40</v>
      </c>
      <c r="G3531" s="6" t="n">
        <v>665</v>
      </c>
      <c r="H3531" s="6" t="n">
        <v>136</v>
      </c>
      <c r="I3531" s="7" t="n">
        <f aca="false">(G3531-H3531)/G3531</f>
        <v>0.795488721804511</v>
      </c>
      <c r="J3531" s="15" t="n">
        <v>0.4565</v>
      </c>
      <c r="K3531" s="11" t="str">
        <f aca="false">IF(I3531&lt;J3531,"TAK","NIE")</f>
        <v>NIE</v>
      </c>
    </row>
    <row r="3532" customFormat="false" ht="15" hidden="false" customHeight="false" outlineLevel="0" collapsed="false">
      <c r="A3532" s="5" t="s">
        <v>710</v>
      </c>
      <c r="B3532" s="5" t="s">
        <v>96</v>
      </c>
      <c r="C3532" s="5" t="n">
        <v>2023</v>
      </c>
      <c r="D3532" s="5" t="s">
        <v>64</v>
      </c>
      <c r="E3532" s="5" t="s">
        <v>57</v>
      </c>
      <c r="F3532" s="5" t="s">
        <v>40</v>
      </c>
      <c r="G3532" s="6" t="n">
        <v>665</v>
      </c>
      <c r="H3532" s="6" t="n">
        <v>219</v>
      </c>
      <c r="I3532" s="7" t="n">
        <f aca="false">(G3532-H3532)/G3532</f>
        <v>0.670676691729323</v>
      </c>
      <c r="J3532" s="15" t="n">
        <v>0.4565</v>
      </c>
      <c r="K3532" s="11" t="str">
        <f aca="false">IF(I3532&lt;J3532,"TAK","NIE")</f>
        <v>NIE</v>
      </c>
    </row>
    <row r="3533" customFormat="false" ht="15" hidden="false" customHeight="false" outlineLevel="0" collapsed="false">
      <c r="A3533" s="5" t="s">
        <v>711</v>
      </c>
      <c r="B3533" s="5" t="s">
        <v>96</v>
      </c>
      <c r="C3533" s="5" t="n">
        <v>2023</v>
      </c>
      <c r="D3533" s="5" t="s">
        <v>64</v>
      </c>
      <c r="E3533" s="5" t="s">
        <v>57</v>
      </c>
      <c r="F3533" s="5" t="s">
        <v>40</v>
      </c>
      <c r="G3533" s="6" t="n">
        <v>663</v>
      </c>
      <c r="H3533" s="6" t="n">
        <v>292</v>
      </c>
      <c r="I3533" s="7" t="n">
        <f aca="false">(G3533-H3533)/G3533</f>
        <v>0.559577677224736</v>
      </c>
      <c r="J3533" s="15" t="n">
        <v>0.4565</v>
      </c>
      <c r="K3533" s="11" t="str">
        <f aca="false">IF(I3533&lt;J3533,"TAK","NIE")</f>
        <v>NIE</v>
      </c>
    </row>
    <row r="3534" customFormat="false" ht="15" hidden="false" customHeight="false" outlineLevel="0" collapsed="false">
      <c r="A3534" s="5" t="s">
        <v>712</v>
      </c>
      <c r="B3534" s="5" t="s">
        <v>96</v>
      </c>
      <c r="C3534" s="5" t="n">
        <v>2023</v>
      </c>
      <c r="D3534" s="5" t="s">
        <v>64</v>
      </c>
      <c r="E3534" s="5" t="s">
        <v>57</v>
      </c>
      <c r="F3534" s="5" t="s">
        <v>40</v>
      </c>
      <c r="G3534" s="6" t="n">
        <v>663</v>
      </c>
      <c r="H3534" s="6" t="n">
        <v>175</v>
      </c>
      <c r="I3534" s="7" t="n">
        <f aca="false">(G3534-H3534)/G3534</f>
        <v>0.73604826546003</v>
      </c>
      <c r="J3534" s="15" t="n">
        <v>0.4565</v>
      </c>
      <c r="K3534" s="11" t="str">
        <f aca="false">IF(I3534&lt;J3534,"TAK","NIE")</f>
        <v>NIE</v>
      </c>
    </row>
    <row r="3535" customFormat="false" ht="15" hidden="false" customHeight="false" outlineLevel="0" collapsed="false">
      <c r="A3535" s="5" t="s">
        <v>713</v>
      </c>
      <c r="B3535" s="5" t="s">
        <v>96</v>
      </c>
      <c r="C3535" s="5" t="n">
        <v>2023</v>
      </c>
      <c r="D3535" s="5" t="s">
        <v>64</v>
      </c>
      <c r="E3535" s="5" t="s">
        <v>57</v>
      </c>
      <c r="F3535" s="5" t="s">
        <v>40</v>
      </c>
      <c r="G3535" s="6" t="n">
        <v>657</v>
      </c>
      <c r="H3535" s="6" t="n">
        <v>171</v>
      </c>
      <c r="I3535" s="7" t="n">
        <f aca="false">(G3535-H3535)/G3535</f>
        <v>0.73972602739726</v>
      </c>
      <c r="J3535" s="15" t="n">
        <v>0.4565</v>
      </c>
      <c r="K3535" s="11" t="str">
        <f aca="false">IF(I3535&lt;J3535,"TAK","NIE")</f>
        <v>NIE</v>
      </c>
    </row>
    <row r="3536" customFormat="false" ht="15" hidden="false" customHeight="false" outlineLevel="0" collapsed="false">
      <c r="A3536" s="5" t="s">
        <v>714</v>
      </c>
      <c r="B3536" s="5" t="s">
        <v>96</v>
      </c>
      <c r="C3536" s="5" t="n">
        <v>2023</v>
      </c>
      <c r="D3536" s="5" t="s">
        <v>64</v>
      </c>
      <c r="E3536" s="5" t="s">
        <v>57</v>
      </c>
      <c r="F3536" s="5" t="s">
        <v>40</v>
      </c>
      <c r="G3536" s="6" t="n">
        <v>649</v>
      </c>
      <c r="H3536" s="6" t="n">
        <v>221</v>
      </c>
      <c r="I3536" s="7" t="n">
        <f aca="false">(G3536-H3536)/G3536</f>
        <v>0.659476117103236</v>
      </c>
      <c r="J3536" s="15" t="n">
        <v>0.4565</v>
      </c>
      <c r="K3536" s="11" t="str">
        <f aca="false">IF(I3536&lt;J3536,"TAK","NIE")</f>
        <v>NIE</v>
      </c>
    </row>
    <row r="3537" customFormat="false" ht="15" hidden="false" customHeight="false" outlineLevel="0" collapsed="false">
      <c r="A3537" s="5" t="s">
        <v>715</v>
      </c>
      <c r="B3537" s="5" t="s">
        <v>96</v>
      </c>
      <c r="C3537" s="5" t="n">
        <v>2023</v>
      </c>
      <c r="D3537" s="5" t="s">
        <v>64</v>
      </c>
      <c r="E3537" s="5" t="s">
        <v>57</v>
      </c>
      <c r="F3537" s="5" t="s">
        <v>40</v>
      </c>
      <c r="G3537" s="6" t="n">
        <v>665</v>
      </c>
      <c r="H3537" s="6" t="n">
        <v>266</v>
      </c>
      <c r="I3537" s="7" t="n">
        <f aca="false">(G3537-H3537)/G3537</f>
        <v>0.6</v>
      </c>
      <c r="J3537" s="15" t="n">
        <v>0.4565</v>
      </c>
      <c r="K3537" s="11" t="str">
        <f aca="false">IF(I3537&lt;J3537,"TAK","NIE")</f>
        <v>NIE</v>
      </c>
    </row>
    <row r="3538" customFormat="false" ht="15" hidden="false" customHeight="false" outlineLevel="0" collapsed="false">
      <c r="A3538" s="5" t="s">
        <v>716</v>
      </c>
      <c r="B3538" s="5" t="s">
        <v>96</v>
      </c>
      <c r="C3538" s="5" t="n">
        <v>2023</v>
      </c>
      <c r="D3538" s="5" t="s">
        <v>64</v>
      </c>
      <c r="E3538" s="5" t="s">
        <v>57</v>
      </c>
      <c r="F3538" s="5" t="s">
        <v>40</v>
      </c>
      <c r="G3538" s="6" t="n">
        <v>651</v>
      </c>
      <c r="H3538" s="6" t="n">
        <v>124</v>
      </c>
      <c r="I3538" s="7" t="n">
        <f aca="false">(G3538-H3538)/G3538</f>
        <v>0.80952380952381</v>
      </c>
      <c r="J3538" s="15" t="n">
        <v>0.4565</v>
      </c>
      <c r="K3538" s="11" t="str">
        <f aca="false">IF(I3538&lt;J3538,"TAK","NIE")</f>
        <v>NIE</v>
      </c>
    </row>
    <row r="3539" customFormat="false" ht="15" hidden="false" customHeight="false" outlineLevel="0" collapsed="false">
      <c r="A3539" s="5" t="s">
        <v>693</v>
      </c>
      <c r="B3539" s="5" t="s">
        <v>63</v>
      </c>
      <c r="C3539" s="5" t="n">
        <v>2023</v>
      </c>
      <c r="D3539" s="5" t="s">
        <v>64</v>
      </c>
      <c r="E3539" s="5" t="s">
        <v>75</v>
      </c>
      <c r="F3539" s="5" t="s">
        <v>39</v>
      </c>
      <c r="G3539" s="6" t="n">
        <v>583</v>
      </c>
      <c r="H3539" s="6" t="n">
        <v>82</v>
      </c>
      <c r="I3539" s="7" t="n">
        <f aca="false">(G3539-H3539)/G3539</f>
        <v>0.859348198970841</v>
      </c>
      <c r="J3539" s="15" t="n">
        <v>0.5565</v>
      </c>
      <c r="K3539" s="11" t="str">
        <f aca="false">IF(I3539&lt;J3539,"TAK","NIE")</f>
        <v>NIE</v>
      </c>
    </row>
    <row r="3540" customFormat="false" ht="15" hidden="false" customHeight="false" outlineLevel="0" collapsed="false">
      <c r="A3540" s="5" t="s">
        <v>694</v>
      </c>
      <c r="B3540" s="5" t="s">
        <v>63</v>
      </c>
      <c r="C3540" s="5" t="n">
        <v>2023</v>
      </c>
      <c r="D3540" s="5" t="s">
        <v>64</v>
      </c>
      <c r="E3540" s="5" t="s">
        <v>75</v>
      </c>
      <c r="F3540" s="5" t="s">
        <v>39</v>
      </c>
      <c r="G3540" s="6" t="n">
        <v>583</v>
      </c>
      <c r="H3540" s="6" t="n">
        <v>90</v>
      </c>
      <c r="I3540" s="7" t="n">
        <f aca="false">(G3540-H3540)/G3540</f>
        <v>0.845626072041166</v>
      </c>
      <c r="J3540" s="15" t="n">
        <v>0.5565</v>
      </c>
      <c r="K3540" s="11" t="str">
        <f aca="false">IF(I3540&lt;J3540,"TAK","NIE")</f>
        <v>NIE</v>
      </c>
    </row>
    <row r="3541" customFormat="false" ht="15" hidden="false" customHeight="false" outlineLevel="0" collapsed="false">
      <c r="A3541" s="5" t="s">
        <v>695</v>
      </c>
      <c r="B3541" s="5" t="s">
        <v>63</v>
      </c>
      <c r="C3541" s="5" t="n">
        <v>2023</v>
      </c>
      <c r="D3541" s="5" t="s">
        <v>64</v>
      </c>
      <c r="E3541" s="5" t="s">
        <v>75</v>
      </c>
      <c r="F3541" s="5" t="s">
        <v>39</v>
      </c>
      <c r="G3541" s="6" t="n">
        <v>408</v>
      </c>
      <c r="H3541" s="6" t="n">
        <v>88</v>
      </c>
      <c r="I3541" s="7" t="n">
        <f aca="false">(G3541-H3541)/G3541</f>
        <v>0.784313725490196</v>
      </c>
      <c r="J3541" s="15" t="n">
        <v>0.5565</v>
      </c>
      <c r="K3541" s="11" t="str">
        <f aca="false">IF(I3541&lt;J3541,"TAK","NIE")</f>
        <v>NIE</v>
      </c>
    </row>
    <row r="3542" customFormat="false" ht="15" hidden="false" customHeight="false" outlineLevel="0" collapsed="false">
      <c r="A3542" s="5" t="s">
        <v>696</v>
      </c>
      <c r="B3542" s="5" t="s">
        <v>63</v>
      </c>
      <c r="C3542" s="5" t="n">
        <v>2023</v>
      </c>
      <c r="D3542" s="5" t="s">
        <v>64</v>
      </c>
      <c r="E3542" s="5" t="s">
        <v>75</v>
      </c>
      <c r="F3542" s="5" t="s">
        <v>39</v>
      </c>
      <c r="G3542" s="6" t="n">
        <v>581</v>
      </c>
      <c r="H3542" s="6" t="n">
        <v>158</v>
      </c>
      <c r="I3542" s="7" t="n">
        <f aca="false">(G3542-H3542)/G3542</f>
        <v>0.728055077452668</v>
      </c>
      <c r="J3542" s="15" t="n">
        <v>0.5565</v>
      </c>
      <c r="K3542" s="11" t="str">
        <f aca="false">IF(I3542&lt;J3542,"TAK","NIE")</f>
        <v>NIE</v>
      </c>
    </row>
    <row r="3543" customFormat="false" ht="15" hidden="false" customHeight="false" outlineLevel="0" collapsed="false">
      <c r="A3543" s="5" t="s">
        <v>697</v>
      </c>
      <c r="B3543" s="5" t="s">
        <v>63</v>
      </c>
      <c r="C3543" s="5" t="n">
        <v>2023</v>
      </c>
      <c r="D3543" s="5" t="s">
        <v>64</v>
      </c>
      <c r="E3543" s="5" t="s">
        <v>75</v>
      </c>
      <c r="F3543" s="5" t="s">
        <v>39</v>
      </c>
      <c r="G3543" s="6" t="n">
        <v>581</v>
      </c>
      <c r="H3543" s="6" t="n">
        <v>85</v>
      </c>
      <c r="I3543" s="7" t="n">
        <f aca="false">(G3543-H3543)/G3543</f>
        <v>0.853700516351119</v>
      </c>
      <c r="J3543" s="15" t="n">
        <v>0.5565</v>
      </c>
      <c r="K3543" s="11" t="str">
        <f aca="false">IF(I3543&lt;J3543,"TAK","NIE")</f>
        <v>NIE</v>
      </c>
    </row>
    <row r="3544" customFormat="false" ht="15" hidden="false" customHeight="false" outlineLevel="0" collapsed="false">
      <c r="A3544" s="5" t="s">
        <v>698</v>
      </c>
      <c r="B3544" s="5" t="s">
        <v>63</v>
      </c>
      <c r="C3544" s="5" t="n">
        <v>2023</v>
      </c>
      <c r="D3544" s="5" t="s">
        <v>64</v>
      </c>
      <c r="E3544" s="5" t="s">
        <v>75</v>
      </c>
      <c r="F3544" s="5" t="s">
        <v>39</v>
      </c>
      <c r="G3544" s="6" t="n">
        <v>581</v>
      </c>
      <c r="H3544" s="6" t="n">
        <v>71</v>
      </c>
      <c r="I3544" s="7" t="n">
        <f aca="false">(G3544-H3544)/G3544</f>
        <v>0.877796901893287</v>
      </c>
      <c r="J3544" s="15" t="n">
        <v>0.5565</v>
      </c>
      <c r="K3544" s="11" t="str">
        <f aca="false">IF(I3544&lt;J3544,"TAK","NIE")</f>
        <v>NIE</v>
      </c>
    </row>
    <row r="3545" customFormat="false" ht="15" hidden="false" customHeight="false" outlineLevel="0" collapsed="false">
      <c r="A3545" s="5" t="s">
        <v>581</v>
      </c>
      <c r="B3545" s="5" t="s">
        <v>63</v>
      </c>
      <c r="C3545" s="5" t="n">
        <v>2023</v>
      </c>
      <c r="D3545" s="5" t="s">
        <v>64</v>
      </c>
      <c r="E3545" s="5" t="s">
        <v>75</v>
      </c>
      <c r="F3545" s="5" t="s">
        <v>39</v>
      </c>
      <c r="G3545" s="6" t="n">
        <v>580</v>
      </c>
      <c r="H3545" s="6" t="n">
        <v>159</v>
      </c>
      <c r="I3545" s="7" t="n">
        <f aca="false">(G3545-H3545)/G3545</f>
        <v>0.725862068965517</v>
      </c>
      <c r="J3545" s="15" t="n">
        <v>0.5565</v>
      </c>
      <c r="K3545" s="11" t="str">
        <f aca="false">IF(I3545&lt;J3545,"TAK","NIE")</f>
        <v>NIE</v>
      </c>
    </row>
    <row r="3546" customFormat="false" ht="15" hidden="false" customHeight="false" outlineLevel="0" collapsed="false">
      <c r="A3546" s="5" t="s">
        <v>582</v>
      </c>
      <c r="B3546" s="5" t="s">
        <v>63</v>
      </c>
      <c r="C3546" s="5" t="n">
        <v>2023</v>
      </c>
      <c r="D3546" s="5" t="s">
        <v>64</v>
      </c>
      <c r="E3546" s="5" t="s">
        <v>75</v>
      </c>
      <c r="F3546" s="5" t="s">
        <v>39</v>
      </c>
      <c r="G3546" s="6" t="n">
        <v>581</v>
      </c>
      <c r="H3546" s="6" t="n">
        <v>69</v>
      </c>
      <c r="I3546" s="7" t="n">
        <f aca="false">(G3546-H3546)/G3546</f>
        <v>0.881239242685026</v>
      </c>
      <c r="J3546" s="15" t="n">
        <v>0.5565</v>
      </c>
      <c r="K3546" s="11" t="str">
        <f aca="false">IF(I3546&lt;J3546,"TAK","NIE")</f>
        <v>NIE</v>
      </c>
    </row>
    <row r="3547" customFormat="false" ht="15" hidden="false" customHeight="false" outlineLevel="0" collapsed="false">
      <c r="A3547" s="5" t="s">
        <v>699</v>
      </c>
      <c r="B3547" s="5" t="s">
        <v>63</v>
      </c>
      <c r="C3547" s="5" t="n">
        <v>2023</v>
      </c>
      <c r="D3547" s="5" t="s">
        <v>64</v>
      </c>
      <c r="E3547" s="5" t="s">
        <v>75</v>
      </c>
      <c r="F3547" s="5" t="s">
        <v>39</v>
      </c>
      <c r="G3547" s="6" t="n">
        <v>581</v>
      </c>
      <c r="H3547" s="6" t="n">
        <v>72</v>
      </c>
      <c r="I3547" s="7" t="n">
        <f aca="false">(G3547-H3547)/G3547</f>
        <v>0.876075731497418</v>
      </c>
      <c r="J3547" s="15" t="n">
        <v>0.5565</v>
      </c>
      <c r="K3547" s="11" t="str">
        <f aca="false">IF(I3547&lt;J3547,"TAK","NIE")</f>
        <v>NIE</v>
      </c>
    </row>
    <row r="3548" customFormat="false" ht="15" hidden="false" customHeight="false" outlineLevel="0" collapsed="false">
      <c r="A3548" s="5" t="s">
        <v>700</v>
      </c>
      <c r="B3548" s="5" t="s">
        <v>63</v>
      </c>
      <c r="C3548" s="5" t="n">
        <v>2023</v>
      </c>
      <c r="D3548" s="5" t="s">
        <v>64</v>
      </c>
      <c r="E3548" s="5" t="s">
        <v>75</v>
      </c>
      <c r="F3548" s="5" t="s">
        <v>39</v>
      </c>
      <c r="G3548" s="6" t="n">
        <v>583</v>
      </c>
      <c r="H3548" s="6" t="n">
        <v>153</v>
      </c>
      <c r="I3548" s="7" t="n">
        <f aca="false">(G3548-H3548)/G3548</f>
        <v>0.737564322469983</v>
      </c>
      <c r="J3548" s="15" t="n">
        <v>0.5565</v>
      </c>
      <c r="K3548" s="11" t="str">
        <f aca="false">IF(I3548&lt;J3548,"TAK","NIE")</f>
        <v>NIE</v>
      </c>
    </row>
    <row r="3549" customFormat="false" ht="15" hidden="false" customHeight="false" outlineLevel="0" collapsed="false">
      <c r="A3549" s="5" t="s">
        <v>701</v>
      </c>
      <c r="B3549" s="5" t="s">
        <v>63</v>
      </c>
      <c r="C3549" s="5" t="n">
        <v>2023</v>
      </c>
      <c r="D3549" s="5" t="s">
        <v>64</v>
      </c>
      <c r="E3549" s="5" t="s">
        <v>75</v>
      </c>
      <c r="F3549" s="5" t="s">
        <v>39</v>
      </c>
      <c r="G3549" s="6" t="n">
        <v>553</v>
      </c>
      <c r="H3549" s="6" t="n">
        <v>226</v>
      </c>
      <c r="I3549" s="7" t="n">
        <f aca="false">(G3549-H3549)/G3549</f>
        <v>0.591320072332731</v>
      </c>
      <c r="J3549" s="15" t="n">
        <v>0.5565</v>
      </c>
      <c r="K3549" s="11" t="str">
        <f aca="false">IF(I3549&lt;J3549,"TAK","NIE")</f>
        <v>NIE</v>
      </c>
    </row>
    <row r="3550" customFormat="false" ht="15" hidden="false" customHeight="false" outlineLevel="0" collapsed="false">
      <c r="A3550" s="5" t="s">
        <v>702</v>
      </c>
      <c r="B3550" s="5" t="s">
        <v>63</v>
      </c>
      <c r="C3550" s="5" t="n">
        <v>2023</v>
      </c>
      <c r="D3550" s="5" t="s">
        <v>64</v>
      </c>
      <c r="E3550" s="5" t="s">
        <v>75</v>
      </c>
      <c r="F3550" s="5" t="s">
        <v>39</v>
      </c>
      <c r="G3550" s="6" t="n">
        <v>583</v>
      </c>
      <c r="H3550" s="6" t="n">
        <v>122</v>
      </c>
      <c r="I3550" s="7" t="n">
        <f aca="false">(G3550-H3550)/G3550</f>
        <v>0.79073756432247</v>
      </c>
      <c r="J3550" s="15" t="n">
        <v>0.5565</v>
      </c>
      <c r="K3550" s="11" t="str">
        <f aca="false">IF(I3550&lt;J3550,"TAK","NIE")</f>
        <v>NIE</v>
      </c>
    </row>
    <row r="3551" customFormat="false" ht="15" hidden="false" customHeight="false" outlineLevel="0" collapsed="false">
      <c r="A3551" s="5" t="s">
        <v>703</v>
      </c>
      <c r="B3551" s="5" t="s">
        <v>63</v>
      </c>
      <c r="C3551" s="5" t="n">
        <v>2023</v>
      </c>
      <c r="D3551" s="5" t="s">
        <v>64</v>
      </c>
      <c r="E3551" s="5" t="s">
        <v>75</v>
      </c>
      <c r="F3551" s="5" t="s">
        <v>39</v>
      </c>
      <c r="G3551" s="6" t="n">
        <v>583</v>
      </c>
      <c r="H3551" s="6" t="n">
        <v>81</v>
      </c>
      <c r="I3551" s="7" t="n">
        <f aca="false">(G3551-H3551)/G3551</f>
        <v>0.86106346483705</v>
      </c>
      <c r="J3551" s="15" t="n">
        <v>0.5565</v>
      </c>
      <c r="K3551" s="11" t="str">
        <f aca="false">IF(I3551&lt;J3551,"TAK","NIE")</f>
        <v>NIE</v>
      </c>
    </row>
    <row r="3552" customFormat="false" ht="15" hidden="false" customHeight="false" outlineLevel="0" collapsed="false">
      <c r="A3552" s="5" t="s">
        <v>704</v>
      </c>
      <c r="B3552" s="5" t="s">
        <v>63</v>
      </c>
      <c r="C3552" s="5" t="n">
        <v>2023</v>
      </c>
      <c r="D3552" s="5" t="s">
        <v>64</v>
      </c>
      <c r="E3552" s="5" t="s">
        <v>75</v>
      </c>
      <c r="F3552" s="5" t="s">
        <v>39</v>
      </c>
      <c r="G3552" s="6" t="n">
        <v>583</v>
      </c>
      <c r="H3552" s="6" t="n">
        <v>150</v>
      </c>
      <c r="I3552" s="7" t="n">
        <f aca="false">(G3552-H3552)/G3552</f>
        <v>0.742710120068611</v>
      </c>
      <c r="J3552" s="15" t="n">
        <v>0.5565</v>
      </c>
      <c r="K3552" s="11" t="str">
        <f aca="false">IF(I3552&lt;J3552,"TAK","NIE")</f>
        <v>NIE</v>
      </c>
    </row>
    <row r="3553" customFormat="false" ht="15" hidden="false" customHeight="false" outlineLevel="0" collapsed="false">
      <c r="A3553" s="5" t="s">
        <v>706</v>
      </c>
      <c r="B3553" s="5" t="s">
        <v>63</v>
      </c>
      <c r="C3553" s="5" t="n">
        <v>2023</v>
      </c>
      <c r="D3553" s="5" t="s">
        <v>64</v>
      </c>
      <c r="E3553" s="5" t="s">
        <v>75</v>
      </c>
      <c r="F3553" s="5" t="s">
        <v>39</v>
      </c>
      <c r="G3553" s="6" t="n">
        <v>583</v>
      </c>
      <c r="H3553" s="6" t="n">
        <v>46</v>
      </c>
      <c r="I3553" s="7" t="n">
        <f aca="false">(G3553-H3553)/G3553</f>
        <v>0.921097770154374</v>
      </c>
      <c r="J3553" s="15" t="n">
        <v>0.5565</v>
      </c>
      <c r="K3553" s="11" t="str">
        <f aca="false">IF(I3553&lt;J3553,"TAK","NIE")</f>
        <v>NIE</v>
      </c>
    </row>
    <row r="3554" customFormat="false" ht="15" hidden="false" customHeight="false" outlineLevel="0" collapsed="false">
      <c r="A3554" s="5" t="s">
        <v>707</v>
      </c>
      <c r="B3554" s="5" t="s">
        <v>63</v>
      </c>
      <c r="C3554" s="5" t="n">
        <v>2023</v>
      </c>
      <c r="D3554" s="5" t="s">
        <v>64</v>
      </c>
      <c r="E3554" s="5" t="s">
        <v>75</v>
      </c>
      <c r="F3554" s="5" t="s">
        <v>39</v>
      </c>
      <c r="G3554" s="6" t="n">
        <v>581</v>
      </c>
      <c r="H3554" s="6" t="n">
        <v>108</v>
      </c>
      <c r="I3554" s="7" t="n">
        <f aca="false">(G3554-H3554)/G3554</f>
        <v>0.814113597246127</v>
      </c>
      <c r="J3554" s="15" t="n">
        <v>0.5565</v>
      </c>
      <c r="K3554" s="11" t="str">
        <f aca="false">IF(I3554&lt;J3554,"TAK","NIE")</f>
        <v>NIE</v>
      </c>
    </row>
    <row r="3555" customFormat="false" ht="15" hidden="false" customHeight="false" outlineLevel="0" collapsed="false">
      <c r="A3555" s="5" t="s">
        <v>708</v>
      </c>
      <c r="B3555" s="5" t="s">
        <v>63</v>
      </c>
      <c r="C3555" s="5" t="n">
        <v>2023</v>
      </c>
      <c r="D3555" s="5" t="s">
        <v>64</v>
      </c>
      <c r="E3555" s="5" t="s">
        <v>75</v>
      </c>
      <c r="F3555" s="5" t="s">
        <v>39</v>
      </c>
      <c r="G3555" s="6" t="n">
        <v>581</v>
      </c>
      <c r="H3555" s="6" t="n">
        <v>101</v>
      </c>
      <c r="I3555" s="7" t="n">
        <f aca="false">(G3555-H3555)/G3555</f>
        <v>0.826161790017212</v>
      </c>
      <c r="J3555" s="15" t="n">
        <v>0.5565</v>
      </c>
      <c r="K3555" s="11" t="str">
        <f aca="false">IF(I3555&lt;J3555,"TAK","NIE")</f>
        <v>NIE</v>
      </c>
    </row>
    <row r="3556" customFormat="false" ht="15" hidden="false" customHeight="false" outlineLevel="0" collapsed="false">
      <c r="A3556" s="5" t="s">
        <v>709</v>
      </c>
      <c r="B3556" s="5" t="s">
        <v>63</v>
      </c>
      <c r="C3556" s="5" t="n">
        <v>2023</v>
      </c>
      <c r="D3556" s="5" t="s">
        <v>64</v>
      </c>
      <c r="E3556" s="5" t="s">
        <v>75</v>
      </c>
      <c r="F3556" s="5" t="s">
        <v>39</v>
      </c>
      <c r="G3556" s="6" t="n">
        <v>583</v>
      </c>
      <c r="H3556" s="6" t="n">
        <v>54</v>
      </c>
      <c r="I3556" s="7" t="n">
        <f aca="false">(G3556-H3556)/G3556</f>
        <v>0.9073756432247</v>
      </c>
      <c r="J3556" s="15" t="n">
        <v>0.5565</v>
      </c>
      <c r="K3556" s="11" t="str">
        <f aca="false">IF(I3556&lt;J3556,"TAK","NIE")</f>
        <v>NIE</v>
      </c>
    </row>
    <row r="3557" customFormat="false" ht="15" hidden="false" customHeight="false" outlineLevel="0" collapsed="false">
      <c r="A3557" s="5" t="s">
        <v>710</v>
      </c>
      <c r="B3557" s="5" t="s">
        <v>63</v>
      </c>
      <c r="C3557" s="5" t="n">
        <v>2023</v>
      </c>
      <c r="D3557" s="5" t="s">
        <v>64</v>
      </c>
      <c r="E3557" s="5" t="s">
        <v>75</v>
      </c>
      <c r="F3557" s="5" t="s">
        <v>39</v>
      </c>
      <c r="G3557" s="6" t="n">
        <v>583</v>
      </c>
      <c r="H3557" s="6" t="n">
        <v>93</v>
      </c>
      <c r="I3557" s="7" t="n">
        <f aca="false">(G3557-H3557)/G3557</f>
        <v>0.840480274442539</v>
      </c>
      <c r="J3557" s="15" t="n">
        <v>0.5565</v>
      </c>
      <c r="K3557" s="11" t="str">
        <f aca="false">IF(I3557&lt;J3557,"TAK","NIE")</f>
        <v>NIE</v>
      </c>
    </row>
    <row r="3558" customFormat="false" ht="15" hidden="false" customHeight="false" outlineLevel="0" collapsed="false">
      <c r="A3558" s="5" t="s">
        <v>711</v>
      </c>
      <c r="B3558" s="5" t="s">
        <v>63</v>
      </c>
      <c r="C3558" s="5" t="n">
        <v>2023</v>
      </c>
      <c r="D3558" s="5" t="s">
        <v>64</v>
      </c>
      <c r="E3558" s="5" t="s">
        <v>75</v>
      </c>
      <c r="F3558" s="5" t="s">
        <v>39</v>
      </c>
      <c r="G3558" s="6" t="n">
        <v>581</v>
      </c>
      <c r="H3558" s="6" t="n">
        <v>207</v>
      </c>
      <c r="I3558" s="7" t="n">
        <f aca="false">(G3558-H3558)/G3558</f>
        <v>0.643717728055077</v>
      </c>
      <c r="J3558" s="15" t="n">
        <v>0.5565</v>
      </c>
      <c r="K3558" s="11" t="str">
        <f aca="false">IF(I3558&lt;J3558,"TAK","NIE")</f>
        <v>NIE</v>
      </c>
    </row>
    <row r="3559" customFormat="false" ht="15" hidden="false" customHeight="false" outlineLevel="0" collapsed="false">
      <c r="A3559" s="5" t="s">
        <v>712</v>
      </c>
      <c r="B3559" s="5" t="s">
        <v>63</v>
      </c>
      <c r="C3559" s="5" t="n">
        <v>2023</v>
      </c>
      <c r="D3559" s="5" t="s">
        <v>64</v>
      </c>
      <c r="E3559" s="5" t="s">
        <v>75</v>
      </c>
      <c r="F3559" s="5" t="s">
        <v>39</v>
      </c>
      <c r="G3559" s="6" t="n">
        <v>581</v>
      </c>
      <c r="H3559" s="6" t="n">
        <v>94</v>
      </c>
      <c r="I3559" s="7" t="n">
        <f aca="false">(G3559-H3559)/G3559</f>
        <v>0.838209982788296</v>
      </c>
      <c r="J3559" s="15" t="n">
        <v>0.5565</v>
      </c>
      <c r="K3559" s="11" t="str">
        <f aca="false">IF(I3559&lt;J3559,"TAK","NIE")</f>
        <v>NIE</v>
      </c>
    </row>
    <row r="3560" customFormat="false" ht="15" hidden="false" customHeight="false" outlineLevel="0" collapsed="false">
      <c r="A3560" s="5" t="s">
        <v>713</v>
      </c>
      <c r="B3560" s="5" t="s">
        <v>63</v>
      </c>
      <c r="C3560" s="5" t="n">
        <v>2023</v>
      </c>
      <c r="D3560" s="5" t="s">
        <v>64</v>
      </c>
      <c r="E3560" s="5" t="s">
        <v>75</v>
      </c>
      <c r="F3560" s="5" t="s">
        <v>39</v>
      </c>
      <c r="G3560" s="6" t="n">
        <v>583</v>
      </c>
      <c r="H3560" s="6" t="n">
        <v>84</v>
      </c>
      <c r="I3560" s="7" t="n">
        <f aca="false">(G3560-H3560)/G3560</f>
        <v>0.855917667238422</v>
      </c>
      <c r="J3560" s="15" t="n">
        <v>0.5565</v>
      </c>
      <c r="K3560" s="11" t="str">
        <f aca="false">IF(I3560&lt;J3560,"TAK","NIE")</f>
        <v>NIE</v>
      </c>
    </row>
    <row r="3561" customFormat="false" ht="15" hidden="false" customHeight="false" outlineLevel="0" collapsed="false">
      <c r="A3561" s="5" t="s">
        <v>714</v>
      </c>
      <c r="B3561" s="5" t="s">
        <v>63</v>
      </c>
      <c r="C3561" s="5" t="n">
        <v>2023</v>
      </c>
      <c r="D3561" s="5" t="s">
        <v>64</v>
      </c>
      <c r="E3561" s="5" t="s">
        <v>75</v>
      </c>
      <c r="F3561" s="5" t="s">
        <v>39</v>
      </c>
      <c r="G3561" s="6" t="n">
        <v>581</v>
      </c>
      <c r="H3561" s="6" t="n">
        <v>207</v>
      </c>
      <c r="I3561" s="7" t="n">
        <f aca="false">(G3561-H3561)/G3561</f>
        <v>0.643717728055077</v>
      </c>
      <c r="J3561" s="15" t="n">
        <v>0.5565</v>
      </c>
      <c r="K3561" s="11" t="str">
        <f aca="false">IF(I3561&lt;J3561,"TAK","NIE")</f>
        <v>NIE</v>
      </c>
    </row>
    <row r="3562" customFormat="false" ht="15" hidden="false" customHeight="false" outlineLevel="0" collapsed="false">
      <c r="A3562" s="5" t="s">
        <v>715</v>
      </c>
      <c r="B3562" s="5" t="s">
        <v>63</v>
      </c>
      <c r="C3562" s="5" t="n">
        <v>2023</v>
      </c>
      <c r="D3562" s="5" t="s">
        <v>64</v>
      </c>
      <c r="E3562" s="5" t="s">
        <v>75</v>
      </c>
      <c r="F3562" s="5" t="s">
        <v>39</v>
      </c>
      <c r="G3562" s="6" t="n">
        <v>583</v>
      </c>
      <c r="H3562" s="6" t="n">
        <v>178</v>
      </c>
      <c r="I3562" s="7" t="n">
        <f aca="false">(G3562-H3562)/G3562</f>
        <v>0.694682675814751</v>
      </c>
      <c r="J3562" s="15" t="n">
        <v>0.5565</v>
      </c>
      <c r="K3562" s="11" t="str">
        <f aca="false">IF(I3562&lt;J3562,"TAK","NIE")</f>
        <v>NIE</v>
      </c>
    </row>
    <row r="3563" customFormat="false" ht="15" hidden="false" customHeight="false" outlineLevel="0" collapsed="false">
      <c r="A3563" s="5" t="s">
        <v>716</v>
      </c>
      <c r="B3563" s="5" t="s">
        <v>63</v>
      </c>
      <c r="C3563" s="5" t="n">
        <v>2023</v>
      </c>
      <c r="D3563" s="5" t="s">
        <v>64</v>
      </c>
      <c r="E3563" s="5" t="s">
        <v>75</v>
      </c>
      <c r="F3563" s="5" t="s">
        <v>39</v>
      </c>
      <c r="G3563" s="6" t="n">
        <v>583</v>
      </c>
      <c r="H3563" s="6" t="n">
        <v>95</v>
      </c>
      <c r="I3563" s="7" t="n">
        <f aca="false">(G3563-H3563)/G3563</f>
        <v>0.83704974271012</v>
      </c>
      <c r="J3563" s="15" t="n">
        <v>0.5565</v>
      </c>
      <c r="K3563" s="11" t="str">
        <f aca="false">IF(I3563&lt;J3563,"TAK","NIE")</f>
        <v>NIE</v>
      </c>
    </row>
    <row r="3564" customFormat="false" ht="15" hidden="false" customHeight="false" outlineLevel="0" collapsed="false">
      <c r="A3564" s="5" t="s">
        <v>693</v>
      </c>
      <c r="B3564" s="5" t="s">
        <v>63</v>
      </c>
      <c r="C3564" s="5" t="n">
        <v>2023</v>
      </c>
      <c r="D3564" s="5" t="s">
        <v>64</v>
      </c>
      <c r="E3564" s="5" t="s">
        <v>75</v>
      </c>
      <c r="F3564" s="5" t="s">
        <v>40</v>
      </c>
      <c r="G3564" s="6" t="n">
        <v>714</v>
      </c>
      <c r="H3564" s="6" t="n">
        <v>157</v>
      </c>
      <c r="I3564" s="7" t="n">
        <f aca="false">(G3564-H3564)/G3564</f>
        <v>0.780112044817927</v>
      </c>
      <c r="J3564" s="15" t="n">
        <v>0.3895</v>
      </c>
      <c r="K3564" s="11" t="str">
        <f aca="false">IF(I3564&lt;J3564,"TAK","NIE")</f>
        <v>NIE</v>
      </c>
    </row>
    <row r="3565" customFormat="false" ht="15" hidden="false" customHeight="false" outlineLevel="0" collapsed="false">
      <c r="A3565" s="5" t="s">
        <v>694</v>
      </c>
      <c r="B3565" s="5" t="s">
        <v>63</v>
      </c>
      <c r="C3565" s="5" t="n">
        <v>2023</v>
      </c>
      <c r="D3565" s="5" t="s">
        <v>64</v>
      </c>
      <c r="E3565" s="5" t="s">
        <v>75</v>
      </c>
      <c r="F3565" s="5" t="s">
        <v>40</v>
      </c>
      <c r="G3565" s="6" t="n">
        <v>714</v>
      </c>
      <c r="H3565" s="6" t="n">
        <v>216</v>
      </c>
      <c r="I3565" s="7" t="n">
        <f aca="false">(G3565-H3565)/G3565</f>
        <v>0.697478991596639</v>
      </c>
      <c r="J3565" s="15" t="n">
        <v>0.3895</v>
      </c>
      <c r="K3565" s="11" t="str">
        <f aca="false">IF(I3565&lt;J3565,"TAK","NIE")</f>
        <v>NIE</v>
      </c>
    </row>
    <row r="3566" customFormat="false" ht="15" hidden="false" customHeight="false" outlineLevel="0" collapsed="false">
      <c r="A3566" s="5" t="s">
        <v>695</v>
      </c>
      <c r="B3566" s="5" t="s">
        <v>63</v>
      </c>
      <c r="C3566" s="5" t="n">
        <v>2023</v>
      </c>
      <c r="D3566" s="5" t="s">
        <v>64</v>
      </c>
      <c r="E3566" s="5" t="s">
        <v>75</v>
      </c>
      <c r="F3566" s="5" t="s">
        <v>40</v>
      </c>
      <c r="G3566" s="6" t="n">
        <v>495</v>
      </c>
      <c r="H3566" s="6" t="n">
        <v>208</v>
      </c>
      <c r="I3566" s="7" t="n">
        <f aca="false">(G3566-H3566)/G3566</f>
        <v>0.57979797979798</v>
      </c>
      <c r="J3566" s="15" t="n">
        <v>0.3895</v>
      </c>
      <c r="K3566" s="11" t="str">
        <f aca="false">IF(I3566&lt;J3566,"TAK","NIE")</f>
        <v>NIE</v>
      </c>
    </row>
    <row r="3567" customFormat="false" ht="15" hidden="false" customHeight="false" outlineLevel="0" collapsed="false">
      <c r="A3567" s="5" t="s">
        <v>696</v>
      </c>
      <c r="B3567" s="5" t="s">
        <v>63</v>
      </c>
      <c r="C3567" s="5" t="n">
        <v>2023</v>
      </c>
      <c r="D3567" s="5" t="s">
        <v>64</v>
      </c>
      <c r="E3567" s="5" t="s">
        <v>75</v>
      </c>
      <c r="F3567" s="5" t="s">
        <v>40</v>
      </c>
      <c r="G3567" s="6" t="n">
        <v>711</v>
      </c>
      <c r="H3567" s="6" t="n">
        <v>287</v>
      </c>
      <c r="I3567" s="7" t="n">
        <f aca="false">(G3567-H3567)/G3567</f>
        <v>0.59634317862166</v>
      </c>
      <c r="J3567" s="15" t="n">
        <v>0.3895</v>
      </c>
      <c r="K3567" s="11" t="str">
        <f aca="false">IF(I3567&lt;J3567,"TAK","NIE")</f>
        <v>NIE</v>
      </c>
    </row>
    <row r="3568" customFormat="false" ht="15" hidden="false" customHeight="false" outlineLevel="0" collapsed="false">
      <c r="A3568" s="5" t="s">
        <v>697</v>
      </c>
      <c r="B3568" s="5" t="s">
        <v>63</v>
      </c>
      <c r="C3568" s="5" t="n">
        <v>2023</v>
      </c>
      <c r="D3568" s="5" t="s">
        <v>64</v>
      </c>
      <c r="E3568" s="5" t="s">
        <v>75</v>
      </c>
      <c r="F3568" s="5" t="s">
        <v>40</v>
      </c>
      <c r="G3568" s="6" t="n">
        <v>711</v>
      </c>
      <c r="H3568" s="6" t="n">
        <v>230</v>
      </c>
      <c r="I3568" s="7" t="n">
        <f aca="false">(G3568-H3568)/G3568</f>
        <v>0.676511954992968</v>
      </c>
      <c r="J3568" s="15" t="n">
        <v>0.3895</v>
      </c>
      <c r="K3568" s="11" t="str">
        <f aca="false">IF(I3568&lt;J3568,"TAK","NIE")</f>
        <v>NIE</v>
      </c>
    </row>
    <row r="3569" customFormat="false" ht="15" hidden="false" customHeight="false" outlineLevel="0" collapsed="false">
      <c r="A3569" s="5" t="s">
        <v>698</v>
      </c>
      <c r="B3569" s="5" t="s">
        <v>63</v>
      </c>
      <c r="C3569" s="5" t="n">
        <v>2023</v>
      </c>
      <c r="D3569" s="5" t="s">
        <v>64</v>
      </c>
      <c r="E3569" s="5" t="s">
        <v>75</v>
      </c>
      <c r="F3569" s="5" t="s">
        <v>40</v>
      </c>
      <c r="G3569" s="6" t="n">
        <v>711</v>
      </c>
      <c r="H3569" s="6" t="n">
        <v>187</v>
      </c>
      <c r="I3569" s="7" t="n">
        <f aca="false">(G3569-H3569)/G3569</f>
        <v>0.736990154711674</v>
      </c>
      <c r="J3569" s="15" t="n">
        <v>0.3895</v>
      </c>
      <c r="K3569" s="11" t="str">
        <f aca="false">IF(I3569&lt;J3569,"TAK","NIE")</f>
        <v>NIE</v>
      </c>
    </row>
    <row r="3570" customFormat="false" ht="15" hidden="false" customHeight="false" outlineLevel="0" collapsed="false">
      <c r="A3570" s="5" t="s">
        <v>581</v>
      </c>
      <c r="B3570" s="5" t="s">
        <v>63</v>
      </c>
      <c r="C3570" s="5" t="n">
        <v>2023</v>
      </c>
      <c r="D3570" s="5" t="s">
        <v>64</v>
      </c>
      <c r="E3570" s="5" t="s">
        <v>75</v>
      </c>
      <c r="F3570" s="5" t="s">
        <v>40</v>
      </c>
      <c r="G3570" s="6" t="n">
        <v>121</v>
      </c>
      <c r="H3570" s="6" t="n">
        <v>51</v>
      </c>
      <c r="I3570" s="7" t="n">
        <f aca="false">(G3570-H3570)/G3570</f>
        <v>0.578512396694215</v>
      </c>
      <c r="J3570" s="15" t="n">
        <v>0.3895</v>
      </c>
      <c r="K3570" s="11" t="str">
        <f aca="false">IF(I3570&lt;J3570,"TAK","NIE")</f>
        <v>NIE</v>
      </c>
    </row>
    <row r="3571" customFormat="false" ht="15" hidden="false" customHeight="false" outlineLevel="0" collapsed="false">
      <c r="A3571" s="5" t="s">
        <v>582</v>
      </c>
      <c r="B3571" s="5" t="s">
        <v>63</v>
      </c>
      <c r="C3571" s="5" t="n">
        <v>2023</v>
      </c>
      <c r="D3571" s="5" t="s">
        <v>64</v>
      </c>
      <c r="E3571" s="5" t="s">
        <v>75</v>
      </c>
      <c r="F3571" s="5" t="s">
        <v>40</v>
      </c>
      <c r="G3571" s="6" t="n">
        <v>711</v>
      </c>
      <c r="H3571" s="6" t="n">
        <v>232</v>
      </c>
      <c r="I3571" s="7" t="n">
        <f aca="false">(G3571-H3571)/G3571</f>
        <v>0.673699015471167</v>
      </c>
      <c r="J3571" s="15" t="n">
        <v>0.3895</v>
      </c>
      <c r="K3571" s="11" t="str">
        <f aca="false">IF(I3571&lt;J3571,"TAK","NIE")</f>
        <v>NIE</v>
      </c>
    </row>
    <row r="3572" customFormat="false" ht="15" hidden="false" customHeight="false" outlineLevel="0" collapsed="false">
      <c r="A3572" s="5" t="s">
        <v>699</v>
      </c>
      <c r="B3572" s="5" t="s">
        <v>63</v>
      </c>
      <c r="C3572" s="5" t="n">
        <v>2023</v>
      </c>
      <c r="D3572" s="5" t="s">
        <v>64</v>
      </c>
      <c r="E3572" s="5" t="s">
        <v>75</v>
      </c>
      <c r="F3572" s="5" t="s">
        <v>40</v>
      </c>
      <c r="G3572" s="6" t="n">
        <v>711</v>
      </c>
      <c r="H3572" s="6" t="n">
        <v>212</v>
      </c>
      <c r="I3572" s="7" t="n">
        <f aca="false">(G3572-H3572)/G3572</f>
        <v>0.70182841068917</v>
      </c>
      <c r="J3572" s="15" t="n">
        <v>0.3895</v>
      </c>
      <c r="K3572" s="11" t="str">
        <f aca="false">IF(I3572&lt;J3572,"TAK","NIE")</f>
        <v>NIE</v>
      </c>
    </row>
    <row r="3573" customFormat="false" ht="15" hidden="false" customHeight="false" outlineLevel="0" collapsed="false">
      <c r="A3573" s="5" t="s">
        <v>700</v>
      </c>
      <c r="B3573" s="5" t="s">
        <v>63</v>
      </c>
      <c r="C3573" s="5" t="n">
        <v>2023</v>
      </c>
      <c r="D3573" s="5" t="s">
        <v>64</v>
      </c>
      <c r="E3573" s="5" t="s">
        <v>75</v>
      </c>
      <c r="F3573" s="5" t="s">
        <v>40</v>
      </c>
      <c r="G3573" s="6" t="n">
        <v>714</v>
      </c>
      <c r="H3573" s="6" t="n">
        <v>287</v>
      </c>
      <c r="I3573" s="7" t="n">
        <f aca="false">(G3573-H3573)/G3573</f>
        <v>0.598039215686275</v>
      </c>
      <c r="J3573" s="15" t="n">
        <v>0.3895</v>
      </c>
      <c r="K3573" s="11" t="str">
        <f aca="false">IF(I3573&lt;J3573,"TAK","NIE")</f>
        <v>NIE</v>
      </c>
    </row>
    <row r="3574" customFormat="false" ht="15" hidden="false" customHeight="false" outlineLevel="0" collapsed="false">
      <c r="A3574" s="5" t="s">
        <v>701</v>
      </c>
      <c r="B3574" s="5" t="s">
        <v>63</v>
      </c>
      <c r="C3574" s="5" t="n">
        <v>2023</v>
      </c>
      <c r="D3574" s="5" t="s">
        <v>64</v>
      </c>
      <c r="E3574" s="5" t="s">
        <v>75</v>
      </c>
      <c r="F3574" s="5" t="s">
        <v>40</v>
      </c>
      <c r="G3574" s="6" t="n">
        <v>675</v>
      </c>
      <c r="H3574" s="6" t="n">
        <v>411</v>
      </c>
      <c r="I3574" s="7" t="n">
        <f aca="false">(G3574-H3574)/G3574</f>
        <v>0.391111111111111</v>
      </c>
      <c r="J3574" s="15" t="n">
        <v>0.3895</v>
      </c>
      <c r="K3574" s="11" t="str">
        <f aca="false">IF(I3574&lt;J3574,"TAK","NIE")</f>
        <v>NIE</v>
      </c>
    </row>
    <row r="3575" customFormat="false" ht="15" hidden="false" customHeight="false" outlineLevel="0" collapsed="false">
      <c r="A3575" s="5" t="s">
        <v>702</v>
      </c>
      <c r="B3575" s="5" t="s">
        <v>63</v>
      </c>
      <c r="C3575" s="5" t="n">
        <v>2023</v>
      </c>
      <c r="D3575" s="5" t="s">
        <v>64</v>
      </c>
      <c r="E3575" s="5" t="s">
        <v>75</v>
      </c>
      <c r="F3575" s="5" t="s">
        <v>40</v>
      </c>
      <c r="G3575" s="6" t="n">
        <v>714</v>
      </c>
      <c r="H3575" s="6" t="n">
        <v>257</v>
      </c>
      <c r="I3575" s="7" t="n">
        <f aca="false">(G3575-H3575)/G3575</f>
        <v>0.640056022408964</v>
      </c>
      <c r="J3575" s="15" t="n">
        <v>0.3895</v>
      </c>
      <c r="K3575" s="11" t="str">
        <f aca="false">IF(I3575&lt;J3575,"TAK","NIE")</f>
        <v>NIE</v>
      </c>
    </row>
    <row r="3576" customFormat="false" ht="15" hidden="false" customHeight="false" outlineLevel="0" collapsed="false">
      <c r="A3576" s="5" t="s">
        <v>703</v>
      </c>
      <c r="B3576" s="5" t="s">
        <v>63</v>
      </c>
      <c r="C3576" s="5" t="n">
        <v>2023</v>
      </c>
      <c r="D3576" s="5" t="s">
        <v>64</v>
      </c>
      <c r="E3576" s="5" t="s">
        <v>75</v>
      </c>
      <c r="F3576" s="5" t="s">
        <v>40</v>
      </c>
      <c r="G3576" s="6" t="n">
        <v>714</v>
      </c>
      <c r="H3576" s="6" t="n">
        <v>126</v>
      </c>
      <c r="I3576" s="7" t="n">
        <f aca="false">(G3576-H3576)/G3576</f>
        <v>0.823529411764706</v>
      </c>
      <c r="J3576" s="15" t="n">
        <v>0.3895</v>
      </c>
      <c r="K3576" s="11" t="str">
        <f aca="false">IF(I3576&lt;J3576,"TAK","NIE")</f>
        <v>NIE</v>
      </c>
    </row>
    <row r="3577" customFormat="false" ht="15" hidden="false" customHeight="false" outlineLevel="0" collapsed="false">
      <c r="A3577" s="5" t="s">
        <v>704</v>
      </c>
      <c r="B3577" s="5" t="s">
        <v>63</v>
      </c>
      <c r="C3577" s="5" t="n">
        <v>2023</v>
      </c>
      <c r="D3577" s="5" t="s">
        <v>64</v>
      </c>
      <c r="E3577" s="5" t="s">
        <v>75</v>
      </c>
      <c r="F3577" s="5" t="s">
        <v>40</v>
      </c>
      <c r="G3577" s="6" t="n">
        <v>714</v>
      </c>
      <c r="H3577" s="6" t="n">
        <v>247</v>
      </c>
      <c r="I3577" s="7" t="n">
        <f aca="false">(G3577-H3577)/G3577</f>
        <v>0.65406162464986</v>
      </c>
      <c r="J3577" s="15" t="n">
        <v>0.3895</v>
      </c>
      <c r="K3577" s="11" t="str">
        <f aca="false">IF(I3577&lt;J3577,"TAK","NIE")</f>
        <v>NIE</v>
      </c>
    </row>
    <row r="3578" customFormat="false" ht="15" hidden="false" customHeight="false" outlineLevel="0" collapsed="false">
      <c r="A3578" s="5" t="s">
        <v>706</v>
      </c>
      <c r="B3578" s="5" t="s">
        <v>63</v>
      </c>
      <c r="C3578" s="5" t="n">
        <v>2023</v>
      </c>
      <c r="D3578" s="5" t="s">
        <v>64</v>
      </c>
      <c r="E3578" s="5" t="s">
        <v>75</v>
      </c>
      <c r="F3578" s="5" t="s">
        <v>40</v>
      </c>
      <c r="G3578" s="6" t="n">
        <v>714</v>
      </c>
      <c r="H3578" s="6" t="n">
        <v>157</v>
      </c>
      <c r="I3578" s="7" t="n">
        <f aca="false">(G3578-H3578)/G3578</f>
        <v>0.780112044817927</v>
      </c>
      <c r="J3578" s="15" t="n">
        <v>0.3895</v>
      </c>
      <c r="K3578" s="11" t="str">
        <f aca="false">IF(I3578&lt;J3578,"TAK","NIE")</f>
        <v>NIE</v>
      </c>
    </row>
    <row r="3579" customFormat="false" ht="15" hidden="false" customHeight="false" outlineLevel="0" collapsed="false">
      <c r="A3579" s="5" t="s">
        <v>707</v>
      </c>
      <c r="B3579" s="5" t="s">
        <v>63</v>
      </c>
      <c r="C3579" s="5" t="n">
        <v>2023</v>
      </c>
      <c r="D3579" s="5" t="s">
        <v>64</v>
      </c>
      <c r="E3579" s="5" t="s">
        <v>75</v>
      </c>
      <c r="F3579" s="5" t="s">
        <v>40</v>
      </c>
      <c r="G3579" s="6" t="n">
        <v>711</v>
      </c>
      <c r="H3579" s="6" t="n">
        <v>168</v>
      </c>
      <c r="I3579" s="7" t="n">
        <f aca="false">(G3579-H3579)/G3579</f>
        <v>0.763713080168776</v>
      </c>
      <c r="J3579" s="15" t="n">
        <v>0.3895</v>
      </c>
      <c r="K3579" s="11" t="str">
        <f aca="false">IF(I3579&lt;J3579,"TAK","NIE")</f>
        <v>NIE</v>
      </c>
    </row>
    <row r="3580" customFormat="false" ht="15" hidden="false" customHeight="false" outlineLevel="0" collapsed="false">
      <c r="A3580" s="5" t="s">
        <v>708</v>
      </c>
      <c r="B3580" s="5" t="s">
        <v>63</v>
      </c>
      <c r="C3580" s="5" t="n">
        <v>2023</v>
      </c>
      <c r="D3580" s="5" t="s">
        <v>64</v>
      </c>
      <c r="E3580" s="5" t="s">
        <v>75</v>
      </c>
      <c r="F3580" s="5" t="s">
        <v>40</v>
      </c>
      <c r="G3580" s="6" t="n">
        <v>711</v>
      </c>
      <c r="H3580" s="6" t="n">
        <v>238</v>
      </c>
      <c r="I3580" s="7" t="n">
        <f aca="false">(G3580-H3580)/G3580</f>
        <v>0.665260196905767</v>
      </c>
      <c r="J3580" s="15" t="n">
        <v>0.3895</v>
      </c>
      <c r="K3580" s="11" t="str">
        <f aca="false">IF(I3580&lt;J3580,"TAK","NIE")</f>
        <v>NIE</v>
      </c>
    </row>
    <row r="3581" customFormat="false" ht="15" hidden="false" customHeight="false" outlineLevel="0" collapsed="false">
      <c r="A3581" s="5" t="s">
        <v>709</v>
      </c>
      <c r="B3581" s="5" t="s">
        <v>63</v>
      </c>
      <c r="C3581" s="5" t="n">
        <v>2023</v>
      </c>
      <c r="D3581" s="5" t="s">
        <v>64</v>
      </c>
      <c r="E3581" s="5" t="s">
        <v>75</v>
      </c>
      <c r="F3581" s="5" t="s">
        <v>40</v>
      </c>
      <c r="G3581" s="6" t="n">
        <v>714</v>
      </c>
      <c r="H3581" s="6" t="n">
        <v>224</v>
      </c>
      <c r="I3581" s="7" t="n">
        <f aca="false">(G3581-H3581)/G3581</f>
        <v>0.686274509803922</v>
      </c>
      <c r="J3581" s="15" t="n">
        <v>0.3895</v>
      </c>
      <c r="K3581" s="11" t="str">
        <f aca="false">IF(I3581&lt;J3581,"TAK","NIE")</f>
        <v>NIE</v>
      </c>
    </row>
    <row r="3582" customFormat="false" ht="15" hidden="false" customHeight="false" outlineLevel="0" collapsed="false">
      <c r="A3582" s="5" t="s">
        <v>710</v>
      </c>
      <c r="B3582" s="5" t="s">
        <v>63</v>
      </c>
      <c r="C3582" s="5" t="n">
        <v>2023</v>
      </c>
      <c r="D3582" s="5" t="s">
        <v>64</v>
      </c>
      <c r="E3582" s="5" t="s">
        <v>75</v>
      </c>
      <c r="F3582" s="5" t="s">
        <v>40</v>
      </c>
      <c r="G3582" s="6" t="n">
        <v>714</v>
      </c>
      <c r="H3582" s="6" t="n">
        <v>219</v>
      </c>
      <c r="I3582" s="7" t="n">
        <f aca="false">(G3582-H3582)/G3582</f>
        <v>0.69327731092437</v>
      </c>
      <c r="J3582" s="15" t="n">
        <v>0.3895</v>
      </c>
      <c r="K3582" s="11" t="str">
        <f aca="false">IF(I3582&lt;J3582,"TAK","NIE")</f>
        <v>NIE</v>
      </c>
    </row>
    <row r="3583" customFormat="false" ht="15" hidden="false" customHeight="false" outlineLevel="0" collapsed="false">
      <c r="A3583" s="5" t="s">
        <v>711</v>
      </c>
      <c r="B3583" s="5" t="s">
        <v>63</v>
      </c>
      <c r="C3583" s="5" t="n">
        <v>2023</v>
      </c>
      <c r="D3583" s="5" t="s">
        <v>64</v>
      </c>
      <c r="E3583" s="5" t="s">
        <v>75</v>
      </c>
      <c r="F3583" s="5" t="s">
        <v>40</v>
      </c>
      <c r="G3583" s="6" t="n">
        <v>711</v>
      </c>
      <c r="H3583" s="6" t="n">
        <v>346</v>
      </c>
      <c r="I3583" s="7" t="n">
        <f aca="false">(G3583-H3583)/G3583</f>
        <v>0.513361462728551</v>
      </c>
      <c r="J3583" s="15" t="n">
        <v>0.3895</v>
      </c>
      <c r="K3583" s="11" t="str">
        <f aca="false">IF(I3583&lt;J3583,"TAK","NIE")</f>
        <v>NIE</v>
      </c>
    </row>
    <row r="3584" customFormat="false" ht="15" hidden="false" customHeight="false" outlineLevel="0" collapsed="false">
      <c r="A3584" s="5" t="s">
        <v>712</v>
      </c>
      <c r="B3584" s="5" t="s">
        <v>63</v>
      </c>
      <c r="C3584" s="5" t="n">
        <v>2023</v>
      </c>
      <c r="D3584" s="5" t="s">
        <v>64</v>
      </c>
      <c r="E3584" s="5" t="s">
        <v>75</v>
      </c>
      <c r="F3584" s="5" t="s">
        <v>40</v>
      </c>
      <c r="G3584" s="6" t="n">
        <v>711</v>
      </c>
      <c r="H3584" s="6" t="n">
        <v>176</v>
      </c>
      <c r="I3584" s="7" t="n">
        <f aca="false">(G3584-H3584)/G3584</f>
        <v>0.752461322081575</v>
      </c>
      <c r="J3584" s="15" t="n">
        <v>0.3895</v>
      </c>
      <c r="K3584" s="11" t="str">
        <f aca="false">IF(I3584&lt;J3584,"TAK","NIE")</f>
        <v>NIE</v>
      </c>
    </row>
    <row r="3585" customFormat="false" ht="15" hidden="false" customHeight="false" outlineLevel="0" collapsed="false">
      <c r="A3585" s="5" t="s">
        <v>713</v>
      </c>
      <c r="B3585" s="5" t="s">
        <v>63</v>
      </c>
      <c r="C3585" s="5" t="n">
        <v>2023</v>
      </c>
      <c r="D3585" s="5" t="s">
        <v>64</v>
      </c>
      <c r="E3585" s="5" t="s">
        <v>75</v>
      </c>
      <c r="F3585" s="5" t="s">
        <v>40</v>
      </c>
      <c r="G3585" s="6" t="n">
        <v>714</v>
      </c>
      <c r="H3585" s="6" t="n">
        <v>170</v>
      </c>
      <c r="I3585" s="7" t="n">
        <f aca="false">(G3585-H3585)/G3585</f>
        <v>0.761904761904762</v>
      </c>
      <c r="J3585" s="15" t="n">
        <v>0.3895</v>
      </c>
      <c r="K3585" s="11" t="str">
        <f aca="false">IF(I3585&lt;J3585,"TAK","NIE")</f>
        <v>NIE</v>
      </c>
    </row>
    <row r="3586" customFormat="false" ht="15" hidden="false" customHeight="false" outlineLevel="0" collapsed="false">
      <c r="A3586" s="5" t="s">
        <v>714</v>
      </c>
      <c r="B3586" s="5" t="s">
        <v>63</v>
      </c>
      <c r="C3586" s="5" t="n">
        <v>2023</v>
      </c>
      <c r="D3586" s="5" t="s">
        <v>64</v>
      </c>
      <c r="E3586" s="5" t="s">
        <v>75</v>
      </c>
      <c r="F3586" s="5" t="s">
        <v>40</v>
      </c>
      <c r="G3586" s="6" t="n">
        <v>711</v>
      </c>
      <c r="H3586" s="6" t="n">
        <v>254</v>
      </c>
      <c r="I3586" s="7" t="n">
        <f aca="false">(G3586-H3586)/G3586</f>
        <v>0.642756680731364</v>
      </c>
      <c r="J3586" s="15" t="n">
        <v>0.3895</v>
      </c>
      <c r="K3586" s="11" t="str">
        <f aca="false">IF(I3586&lt;J3586,"TAK","NIE")</f>
        <v>NIE</v>
      </c>
    </row>
    <row r="3587" customFormat="false" ht="15" hidden="false" customHeight="false" outlineLevel="0" collapsed="false">
      <c r="A3587" s="5" t="s">
        <v>715</v>
      </c>
      <c r="B3587" s="5" t="s">
        <v>63</v>
      </c>
      <c r="C3587" s="5" t="n">
        <v>2023</v>
      </c>
      <c r="D3587" s="5" t="s">
        <v>64</v>
      </c>
      <c r="E3587" s="5" t="s">
        <v>75</v>
      </c>
      <c r="F3587" s="5" t="s">
        <v>40</v>
      </c>
      <c r="G3587" s="6" t="n">
        <v>714</v>
      </c>
      <c r="H3587" s="6" t="n">
        <v>335</v>
      </c>
      <c r="I3587" s="7" t="n">
        <f aca="false">(G3587-H3587)/G3587</f>
        <v>0.530812324929972</v>
      </c>
      <c r="J3587" s="15" t="n">
        <v>0.3895</v>
      </c>
      <c r="K3587" s="11" t="str">
        <f aca="false">IF(I3587&lt;J3587,"TAK","NIE")</f>
        <v>NIE</v>
      </c>
    </row>
    <row r="3588" customFormat="false" ht="15" hidden="false" customHeight="false" outlineLevel="0" collapsed="false">
      <c r="A3588" s="5" t="s">
        <v>716</v>
      </c>
      <c r="B3588" s="5" t="s">
        <v>63</v>
      </c>
      <c r="C3588" s="5" t="n">
        <v>2023</v>
      </c>
      <c r="D3588" s="5" t="s">
        <v>64</v>
      </c>
      <c r="E3588" s="5" t="s">
        <v>75</v>
      </c>
      <c r="F3588" s="5" t="s">
        <v>40</v>
      </c>
      <c r="G3588" s="6" t="n">
        <v>714</v>
      </c>
      <c r="H3588" s="6" t="n">
        <v>215</v>
      </c>
      <c r="I3588" s="7" t="n">
        <f aca="false">(G3588-H3588)/G3588</f>
        <v>0.698879551820728</v>
      </c>
      <c r="J3588" s="15" t="n">
        <v>0.3895</v>
      </c>
      <c r="K3588" s="11" t="str">
        <f aca="false">IF(I3588&lt;J3588,"TAK","NIE")</f>
        <v>NIE</v>
      </c>
    </row>
    <row r="3589" customFormat="false" ht="15" hidden="false" customHeight="false" outlineLevel="0" collapsed="false">
      <c r="A3589" s="5" t="s">
        <v>693</v>
      </c>
      <c r="B3589" s="5" t="s">
        <v>65</v>
      </c>
      <c r="C3589" s="5" t="n">
        <v>2023</v>
      </c>
      <c r="D3589" s="5" t="s">
        <v>64</v>
      </c>
      <c r="E3589" s="5" t="s">
        <v>89</v>
      </c>
      <c r="F3589" s="5" t="s">
        <v>39</v>
      </c>
      <c r="G3589" s="6" t="n">
        <v>528</v>
      </c>
      <c r="H3589" s="6" t="n">
        <v>189</v>
      </c>
      <c r="I3589" s="7" t="n">
        <f aca="false">(G3589-H3589)/G3589</f>
        <v>0.642045454545455</v>
      </c>
      <c r="J3589" s="15" t="n">
        <v>0.3606</v>
      </c>
      <c r="K3589" s="11" t="str">
        <f aca="false">IF(I3589&lt;J3589,"TAK","NIE")</f>
        <v>NIE</v>
      </c>
    </row>
    <row r="3590" customFormat="false" ht="15" hidden="false" customHeight="false" outlineLevel="0" collapsed="false">
      <c r="A3590" s="5" t="s">
        <v>694</v>
      </c>
      <c r="B3590" s="5" t="s">
        <v>65</v>
      </c>
      <c r="C3590" s="5" t="n">
        <v>2023</v>
      </c>
      <c r="D3590" s="5" t="s">
        <v>64</v>
      </c>
      <c r="E3590" s="5" t="s">
        <v>89</v>
      </c>
      <c r="F3590" s="5" t="s">
        <v>39</v>
      </c>
      <c r="G3590" s="6" t="n">
        <v>528</v>
      </c>
      <c r="H3590" s="6" t="n">
        <v>120</v>
      </c>
      <c r="I3590" s="7" t="n">
        <f aca="false">(G3590-H3590)/G3590</f>
        <v>0.772727272727273</v>
      </c>
      <c r="J3590" s="15" t="n">
        <v>0.3606</v>
      </c>
      <c r="K3590" s="11" t="str">
        <f aca="false">IF(I3590&lt;J3590,"TAK","NIE")</f>
        <v>NIE</v>
      </c>
    </row>
    <row r="3591" customFormat="false" ht="15" hidden="false" customHeight="false" outlineLevel="0" collapsed="false">
      <c r="A3591" s="5" t="s">
        <v>695</v>
      </c>
      <c r="B3591" s="5" t="s">
        <v>65</v>
      </c>
      <c r="C3591" s="5" t="n">
        <v>2023</v>
      </c>
      <c r="D3591" s="5" t="s">
        <v>64</v>
      </c>
      <c r="E3591" s="5" t="s">
        <v>89</v>
      </c>
      <c r="F3591" s="5" t="s">
        <v>39</v>
      </c>
      <c r="G3591" s="6" t="n">
        <v>445</v>
      </c>
      <c r="H3591" s="6" t="n">
        <v>201</v>
      </c>
      <c r="I3591" s="7" t="n">
        <f aca="false">(G3591-H3591)/G3591</f>
        <v>0.548314606741573</v>
      </c>
      <c r="J3591" s="15" t="n">
        <v>0.3606</v>
      </c>
      <c r="K3591" s="11" t="str">
        <f aca="false">IF(I3591&lt;J3591,"TAK","NIE")</f>
        <v>NIE</v>
      </c>
    </row>
    <row r="3592" customFormat="false" ht="15" hidden="false" customHeight="false" outlineLevel="0" collapsed="false">
      <c r="A3592" s="5" t="s">
        <v>696</v>
      </c>
      <c r="B3592" s="5" t="s">
        <v>65</v>
      </c>
      <c r="C3592" s="5" t="n">
        <v>2023</v>
      </c>
      <c r="D3592" s="5" t="s">
        <v>64</v>
      </c>
      <c r="E3592" s="5" t="s">
        <v>89</v>
      </c>
      <c r="F3592" s="5" t="s">
        <v>39</v>
      </c>
      <c r="G3592" s="6" t="n">
        <v>528</v>
      </c>
      <c r="H3592" s="6" t="n">
        <v>203</v>
      </c>
      <c r="I3592" s="7" t="n">
        <f aca="false">(G3592-H3592)/G3592</f>
        <v>0.615530303030303</v>
      </c>
      <c r="J3592" s="15" t="n">
        <v>0.3606</v>
      </c>
      <c r="K3592" s="11" t="str">
        <f aca="false">IF(I3592&lt;J3592,"TAK","NIE")</f>
        <v>NIE</v>
      </c>
    </row>
    <row r="3593" customFormat="false" ht="15" hidden="false" customHeight="false" outlineLevel="0" collapsed="false">
      <c r="A3593" s="5" t="s">
        <v>697</v>
      </c>
      <c r="B3593" s="5" t="s">
        <v>65</v>
      </c>
      <c r="C3593" s="5" t="n">
        <v>2023</v>
      </c>
      <c r="D3593" s="5" t="s">
        <v>64</v>
      </c>
      <c r="E3593" s="5" t="s">
        <v>89</v>
      </c>
      <c r="F3593" s="5" t="s">
        <v>39</v>
      </c>
      <c r="G3593" s="6" t="n">
        <v>528</v>
      </c>
      <c r="H3593" s="6" t="n">
        <v>161</v>
      </c>
      <c r="I3593" s="7" t="n">
        <f aca="false">(G3593-H3593)/G3593</f>
        <v>0.695075757575758</v>
      </c>
      <c r="J3593" s="15" t="n">
        <v>0.3606</v>
      </c>
      <c r="K3593" s="11" t="str">
        <f aca="false">IF(I3593&lt;J3593,"TAK","NIE")</f>
        <v>NIE</v>
      </c>
    </row>
    <row r="3594" customFormat="false" ht="15" hidden="false" customHeight="false" outlineLevel="0" collapsed="false">
      <c r="A3594" s="5" t="s">
        <v>698</v>
      </c>
      <c r="B3594" s="5" t="s">
        <v>65</v>
      </c>
      <c r="C3594" s="5" t="n">
        <v>2023</v>
      </c>
      <c r="D3594" s="5" t="s">
        <v>64</v>
      </c>
      <c r="E3594" s="5" t="s">
        <v>89</v>
      </c>
      <c r="F3594" s="5" t="s">
        <v>39</v>
      </c>
      <c r="G3594" s="6" t="n">
        <v>528</v>
      </c>
      <c r="H3594" s="6" t="n">
        <v>97</v>
      </c>
      <c r="I3594" s="7" t="n">
        <f aca="false">(G3594-H3594)/G3594</f>
        <v>0.816287878787879</v>
      </c>
      <c r="J3594" s="15" t="n">
        <v>0.3606</v>
      </c>
      <c r="K3594" s="11" t="str">
        <f aca="false">IF(I3594&lt;J3594,"TAK","NIE")</f>
        <v>NIE</v>
      </c>
    </row>
    <row r="3595" customFormat="false" ht="15" hidden="false" customHeight="false" outlineLevel="0" collapsed="false">
      <c r="A3595" s="5" t="s">
        <v>582</v>
      </c>
      <c r="B3595" s="5" t="s">
        <v>65</v>
      </c>
      <c r="C3595" s="5" t="n">
        <v>2023</v>
      </c>
      <c r="D3595" s="5" t="s">
        <v>64</v>
      </c>
      <c r="E3595" s="5" t="s">
        <v>89</v>
      </c>
      <c r="F3595" s="5" t="s">
        <v>39</v>
      </c>
      <c r="G3595" s="6" t="n">
        <v>528</v>
      </c>
      <c r="H3595" s="6" t="n">
        <v>64</v>
      </c>
      <c r="I3595" s="7" t="n">
        <f aca="false">(G3595-H3595)/G3595</f>
        <v>0.878787878787879</v>
      </c>
      <c r="J3595" s="15" t="n">
        <v>0.3606</v>
      </c>
      <c r="K3595" s="11" t="str">
        <f aca="false">IF(I3595&lt;J3595,"TAK","NIE")</f>
        <v>NIE</v>
      </c>
    </row>
    <row r="3596" customFormat="false" ht="15" hidden="false" customHeight="false" outlineLevel="0" collapsed="false">
      <c r="A3596" s="5" t="s">
        <v>699</v>
      </c>
      <c r="B3596" s="5" t="s">
        <v>65</v>
      </c>
      <c r="C3596" s="5" t="n">
        <v>2023</v>
      </c>
      <c r="D3596" s="5" t="s">
        <v>64</v>
      </c>
      <c r="E3596" s="5" t="s">
        <v>89</v>
      </c>
      <c r="F3596" s="5" t="s">
        <v>39</v>
      </c>
      <c r="G3596" s="6" t="n">
        <v>528</v>
      </c>
      <c r="H3596" s="6" t="n">
        <v>170</v>
      </c>
      <c r="I3596" s="7" t="n">
        <f aca="false">(G3596-H3596)/G3596</f>
        <v>0.678030303030303</v>
      </c>
      <c r="J3596" s="15" t="n">
        <v>0.3606</v>
      </c>
      <c r="K3596" s="11" t="str">
        <f aca="false">IF(I3596&lt;J3596,"TAK","NIE")</f>
        <v>NIE</v>
      </c>
    </row>
    <row r="3597" customFormat="false" ht="15" hidden="false" customHeight="false" outlineLevel="0" collapsed="false">
      <c r="A3597" s="5" t="s">
        <v>700</v>
      </c>
      <c r="B3597" s="5" t="s">
        <v>65</v>
      </c>
      <c r="C3597" s="5" t="n">
        <v>2023</v>
      </c>
      <c r="D3597" s="5" t="s">
        <v>64</v>
      </c>
      <c r="E3597" s="5" t="s">
        <v>89</v>
      </c>
      <c r="F3597" s="5" t="s">
        <v>39</v>
      </c>
      <c r="G3597" s="6" t="n">
        <v>528</v>
      </c>
      <c r="H3597" s="6" t="n">
        <v>244</v>
      </c>
      <c r="I3597" s="7" t="n">
        <f aca="false">(G3597-H3597)/G3597</f>
        <v>0.537878787878788</v>
      </c>
      <c r="J3597" s="15" t="n">
        <v>0.3606</v>
      </c>
      <c r="K3597" s="11" t="str">
        <f aca="false">IF(I3597&lt;J3597,"TAK","NIE")</f>
        <v>NIE</v>
      </c>
    </row>
    <row r="3598" customFormat="false" ht="15" hidden="false" customHeight="false" outlineLevel="0" collapsed="false">
      <c r="A3598" s="5" t="s">
        <v>701</v>
      </c>
      <c r="B3598" s="5" t="s">
        <v>65</v>
      </c>
      <c r="C3598" s="5" t="n">
        <v>2023</v>
      </c>
      <c r="D3598" s="5" t="s">
        <v>64</v>
      </c>
      <c r="E3598" s="5" t="s">
        <v>89</v>
      </c>
      <c r="F3598" s="5" t="s">
        <v>39</v>
      </c>
      <c r="G3598" s="6" t="n">
        <v>514</v>
      </c>
      <c r="H3598" s="6" t="n">
        <v>297</v>
      </c>
      <c r="I3598" s="7" t="n">
        <f aca="false">(G3598-H3598)/G3598</f>
        <v>0.422178988326848</v>
      </c>
      <c r="J3598" s="15" t="n">
        <v>0.3606</v>
      </c>
      <c r="K3598" s="11" t="str">
        <f aca="false">IF(I3598&lt;J3598,"TAK","NIE")</f>
        <v>NIE</v>
      </c>
    </row>
    <row r="3599" customFormat="false" ht="15" hidden="false" customHeight="false" outlineLevel="0" collapsed="false">
      <c r="A3599" s="5" t="s">
        <v>702</v>
      </c>
      <c r="B3599" s="5" t="s">
        <v>65</v>
      </c>
      <c r="C3599" s="5" t="n">
        <v>2023</v>
      </c>
      <c r="D3599" s="5" t="s">
        <v>64</v>
      </c>
      <c r="E3599" s="5" t="s">
        <v>89</v>
      </c>
      <c r="F3599" s="5" t="s">
        <v>39</v>
      </c>
      <c r="G3599" s="6" t="n">
        <v>528</v>
      </c>
      <c r="H3599" s="6" t="n">
        <v>203</v>
      </c>
      <c r="I3599" s="7" t="n">
        <f aca="false">(G3599-H3599)/G3599</f>
        <v>0.615530303030303</v>
      </c>
      <c r="J3599" s="15" t="n">
        <v>0.3606</v>
      </c>
      <c r="K3599" s="11" t="str">
        <f aca="false">IF(I3599&lt;J3599,"TAK","NIE")</f>
        <v>NIE</v>
      </c>
    </row>
    <row r="3600" customFormat="false" ht="15" hidden="false" customHeight="false" outlineLevel="0" collapsed="false">
      <c r="A3600" s="5" t="s">
        <v>703</v>
      </c>
      <c r="B3600" s="5" t="s">
        <v>65</v>
      </c>
      <c r="C3600" s="5" t="n">
        <v>2023</v>
      </c>
      <c r="D3600" s="5" t="s">
        <v>64</v>
      </c>
      <c r="E3600" s="5" t="s">
        <v>89</v>
      </c>
      <c r="F3600" s="5" t="s">
        <v>39</v>
      </c>
      <c r="G3600" s="6" t="n">
        <v>528</v>
      </c>
      <c r="H3600" s="6" t="n">
        <v>47</v>
      </c>
      <c r="I3600" s="7" t="n">
        <f aca="false">(G3600-H3600)/G3600</f>
        <v>0.910984848484849</v>
      </c>
      <c r="J3600" s="15" t="n">
        <v>0.3606</v>
      </c>
      <c r="K3600" s="11" t="str">
        <f aca="false">IF(I3600&lt;J3600,"TAK","NIE")</f>
        <v>NIE</v>
      </c>
    </row>
    <row r="3601" customFormat="false" ht="15" hidden="false" customHeight="false" outlineLevel="0" collapsed="false">
      <c r="A3601" s="5" t="s">
        <v>704</v>
      </c>
      <c r="B3601" s="5" t="s">
        <v>65</v>
      </c>
      <c r="C3601" s="5" t="n">
        <v>2023</v>
      </c>
      <c r="D3601" s="5" t="s">
        <v>64</v>
      </c>
      <c r="E3601" s="5" t="s">
        <v>89</v>
      </c>
      <c r="F3601" s="5" t="s">
        <v>39</v>
      </c>
      <c r="G3601" s="6" t="n">
        <v>528</v>
      </c>
      <c r="H3601" s="6" t="n">
        <v>212</v>
      </c>
      <c r="I3601" s="7" t="n">
        <f aca="false">(G3601-H3601)/G3601</f>
        <v>0.598484848484849</v>
      </c>
      <c r="J3601" s="15" t="n">
        <v>0.3606</v>
      </c>
      <c r="K3601" s="11" t="str">
        <f aca="false">IF(I3601&lt;J3601,"TAK","NIE")</f>
        <v>NIE</v>
      </c>
    </row>
    <row r="3602" customFormat="false" ht="15" hidden="false" customHeight="false" outlineLevel="0" collapsed="false">
      <c r="A3602" s="5" t="s">
        <v>706</v>
      </c>
      <c r="B3602" s="5" t="s">
        <v>65</v>
      </c>
      <c r="C3602" s="5" t="n">
        <v>2023</v>
      </c>
      <c r="D3602" s="5" t="s">
        <v>64</v>
      </c>
      <c r="E3602" s="5" t="s">
        <v>89</v>
      </c>
      <c r="F3602" s="5" t="s">
        <v>39</v>
      </c>
      <c r="G3602" s="6" t="n">
        <v>528</v>
      </c>
      <c r="H3602" s="6" t="n">
        <v>80</v>
      </c>
      <c r="I3602" s="7" t="n">
        <f aca="false">(G3602-H3602)/G3602</f>
        <v>0.848484848484849</v>
      </c>
      <c r="J3602" s="15" t="n">
        <v>0.3606</v>
      </c>
      <c r="K3602" s="11" t="str">
        <f aca="false">IF(I3602&lt;J3602,"TAK","NIE")</f>
        <v>NIE</v>
      </c>
    </row>
    <row r="3603" customFormat="false" ht="15" hidden="false" customHeight="false" outlineLevel="0" collapsed="false">
      <c r="A3603" s="5" t="s">
        <v>707</v>
      </c>
      <c r="B3603" s="5" t="s">
        <v>65</v>
      </c>
      <c r="C3603" s="5" t="n">
        <v>2023</v>
      </c>
      <c r="D3603" s="5" t="s">
        <v>64</v>
      </c>
      <c r="E3603" s="5" t="s">
        <v>89</v>
      </c>
      <c r="F3603" s="5" t="s">
        <v>39</v>
      </c>
      <c r="G3603" s="6" t="n">
        <v>528</v>
      </c>
      <c r="H3603" s="6" t="n">
        <v>188</v>
      </c>
      <c r="I3603" s="7" t="n">
        <f aca="false">(G3603-H3603)/G3603</f>
        <v>0.643939393939394</v>
      </c>
      <c r="J3603" s="15" t="n">
        <v>0.3606</v>
      </c>
      <c r="K3603" s="11" t="str">
        <f aca="false">IF(I3603&lt;J3603,"TAK","NIE")</f>
        <v>NIE</v>
      </c>
    </row>
    <row r="3604" customFormat="false" ht="15" hidden="false" customHeight="false" outlineLevel="0" collapsed="false">
      <c r="A3604" s="5" t="s">
        <v>708</v>
      </c>
      <c r="B3604" s="5" t="s">
        <v>65</v>
      </c>
      <c r="C3604" s="5" t="n">
        <v>2023</v>
      </c>
      <c r="D3604" s="5" t="s">
        <v>64</v>
      </c>
      <c r="E3604" s="5" t="s">
        <v>89</v>
      </c>
      <c r="F3604" s="5" t="s">
        <v>39</v>
      </c>
      <c r="G3604" s="6" t="n">
        <v>528</v>
      </c>
      <c r="H3604" s="6" t="n">
        <v>96</v>
      </c>
      <c r="I3604" s="7" t="n">
        <f aca="false">(G3604-H3604)/G3604</f>
        <v>0.818181818181818</v>
      </c>
      <c r="J3604" s="15" t="n">
        <v>0.3606</v>
      </c>
      <c r="K3604" s="11" t="str">
        <f aca="false">IF(I3604&lt;J3604,"TAK","NIE")</f>
        <v>NIE</v>
      </c>
    </row>
    <row r="3605" customFormat="false" ht="15" hidden="false" customHeight="false" outlineLevel="0" collapsed="false">
      <c r="A3605" s="5" t="s">
        <v>709</v>
      </c>
      <c r="B3605" s="5" t="s">
        <v>65</v>
      </c>
      <c r="C3605" s="5" t="n">
        <v>2023</v>
      </c>
      <c r="D3605" s="5" t="s">
        <v>64</v>
      </c>
      <c r="E3605" s="5" t="s">
        <v>89</v>
      </c>
      <c r="F3605" s="5" t="s">
        <v>39</v>
      </c>
      <c r="G3605" s="6" t="n">
        <v>528</v>
      </c>
      <c r="H3605" s="6" t="n">
        <v>91</v>
      </c>
      <c r="I3605" s="7" t="n">
        <f aca="false">(G3605-H3605)/G3605</f>
        <v>0.827651515151515</v>
      </c>
      <c r="J3605" s="15" t="n">
        <v>0.3606</v>
      </c>
      <c r="K3605" s="11" t="str">
        <f aca="false">IF(I3605&lt;J3605,"TAK","NIE")</f>
        <v>NIE</v>
      </c>
    </row>
    <row r="3606" customFormat="false" ht="15" hidden="false" customHeight="false" outlineLevel="0" collapsed="false">
      <c r="A3606" s="5" t="s">
        <v>710</v>
      </c>
      <c r="B3606" s="5" t="s">
        <v>65</v>
      </c>
      <c r="C3606" s="5" t="n">
        <v>2023</v>
      </c>
      <c r="D3606" s="5" t="s">
        <v>64</v>
      </c>
      <c r="E3606" s="5" t="s">
        <v>89</v>
      </c>
      <c r="F3606" s="5" t="s">
        <v>39</v>
      </c>
      <c r="G3606" s="6" t="n">
        <v>528</v>
      </c>
      <c r="H3606" s="6" t="n">
        <v>199</v>
      </c>
      <c r="I3606" s="7" t="n">
        <f aca="false">(G3606-H3606)/G3606</f>
        <v>0.623106060606061</v>
      </c>
      <c r="J3606" s="15" t="n">
        <v>0.3606</v>
      </c>
      <c r="K3606" s="11" t="str">
        <f aca="false">IF(I3606&lt;J3606,"TAK","NIE")</f>
        <v>NIE</v>
      </c>
    </row>
    <row r="3607" customFormat="false" ht="15" hidden="false" customHeight="false" outlineLevel="0" collapsed="false">
      <c r="A3607" s="5" t="s">
        <v>711</v>
      </c>
      <c r="B3607" s="5" t="s">
        <v>65</v>
      </c>
      <c r="C3607" s="5" t="n">
        <v>2023</v>
      </c>
      <c r="D3607" s="5" t="s">
        <v>64</v>
      </c>
      <c r="E3607" s="5" t="s">
        <v>89</v>
      </c>
      <c r="F3607" s="5" t="s">
        <v>39</v>
      </c>
      <c r="G3607" s="6" t="n">
        <v>528</v>
      </c>
      <c r="H3607" s="6" t="n">
        <v>135</v>
      </c>
      <c r="I3607" s="7" t="n">
        <f aca="false">(G3607-H3607)/G3607</f>
        <v>0.744318181818182</v>
      </c>
      <c r="J3607" s="15" t="n">
        <v>0.3606</v>
      </c>
      <c r="K3607" s="11" t="str">
        <f aca="false">IF(I3607&lt;J3607,"TAK","NIE")</f>
        <v>NIE</v>
      </c>
    </row>
    <row r="3608" customFormat="false" ht="15" hidden="false" customHeight="false" outlineLevel="0" collapsed="false">
      <c r="A3608" s="5" t="s">
        <v>712</v>
      </c>
      <c r="B3608" s="5" t="s">
        <v>65</v>
      </c>
      <c r="C3608" s="5" t="n">
        <v>2023</v>
      </c>
      <c r="D3608" s="5" t="s">
        <v>64</v>
      </c>
      <c r="E3608" s="5" t="s">
        <v>89</v>
      </c>
      <c r="F3608" s="5" t="s">
        <v>39</v>
      </c>
      <c r="G3608" s="6" t="n">
        <v>528</v>
      </c>
      <c r="H3608" s="6" t="n">
        <v>134</v>
      </c>
      <c r="I3608" s="7" t="n">
        <f aca="false">(G3608-H3608)/G3608</f>
        <v>0.746212121212121</v>
      </c>
      <c r="J3608" s="15" t="n">
        <v>0.3606</v>
      </c>
      <c r="K3608" s="11" t="str">
        <f aca="false">IF(I3608&lt;J3608,"TAK","NIE")</f>
        <v>NIE</v>
      </c>
    </row>
    <row r="3609" customFormat="false" ht="15" hidden="false" customHeight="false" outlineLevel="0" collapsed="false">
      <c r="A3609" s="5" t="s">
        <v>713</v>
      </c>
      <c r="B3609" s="5" t="s">
        <v>65</v>
      </c>
      <c r="C3609" s="5" t="n">
        <v>2023</v>
      </c>
      <c r="D3609" s="5" t="s">
        <v>64</v>
      </c>
      <c r="E3609" s="5" t="s">
        <v>89</v>
      </c>
      <c r="F3609" s="5" t="s">
        <v>39</v>
      </c>
      <c r="G3609" s="6" t="n">
        <v>528</v>
      </c>
      <c r="H3609" s="6" t="n">
        <v>141</v>
      </c>
      <c r="I3609" s="7" t="n">
        <f aca="false">(G3609-H3609)/G3609</f>
        <v>0.732954545454545</v>
      </c>
      <c r="J3609" s="15" t="n">
        <v>0.3606</v>
      </c>
      <c r="K3609" s="11" t="str">
        <f aca="false">IF(I3609&lt;J3609,"TAK","NIE")</f>
        <v>NIE</v>
      </c>
    </row>
    <row r="3610" customFormat="false" ht="15" hidden="false" customHeight="false" outlineLevel="0" collapsed="false">
      <c r="A3610" s="5" t="s">
        <v>714</v>
      </c>
      <c r="B3610" s="5" t="s">
        <v>65</v>
      </c>
      <c r="C3610" s="5" t="n">
        <v>2023</v>
      </c>
      <c r="D3610" s="5" t="s">
        <v>64</v>
      </c>
      <c r="E3610" s="5" t="s">
        <v>89</v>
      </c>
      <c r="F3610" s="5" t="s">
        <v>39</v>
      </c>
      <c r="G3610" s="6" t="n">
        <v>528</v>
      </c>
      <c r="H3610" s="6" t="n">
        <v>275</v>
      </c>
      <c r="I3610" s="7" t="n">
        <f aca="false">(G3610-H3610)/G3610</f>
        <v>0.479166666666667</v>
      </c>
      <c r="J3610" s="15" t="n">
        <v>0.3606</v>
      </c>
      <c r="K3610" s="11" t="str">
        <f aca="false">IF(I3610&lt;J3610,"TAK","NIE")</f>
        <v>NIE</v>
      </c>
    </row>
    <row r="3611" customFormat="false" ht="15" hidden="false" customHeight="false" outlineLevel="0" collapsed="false">
      <c r="A3611" s="5" t="s">
        <v>715</v>
      </c>
      <c r="B3611" s="5" t="s">
        <v>65</v>
      </c>
      <c r="C3611" s="5" t="n">
        <v>2023</v>
      </c>
      <c r="D3611" s="5" t="s">
        <v>64</v>
      </c>
      <c r="E3611" s="5" t="s">
        <v>89</v>
      </c>
      <c r="F3611" s="5" t="s">
        <v>39</v>
      </c>
      <c r="G3611" s="6" t="n">
        <v>528</v>
      </c>
      <c r="H3611" s="6" t="n">
        <v>206</v>
      </c>
      <c r="I3611" s="7" t="n">
        <f aca="false">(G3611-H3611)/G3611</f>
        <v>0.609848484848485</v>
      </c>
      <c r="J3611" s="15" t="n">
        <v>0.3606</v>
      </c>
      <c r="K3611" s="11" t="str">
        <f aca="false">IF(I3611&lt;J3611,"TAK","NIE")</f>
        <v>NIE</v>
      </c>
    </row>
    <row r="3612" customFormat="false" ht="15" hidden="false" customHeight="false" outlineLevel="0" collapsed="false">
      <c r="A3612" s="5" t="s">
        <v>716</v>
      </c>
      <c r="B3612" s="5" t="s">
        <v>65</v>
      </c>
      <c r="C3612" s="5" t="n">
        <v>2023</v>
      </c>
      <c r="D3612" s="5" t="s">
        <v>64</v>
      </c>
      <c r="E3612" s="5" t="s">
        <v>89</v>
      </c>
      <c r="F3612" s="5" t="s">
        <v>39</v>
      </c>
      <c r="G3612" s="6" t="n">
        <v>528</v>
      </c>
      <c r="H3612" s="6" t="n">
        <v>137</v>
      </c>
      <c r="I3612" s="7" t="n">
        <f aca="false">(G3612-H3612)/G3612</f>
        <v>0.740530303030303</v>
      </c>
      <c r="J3612" s="15" t="n">
        <v>0.3606</v>
      </c>
      <c r="K3612" s="11" t="str">
        <f aca="false">IF(I3612&lt;J3612,"TAK","NIE")</f>
        <v>NIE</v>
      </c>
    </row>
    <row r="3613" customFormat="false" ht="15" hidden="false" customHeight="false" outlineLevel="0" collapsed="false">
      <c r="A3613" s="5" t="s">
        <v>693</v>
      </c>
      <c r="B3613" s="5" t="s">
        <v>65</v>
      </c>
      <c r="C3613" s="5" t="n">
        <v>2023</v>
      </c>
      <c r="D3613" s="5" t="s">
        <v>64</v>
      </c>
      <c r="E3613" s="5" t="s">
        <v>89</v>
      </c>
      <c r="F3613" s="5" t="s">
        <v>40</v>
      </c>
      <c r="G3613" s="6" t="n">
        <v>658</v>
      </c>
      <c r="H3613" s="6" t="n">
        <v>293</v>
      </c>
      <c r="I3613" s="7" t="n">
        <f aca="false">(G3613-H3613)/G3613</f>
        <v>0.554711246200608</v>
      </c>
      <c r="J3613" s="15" t="n">
        <v>0.3303</v>
      </c>
      <c r="K3613" s="11" t="str">
        <f aca="false">IF(I3613&lt;J3613,"TAK","NIE")</f>
        <v>NIE</v>
      </c>
    </row>
    <row r="3614" customFormat="false" ht="15" hidden="false" customHeight="false" outlineLevel="0" collapsed="false">
      <c r="A3614" s="5" t="s">
        <v>694</v>
      </c>
      <c r="B3614" s="5" t="s">
        <v>65</v>
      </c>
      <c r="C3614" s="5" t="n">
        <v>2023</v>
      </c>
      <c r="D3614" s="5" t="s">
        <v>64</v>
      </c>
      <c r="E3614" s="5" t="s">
        <v>89</v>
      </c>
      <c r="F3614" s="5" t="s">
        <v>40</v>
      </c>
      <c r="G3614" s="6" t="n">
        <v>658</v>
      </c>
      <c r="H3614" s="6" t="n">
        <v>288</v>
      </c>
      <c r="I3614" s="7" t="n">
        <f aca="false">(G3614-H3614)/G3614</f>
        <v>0.562310030395137</v>
      </c>
      <c r="J3614" s="15" t="n">
        <v>0.3303</v>
      </c>
      <c r="K3614" s="11" t="str">
        <f aca="false">IF(I3614&lt;J3614,"TAK","NIE")</f>
        <v>NIE</v>
      </c>
    </row>
    <row r="3615" customFormat="false" ht="15" hidden="false" customHeight="false" outlineLevel="0" collapsed="false">
      <c r="A3615" s="5" t="s">
        <v>695</v>
      </c>
      <c r="B3615" s="5" t="s">
        <v>65</v>
      </c>
      <c r="C3615" s="5" t="n">
        <v>2023</v>
      </c>
      <c r="D3615" s="5" t="s">
        <v>64</v>
      </c>
      <c r="E3615" s="5" t="s">
        <v>89</v>
      </c>
      <c r="F3615" s="5" t="s">
        <v>40</v>
      </c>
      <c r="G3615" s="6" t="n">
        <v>164</v>
      </c>
      <c r="H3615" s="6" t="n">
        <v>80</v>
      </c>
      <c r="I3615" s="7" t="n">
        <f aca="false">(G3615-H3615)/G3615</f>
        <v>0.51219512195122</v>
      </c>
      <c r="J3615" s="15" t="n">
        <v>0.3303</v>
      </c>
      <c r="K3615" s="11" t="str">
        <f aca="false">IF(I3615&lt;J3615,"TAK","NIE")</f>
        <v>NIE</v>
      </c>
    </row>
    <row r="3616" customFormat="false" ht="15" hidden="false" customHeight="false" outlineLevel="0" collapsed="false">
      <c r="A3616" s="5" t="s">
        <v>696</v>
      </c>
      <c r="B3616" s="5" t="s">
        <v>65</v>
      </c>
      <c r="C3616" s="5" t="n">
        <v>2023</v>
      </c>
      <c r="D3616" s="5" t="s">
        <v>64</v>
      </c>
      <c r="E3616" s="5" t="s">
        <v>89</v>
      </c>
      <c r="F3616" s="5" t="s">
        <v>40</v>
      </c>
      <c r="G3616" s="6" t="n">
        <v>658</v>
      </c>
      <c r="H3616" s="6" t="n">
        <v>286</v>
      </c>
      <c r="I3616" s="7" t="n">
        <f aca="false">(G3616-H3616)/G3616</f>
        <v>0.565349544072948</v>
      </c>
      <c r="J3616" s="15" t="n">
        <v>0.3303</v>
      </c>
      <c r="K3616" s="11" t="str">
        <f aca="false">IF(I3616&lt;J3616,"TAK","NIE")</f>
        <v>NIE</v>
      </c>
    </row>
    <row r="3617" customFormat="false" ht="15" hidden="false" customHeight="false" outlineLevel="0" collapsed="false">
      <c r="A3617" s="5" t="s">
        <v>697</v>
      </c>
      <c r="B3617" s="5" t="s">
        <v>65</v>
      </c>
      <c r="C3617" s="5" t="n">
        <v>2023</v>
      </c>
      <c r="D3617" s="5" t="s">
        <v>64</v>
      </c>
      <c r="E3617" s="5" t="s">
        <v>89</v>
      </c>
      <c r="F3617" s="5" t="s">
        <v>40</v>
      </c>
      <c r="G3617" s="6" t="n">
        <v>649</v>
      </c>
      <c r="H3617" s="6" t="n">
        <v>341</v>
      </c>
      <c r="I3617" s="7" t="n">
        <f aca="false">(G3617-H3617)/G3617</f>
        <v>0.474576271186441</v>
      </c>
      <c r="J3617" s="15" t="n">
        <v>0.3303</v>
      </c>
      <c r="K3617" s="11" t="str">
        <f aca="false">IF(I3617&lt;J3617,"TAK","NIE")</f>
        <v>NIE</v>
      </c>
    </row>
    <row r="3618" customFormat="false" ht="15" hidden="false" customHeight="false" outlineLevel="0" collapsed="false">
      <c r="A3618" s="5" t="s">
        <v>698</v>
      </c>
      <c r="B3618" s="5" t="s">
        <v>65</v>
      </c>
      <c r="C3618" s="5" t="n">
        <v>2023</v>
      </c>
      <c r="D3618" s="5" t="s">
        <v>64</v>
      </c>
      <c r="E3618" s="5" t="s">
        <v>89</v>
      </c>
      <c r="F3618" s="5" t="s">
        <v>40</v>
      </c>
      <c r="G3618" s="6" t="n">
        <v>649</v>
      </c>
      <c r="H3618" s="6" t="n">
        <v>284</v>
      </c>
      <c r="I3618" s="7" t="n">
        <f aca="false">(G3618-H3618)/G3618</f>
        <v>0.562403697996918</v>
      </c>
      <c r="J3618" s="15" t="n">
        <v>0.3303</v>
      </c>
      <c r="K3618" s="11" t="str">
        <f aca="false">IF(I3618&lt;J3618,"TAK","NIE")</f>
        <v>NIE</v>
      </c>
    </row>
    <row r="3619" customFormat="false" ht="15" hidden="false" customHeight="false" outlineLevel="0" collapsed="false">
      <c r="A3619" s="5" t="s">
        <v>582</v>
      </c>
      <c r="B3619" s="5" t="s">
        <v>65</v>
      </c>
      <c r="C3619" s="5" t="n">
        <v>2023</v>
      </c>
      <c r="D3619" s="5" t="s">
        <v>64</v>
      </c>
      <c r="E3619" s="5" t="s">
        <v>89</v>
      </c>
      <c r="F3619" s="5" t="s">
        <v>40</v>
      </c>
      <c r="G3619" s="6" t="n">
        <v>658</v>
      </c>
      <c r="H3619" s="6" t="n">
        <v>284</v>
      </c>
      <c r="I3619" s="7" t="n">
        <f aca="false">(G3619-H3619)/G3619</f>
        <v>0.56838905775076</v>
      </c>
      <c r="J3619" s="15" t="n">
        <v>0.3303</v>
      </c>
      <c r="K3619" s="11" t="str">
        <f aca="false">IF(I3619&lt;J3619,"TAK","NIE")</f>
        <v>NIE</v>
      </c>
    </row>
    <row r="3620" customFormat="false" ht="15" hidden="false" customHeight="false" outlineLevel="0" collapsed="false">
      <c r="A3620" s="5" t="s">
        <v>699</v>
      </c>
      <c r="B3620" s="5" t="s">
        <v>65</v>
      </c>
      <c r="C3620" s="5" t="n">
        <v>2023</v>
      </c>
      <c r="D3620" s="5" t="s">
        <v>64</v>
      </c>
      <c r="E3620" s="5" t="s">
        <v>89</v>
      </c>
      <c r="F3620" s="5" t="s">
        <v>40</v>
      </c>
      <c r="G3620" s="6" t="n">
        <v>658</v>
      </c>
      <c r="H3620" s="6" t="n">
        <v>326</v>
      </c>
      <c r="I3620" s="7" t="n">
        <f aca="false">(G3620-H3620)/G3620</f>
        <v>0.504559270516717</v>
      </c>
      <c r="J3620" s="15" t="n">
        <v>0.3303</v>
      </c>
      <c r="K3620" s="11" t="str">
        <f aca="false">IF(I3620&lt;J3620,"TAK","NIE")</f>
        <v>NIE</v>
      </c>
    </row>
    <row r="3621" customFormat="false" ht="15" hidden="false" customHeight="false" outlineLevel="0" collapsed="false">
      <c r="A3621" s="5" t="s">
        <v>700</v>
      </c>
      <c r="B3621" s="5" t="s">
        <v>65</v>
      </c>
      <c r="C3621" s="5" t="n">
        <v>2023</v>
      </c>
      <c r="D3621" s="5" t="s">
        <v>64</v>
      </c>
      <c r="E3621" s="5" t="s">
        <v>89</v>
      </c>
      <c r="F3621" s="5" t="s">
        <v>40</v>
      </c>
      <c r="G3621" s="6" t="n">
        <v>658</v>
      </c>
      <c r="H3621" s="6" t="n">
        <v>260</v>
      </c>
      <c r="I3621" s="7" t="n">
        <f aca="false">(G3621-H3621)/G3621</f>
        <v>0.604863221884499</v>
      </c>
      <c r="J3621" s="15" t="n">
        <v>0.3303</v>
      </c>
      <c r="K3621" s="11" t="str">
        <f aca="false">IF(I3621&lt;J3621,"TAK","NIE")</f>
        <v>NIE</v>
      </c>
    </row>
    <row r="3622" customFormat="false" ht="15" hidden="false" customHeight="false" outlineLevel="0" collapsed="false">
      <c r="A3622" s="5" t="s">
        <v>701</v>
      </c>
      <c r="B3622" s="5" t="s">
        <v>65</v>
      </c>
      <c r="C3622" s="5" t="n">
        <v>2023</v>
      </c>
      <c r="D3622" s="5" t="s">
        <v>64</v>
      </c>
      <c r="E3622" s="5" t="s">
        <v>89</v>
      </c>
      <c r="F3622" s="5" t="s">
        <v>40</v>
      </c>
      <c r="G3622" s="6" t="n">
        <v>177</v>
      </c>
      <c r="H3622" s="6" t="n">
        <v>118</v>
      </c>
      <c r="I3622" s="7" t="n">
        <f aca="false">(G3622-H3622)/G3622</f>
        <v>0.333333333333333</v>
      </c>
      <c r="J3622" s="15" t="n">
        <v>0.3303</v>
      </c>
      <c r="K3622" s="11" t="str">
        <f aca="false">IF(I3622&lt;J3622,"TAK","NIE")</f>
        <v>NIE</v>
      </c>
    </row>
    <row r="3623" customFormat="false" ht="15" hidden="false" customHeight="false" outlineLevel="0" collapsed="false">
      <c r="A3623" s="5" t="s">
        <v>702</v>
      </c>
      <c r="B3623" s="5" t="s">
        <v>65</v>
      </c>
      <c r="C3623" s="5" t="n">
        <v>2023</v>
      </c>
      <c r="D3623" s="5" t="s">
        <v>64</v>
      </c>
      <c r="E3623" s="5" t="s">
        <v>89</v>
      </c>
      <c r="F3623" s="5" t="s">
        <v>40</v>
      </c>
      <c r="G3623" s="6" t="n">
        <v>649</v>
      </c>
      <c r="H3623" s="6" t="n">
        <v>346</v>
      </c>
      <c r="I3623" s="7" t="n">
        <f aca="false">(G3623-H3623)/G3623</f>
        <v>0.466872110939908</v>
      </c>
      <c r="J3623" s="15" t="n">
        <v>0.3303</v>
      </c>
      <c r="K3623" s="11" t="str">
        <f aca="false">IF(I3623&lt;J3623,"TAK","NIE")</f>
        <v>NIE</v>
      </c>
    </row>
    <row r="3624" customFormat="false" ht="15" hidden="false" customHeight="false" outlineLevel="0" collapsed="false">
      <c r="A3624" s="5" t="s">
        <v>703</v>
      </c>
      <c r="B3624" s="5" t="s">
        <v>65</v>
      </c>
      <c r="C3624" s="5" t="n">
        <v>2023</v>
      </c>
      <c r="D3624" s="5" t="s">
        <v>64</v>
      </c>
      <c r="E3624" s="5" t="s">
        <v>89</v>
      </c>
      <c r="F3624" s="5" t="s">
        <v>40</v>
      </c>
      <c r="G3624" s="6" t="n">
        <v>658</v>
      </c>
      <c r="H3624" s="6" t="n">
        <v>199</v>
      </c>
      <c r="I3624" s="7" t="n">
        <f aca="false">(G3624-H3624)/G3624</f>
        <v>0.697568389057751</v>
      </c>
      <c r="J3624" s="15" t="n">
        <v>0.3303</v>
      </c>
      <c r="K3624" s="11" t="str">
        <f aca="false">IF(I3624&lt;J3624,"TAK","NIE")</f>
        <v>NIE</v>
      </c>
    </row>
    <row r="3625" customFormat="false" ht="15" hidden="false" customHeight="false" outlineLevel="0" collapsed="false">
      <c r="A3625" s="5" t="s">
        <v>704</v>
      </c>
      <c r="B3625" s="5" t="s">
        <v>65</v>
      </c>
      <c r="C3625" s="5" t="n">
        <v>2023</v>
      </c>
      <c r="D3625" s="5" t="s">
        <v>64</v>
      </c>
      <c r="E3625" s="5" t="s">
        <v>89</v>
      </c>
      <c r="F3625" s="5" t="s">
        <v>40</v>
      </c>
      <c r="G3625" s="6" t="n">
        <v>649</v>
      </c>
      <c r="H3625" s="6" t="n">
        <v>299</v>
      </c>
      <c r="I3625" s="7" t="n">
        <f aca="false">(G3625-H3625)/G3625</f>
        <v>0.539291217257319</v>
      </c>
      <c r="J3625" s="15" t="n">
        <v>0.3303</v>
      </c>
      <c r="K3625" s="11" t="str">
        <f aca="false">IF(I3625&lt;J3625,"TAK","NIE")</f>
        <v>NIE</v>
      </c>
    </row>
    <row r="3626" customFormat="false" ht="15" hidden="false" customHeight="false" outlineLevel="0" collapsed="false">
      <c r="A3626" s="5" t="s">
        <v>706</v>
      </c>
      <c r="B3626" s="5" t="s">
        <v>65</v>
      </c>
      <c r="C3626" s="5" t="n">
        <v>2023</v>
      </c>
      <c r="D3626" s="5" t="s">
        <v>64</v>
      </c>
      <c r="E3626" s="5" t="s">
        <v>89</v>
      </c>
      <c r="F3626" s="5" t="s">
        <v>40</v>
      </c>
      <c r="G3626" s="6" t="n">
        <v>658</v>
      </c>
      <c r="H3626" s="6" t="n">
        <v>208</v>
      </c>
      <c r="I3626" s="7" t="n">
        <f aca="false">(G3626-H3626)/G3626</f>
        <v>0.683890577507599</v>
      </c>
      <c r="J3626" s="15" t="n">
        <v>0.3303</v>
      </c>
      <c r="K3626" s="11" t="str">
        <f aca="false">IF(I3626&lt;J3626,"TAK","NIE")</f>
        <v>NIE</v>
      </c>
    </row>
    <row r="3627" customFormat="false" ht="15" hidden="false" customHeight="false" outlineLevel="0" collapsed="false">
      <c r="A3627" s="5" t="s">
        <v>707</v>
      </c>
      <c r="B3627" s="5" t="s">
        <v>65</v>
      </c>
      <c r="C3627" s="5" t="n">
        <v>2023</v>
      </c>
      <c r="D3627" s="5" t="s">
        <v>64</v>
      </c>
      <c r="E3627" s="5" t="s">
        <v>89</v>
      </c>
      <c r="F3627" s="5" t="s">
        <v>40</v>
      </c>
      <c r="G3627" s="6" t="n">
        <v>658</v>
      </c>
      <c r="H3627" s="6" t="n">
        <v>251</v>
      </c>
      <c r="I3627" s="7" t="n">
        <f aca="false">(G3627-H3627)/G3627</f>
        <v>0.618541033434651</v>
      </c>
      <c r="J3627" s="15" t="n">
        <v>0.3303</v>
      </c>
      <c r="K3627" s="11" t="str">
        <f aca="false">IF(I3627&lt;J3627,"TAK","NIE")</f>
        <v>NIE</v>
      </c>
    </row>
    <row r="3628" customFormat="false" ht="15" hidden="false" customHeight="false" outlineLevel="0" collapsed="false">
      <c r="A3628" s="5" t="s">
        <v>708</v>
      </c>
      <c r="B3628" s="5" t="s">
        <v>65</v>
      </c>
      <c r="C3628" s="5" t="n">
        <v>2023</v>
      </c>
      <c r="D3628" s="5" t="s">
        <v>64</v>
      </c>
      <c r="E3628" s="5" t="s">
        <v>89</v>
      </c>
      <c r="F3628" s="5" t="s">
        <v>40</v>
      </c>
      <c r="G3628" s="6" t="n">
        <v>649</v>
      </c>
      <c r="H3628" s="6" t="n">
        <v>247</v>
      </c>
      <c r="I3628" s="7" t="n">
        <f aca="false">(G3628-H3628)/G3628</f>
        <v>0.619414483821264</v>
      </c>
      <c r="J3628" s="15" t="n">
        <v>0.3303</v>
      </c>
      <c r="K3628" s="11" t="str">
        <f aca="false">IF(I3628&lt;J3628,"TAK","NIE")</f>
        <v>NIE</v>
      </c>
    </row>
    <row r="3629" customFormat="false" ht="15" hidden="false" customHeight="false" outlineLevel="0" collapsed="false">
      <c r="A3629" s="5" t="s">
        <v>709</v>
      </c>
      <c r="B3629" s="5" t="s">
        <v>65</v>
      </c>
      <c r="C3629" s="5" t="n">
        <v>2023</v>
      </c>
      <c r="D3629" s="5" t="s">
        <v>64</v>
      </c>
      <c r="E3629" s="5" t="s">
        <v>89</v>
      </c>
      <c r="F3629" s="5" t="s">
        <v>40</v>
      </c>
      <c r="G3629" s="6" t="n">
        <v>658</v>
      </c>
      <c r="H3629" s="6" t="n">
        <v>221</v>
      </c>
      <c r="I3629" s="7" t="n">
        <f aca="false">(G3629-H3629)/G3629</f>
        <v>0.664133738601824</v>
      </c>
      <c r="J3629" s="15" t="n">
        <v>0.3303</v>
      </c>
      <c r="K3629" s="11" t="str">
        <f aca="false">IF(I3629&lt;J3629,"TAK","NIE")</f>
        <v>NIE</v>
      </c>
    </row>
    <row r="3630" customFormat="false" ht="15" hidden="false" customHeight="false" outlineLevel="0" collapsed="false">
      <c r="A3630" s="5" t="s">
        <v>710</v>
      </c>
      <c r="B3630" s="5" t="s">
        <v>65</v>
      </c>
      <c r="C3630" s="5" t="n">
        <v>2023</v>
      </c>
      <c r="D3630" s="5" t="s">
        <v>64</v>
      </c>
      <c r="E3630" s="5" t="s">
        <v>89</v>
      </c>
      <c r="F3630" s="5" t="s">
        <v>40</v>
      </c>
      <c r="G3630" s="6" t="n">
        <v>658</v>
      </c>
      <c r="H3630" s="6" t="n">
        <v>317</v>
      </c>
      <c r="I3630" s="7" t="n">
        <f aca="false">(G3630-H3630)/G3630</f>
        <v>0.518237082066869</v>
      </c>
      <c r="J3630" s="15" t="n">
        <v>0.3303</v>
      </c>
      <c r="K3630" s="11" t="str">
        <f aca="false">IF(I3630&lt;J3630,"TAK","NIE")</f>
        <v>NIE</v>
      </c>
    </row>
    <row r="3631" customFormat="false" ht="15" hidden="false" customHeight="false" outlineLevel="0" collapsed="false">
      <c r="A3631" s="5" t="s">
        <v>711</v>
      </c>
      <c r="B3631" s="5" t="s">
        <v>65</v>
      </c>
      <c r="C3631" s="5" t="n">
        <v>2023</v>
      </c>
      <c r="D3631" s="5" t="s">
        <v>64</v>
      </c>
      <c r="E3631" s="5" t="s">
        <v>89</v>
      </c>
      <c r="F3631" s="5" t="s">
        <v>40</v>
      </c>
      <c r="G3631" s="6" t="n">
        <v>649</v>
      </c>
      <c r="H3631" s="6" t="n">
        <v>325</v>
      </c>
      <c r="I3631" s="7" t="n">
        <f aca="false">(G3631-H3631)/G3631</f>
        <v>0.499229583975347</v>
      </c>
      <c r="J3631" s="15" t="n">
        <v>0.3303</v>
      </c>
      <c r="K3631" s="11" t="str">
        <f aca="false">IF(I3631&lt;J3631,"TAK","NIE")</f>
        <v>NIE</v>
      </c>
    </row>
    <row r="3632" customFormat="false" ht="15" hidden="false" customHeight="false" outlineLevel="0" collapsed="false">
      <c r="A3632" s="5" t="s">
        <v>712</v>
      </c>
      <c r="B3632" s="5" t="s">
        <v>65</v>
      </c>
      <c r="C3632" s="5" t="n">
        <v>2023</v>
      </c>
      <c r="D3632" s="5" t="s">
        <v>64</v>
      </c>
      <c r="E3632" s="5" t="s">
        <v>89</v>
      </c>
      <c r="F3632" s="5" t="s">
        <v>40</v>
      </c>
      <c r="G3632" s="6" t="n">
        <v>658</v>
      </c>
      <c r="H3632" s="6" t="n">
        <v>331</v>
      </c>
      <c r="I3632" s="7" t="n">
        <f aca="false">(G3632-H3632)/G3632</f>
        <v>0.496960486322189</v>
      </c>
      <c r="J3632" s="15" t="n">
        <v>0.3303</v>
      </c>
      <c r="K3632" s="11" t="str">
        <f aca="false">IF(I3632&lt;J3632,"TAK","NIE")</f>
        <v>NIE</v>
      </c>
    </row>
    <row r="3633" customFormat="false" ht="15" hidden="false" customHeight="false" outlineLevel="0" collapsed="false">
      <c r="A3633" s="5" t="s">
        <v>713</v>
      </c>
      <c r="B3633" s="5" t="s">
        <v>65</v>
      </c>
      <c r="C3633" s="5" t="n">
        <v>2023</v>
      </c>
      <c r="D3633" s="5" t="s">
        <v>64</v>
      </c>
      <c r="E3633" s="5" t="s">
        <v>89</v>
      </c>
      <c r="F3633" s="5" t="s">
        <v>40</v>
      </c>
      <c r="G3633" s="6" t="n">
        <v>649</v>
      </c>
      <c r="H3633" s="6" t="n">
        <v>221</v>
      </c>
      <c r="I3633" s="7" t="n">
        <f aca="false">(G3633-H3633)/G3633</f>
        <v>0.659476117103236</v>
      </c>
      <c r="J3633" s="15" t="n">
        <v>0.3303</v>
      </c>
      <c r="K3633" s="11" t="str">
        <f aca="false">IF(I3633&lt;J3633,"TAK","NIE")</f>
        <v>NIE</v>
      </c>
    </row>
    <row r="3634" customFormat="false" ht="15" hidden="false" customHeight="false" outlineLevel="0" collapsed="false">
      <c r="A3634" s="5" t="s">
        <v>714</v>
      </c>
      <c r="B3634" s="5" t="s">
        <v>65</v>
      </c>
      <c r="C3634" s="5" t="n">
        <v>2023</v>
      </c>
      <c r="D3634" s="5" t="s">
        <v>64</v>
      </c>
      <c r="E3634" s="5" t="s">
        <v>89</v>
      </c>
      <c r="F3634" s="5" t="s">
        <v>40</v>
      </c>
      <c r="G3634" s="6" t="n">
        <v>658</v>
      </c>
      <c r="H3634" s="6" t="n">
        <v>274</v>
      </c>
      <c r="I3634" s="7" t="n">
        <f aca="false">(G3634-H3634)/G3634</f>
        <v>0.583586626139818</v>
      </c>
      <c r="J3634" s="15" t="n">
        <v>0.3303</v>
      </c>
      <c r="K3634" s="11" t="str">
        <f aca="false">IF(I3634&lt;J3634,"TAK","NIE")</f>
        <v>NIE</v>
      </c>
    </row>
    <row r="3635" customFormat="false" ht="15" hidden="false" customHeight="false" outlineLevel="0" collapsed="false">
      <c r="A3635" s="5" t="s">
        <v>715</v>
      </c>
      <c r="B3635" s="5" t="s">
        <v>65</v>
      </c>
      <c r="C3635" s="5" t="n">
        <v>2023</v>
      </c>
      <c r="D3635" s="5" t="s">
        <v>64</v>
      </c>
      <c r="E3635" s="5" t="s">
        <v>89</v>
      </c>
      <c r="F3635" s="5" t="s">
        <v>40</v>
      </c>
      <c r="G3635" s="6" t="n">
        <v>649</v>
      </c>
      <c r="H3635" s="6" t="n">
        <v>417</v>
      </c>
      <c r="I3635" s="7" t="n">
        <f aca="false">(G3635-H3635)/G3635</f>
        <v>0.357473035439137</v>
      </c>
      <c r="J3635" s="15" t="n">
        <v>0.3303</v>
      </c>
      <c r="K3635" s="11" t="str">
        <f aca="false">IF(I3635&lt;J3635,"TAK","NIE")</f>
        <v>NIE</v>
      </c>
    </row>
    <row r="3636" customFormat="false" ht="15" hidden="false" customHeight="false" outlineLevel="0" collapsed="false">
      <c r="A3636" s="5" t="s">
        <v>716</v>
      </c>
      <c r="B3636" s="5" t="s">
        <v>65</v>
      </c>
      <c r="C3636" s="5" t="n">
        <v>2023</v>
      </c>
      <c r="D3636" s="5" t="s">
        <v>64</v>
      </c>
      <c r="E3636" s="5" t="s">
        <v>89</v>
      </c>
      <c r="F3636" s="5" t="s">
        <v>40</v>
      </c>
      <c r="G3636" s="6" t="n">
        <v>658</v>
      </c>
      <c r="H3636" s="6" t="n">
        <v>221</v>
      </c>
      <c r="I3636" s="7" t="n">
        <f aca="false">(G3636-H3636)/G3636</f>
        <v>0.664133738601824</v>
      </c>
      <c r="J3636" s="15" t="n">
        <v>0.3303</v>
      </c>
      <c r="K3636" s="11" t="str">
        <f aca="false">IF(I3636&lt;J3636,"TAK","NIE")</f>
        <v>NIE</v>
      </c>
    </row>
    <row r="3637" customFormat="false" ht="15" hidden="false" customHeight="false" outlineLevel="0" collapsed="false">
      <c r="A3637" s="5" t="s">
        <v>717</v>
      </c>
      <c r="B3637" s="5" t="s">
        <v>97</v>
      </c>
      <c r="C3637" s="5" t="n">
        <v>2023</v>
      </c>
      <c r="D3637" s="5" t="s">
        <v>68</v>
      </c>
      <c r="E3637" s="5" t="s">
        <v>57</v>
      </c>
      <c r="F3637" s="5" t="s">
        <v>39</v>
      </c>
      <c r="G3637" s="6" t="n">
        <v>657</v>
      </c>
      <c r="H3637" s="6" t="n">
        <v>77</v>
      </c>
      <c r="I3637" s="7" t="n">
        <f aca="false">(G3637-H3637)/G3637</f>
        <v>0.882800608828006</v>
      </c>
      <c r="J3637" s="15" t="n">
        <v>0.4281</v>
      </c>
      <c r="K3637" s="11" t="str">
        <f aca="false">IF(I3637&lt;J3637,"TAK","NIE")</f>
        <v>NIE</v>
      </c>
    </row>
    <row r="3638" customFormat="false" ht="15" hidden="false" customHeight="false" outlineLevel="0" collapsed="false">
      <c r="A3638" s="5" t="s">
        <v>718</v>
      </c>
      <c r="B3638" s="5" t="s">
        <v>97</v>
      </c>
      <c r="C3638" s="5" t="n">
        <v>2023</v>
      </c>
      <c r="D3638" s="5" t="s">
        <v>68</v>
      </c>
      <c r="E3638" s="5" t="s">
        <v>57</v>
      </c>
      <c r="F3638" s="5" t="s">
        <v>39</v>
      </c>
      <c r="G3638" s="6" t="n">
        <v>657</v>
      </c>
      <c r="H3638" s="6" t="n">
        <v>31</v>
      </c>
      <c r="I3638" s="7" t="n">
        <f aca="false">(G3638-H3638)/G3638</f>
        <v>0.952815829528158</v>
      </c>
      <c r="J3638" s="15" t="n">
        <v>0.4281</v>
      </c>
      <c r="K3638" s="11" t="str">
        <f aca="false">IF(I3638&lt;J3638,"TAK","NIE")</f>
        <v>NIE</v>
      </c>
    </row>
    <row r="3639" customFormat="false" ht="15" hidden="false" customHeight="false" outlineLevel="0" collapsed="false">
      <c r="A3639" s="5" t="s">
        <v>719</v>
      </c>
      <c r="B3639" s="5" t="s">
        <v>97</v>
      </c>
      <c r="C3639" s="5" t="n">
        <v>2023</v>
      </c>
      <c r="D3639" s="5" t="s">
        <v>68</v>
      </c>
      <c r="E3639" s="5" t="s">
        <v>57</v>
      </c>
      <c r="F3639" s="5" t="s">
        <v>39</v>
      </c>
      <c r="G3639" s="6" t="n">
        <v>657</v>
      </c>
      <c r="H3639" s="6" t="n">
        <v>105</v>
      </c>
      <c r="I3639" s="7" t="n">
        <f aca="false">(G3639-H3639)/G3639</f>
        <v>0.840182648401826</v>
      </c>
      <c r="J3639" s="15" t="n">
        <v>0.4281</v>
      </c>
      <c r="K3639" s="11" t="str">
        <f aca="false">IF(I3639&lt;J3639,"TAK","NIE")</f>
        <v>NIE</v>
      </c>
    </row>
    <row r="3640" customFormat="false" ht="15" hidden="false" customHeight="false" outlineLevel="0" collapsed="false">
      <c r="A3640" s="5" t="s">
        <v>720</v>
      </c>
      <c r="B3640" s="5" t="s">
        <v>97</v>
      </c>
      <c r="C3640" s="5" t="n">
        <v>2023</v>
      </c>
      <c r="D3640" s="5" t="s">
        <v>68</v>
      </c>
      <c r="E3640" s="5" t="s">
        <v>57</v>
      </c>
      <c r="F3640" s="5" t="s">
        <v>39</v>
      </c>
      <c r="G3640" s="6" t="n">
        <v>658</v>
      </c>
      <c r="H3640" s="6" t="n">
        <v>64</v>
      </c>
      <c r="I3640" s="7" t="n">
        <f aca="false">(G3640-H3640)/G3640</f>
        <v>0.90273556231003</v>
      </c>
      <c r="J3640" s="15" t="n">
        <v>0.4281</v>
      </c>
      <c r="K3640" s="11" t="str">
        <f aca="false">IF(I3640&lt;J3640,"TAK","NIE")</f>
        <v>NIE</v>
      </c>
    </row>
    <row r="3641" customFormat="false" ht="15" hidden="false" customHeight="false" outlineLevel="0" collapsed="false">
      <c r="A3641" s="5" t="s">
        <v>721</v>
      </c>
      <c r="B3641" s="5" t="s">
        <v>97</v>
      </c>
      <c r="C3641" s="5" t="n">
        <v>2023</v>
      </c>
      <c r="D3641" s="5" t="s">
        <v>68</v>
      </c>
      <c r="E3641" s="5" t="s">
        <v>57</v>
      </c>
      <c r="F3641" s="5" t="s">
        <v>39</v>
      </c>
      <c r="G3641" s="6" t="n">
        <v>657</v>
      </c>
      <c r="H3641" s="6" t="n">
        <v>57</v>
      </c>
      <c r="I3641" s="7" t="n">
        <f aca="false">(G3641-H3641)/G3641</f>
        <v>0.91324200913242</v>
      </c>
      <c r="J3641" s="15" t="n">
        <v>0.4281</v>
      </c>
      <c r="K3641" s="11" t="str">
        <f aca="false">IF(I3641&lt;J3641,"TAK","NIE")</f>
        <v>NIE</v>
      </c>
    </row>
    <row r="3642" customFormat="false" ht="15" hidden="false" customHeight="false" outlineLevel="0" collapsed="false">
      <c r="A3642" s="5" t="s">
        <v>722</v>
      </c>
      <c r="B3642" s="5" t="s">
        <v>97</v>
      </c>
      <c r="C3642" s="5" t="n">
        <v>2023</v>
      </c>
      <c r="D3642" s="5" t="s">
        <v>68</v>
      </c>
      <c r="E3642" s="5" t="s">
        <v>57</v>
      </c>
      <c r="F3642" s="5" t="s">
        <v>39</v>
      </c>
      <c r="G3642" s="6" t="n">
        <v>658</v>
      </c>
      <c r="H3642" s="6" t="n">
        <v>84</v>
      </c>
      <c r="I3642" s="7" t="n">
        <f aca="false">(G3642-H3642)/G3642</f>
        <v>0.872340425531915</v>
      </c>
      <c r="J3642" s="15" t="n">
        <v>0.4281</v>
      </c>
      <c r="K3642" s="11" t="str">
        <f aca="false">IF(I3642&lt;J3642,"TAK","NIE")</f>
        <v>NIE</v>
      </c>
    </row>
    <row r="3643" customFormat="false" ht="15" hidden="false" customHeight="false" outlineLevel="0" collapsed="false">
      <c r="A3643" s="5" t="s">
        <v>723</v>
      </c>
      <c r="B3643" s="5" t="s">
        <v>97</v>
      </c>
      <c r="C3643" s="5" t="n">
        <v>2023</v>
      </c>
      <c r="D3643" s="5" t="s">
        <v>68</v>
      </c>
      <c r="E3643" s="5" t="s">
        <v>57</v>
      </c>
      <c r="F3643" s="5" t="s">
        <v>39</v>
      </c>
      <c r="G3643" s="6" t="n">
        <v>657</v>
      </c>
      <c r="H3643" s="6" t="n">
        <v>44</v>
      </c>
      <c r="I3643" s="7" t="n">
        <f aca="false">(G3643-H3643)/G3643</f>
        <v>0.933028919330289</v>
      </c>
      <c r="J3643" s="15" t="n">
        <v>0.4281</v>
      </c>
      <c r="K3643" s="11" t="str">
        <f aca="false">IF(I3643&lt;J3643,"TAK","NIE")</f>
        <v>NIE</v>
      </c>
    </row>
    <row r="3644" customFormat="false" ht="15" hidden="false" customHeight="false" outlineLevel="0" collapsed="false">
      <c r="A3644" s="5" t="s">
        <v>724</v>
      </c>
      <c r="B3644" s="5" t="s">
        <v>97</v>
      </c>
      <c r="C3644" s="5" t="n">
        <v>2023</v>
      </c>
      <c r="D3644" s="5" t="s">
        <v>68</v>
      </c>
      <c r="E3644" s="5" t="s">
        <v>57</v>
      </c>
      <c r="F3644" s="5" t="s">
        <v>39</v>
      </c>
      <c r="G3644" s="6" t="n">
        <v>658</v>
      </c>
      <c r="H3644" s="6" t="n">
        <v>116</v>
      </c>
      <c r="I3644" s="7" t="n">
        <f aca="false">(G3644-H3644)/G3644</f>
        <v>0.82370820668693</v>
      </c>
      <c r="J3644" s="15" t="n">
        <v>0.4281</v>
      </c>
      <c r="K3644" s="11" t="str">
        <f aca="false">IF(I3644&lt;J3644,"TAK","NIE")</f>
        <v>NIE</v>
      </c>
    </row>
    <row r="3645" customFormat="false" ht="15" hidden="false" customHeight="false" outlineLevel="0" collapsed="false">
      <c r="A3645" s="5" t="s">
        <v>725</v>
      </c>
      <c r="B3645" s="5" t="s">
        <v>97</v>
      </c>
      <c r="C3645" s="5" t="n">
        <v>2023</v>
      </c>
      <c r="D3645" s="5" t="s">
        <v>68</v>
      </c>
      <c r="E3645" s="5" t="s">
        <v>57</v>
      </c>
      <c r="F3645" s="5" t="s">
        <v>39</v>
      </c>
      <c r="G3645" s="6" t="n">
        <v>658</v>
      </c>
      <c r="H3645" s="6" t="n">
        <v>20</v>
      </c>
      <c r="I3645" s="7" t="n">
        <f aca="false">(G3645-H3645)/G3645</f>
        <v>0.969604863221885</v>
      </c>
      <c r="J3645" s="15" t="n">
        <v>0.4281</v>
      </c>
      <c r="K3645" s="11" t="str">
        <f aca="false">IF(I3645&lt;J3645,"TAK","NIE")</f>
        <v>NIE</v>
      </c>
    </row>
    <row r="3646" customFormat="false" ht="15" hidden="false" customHeight="false" outlineLevel="0" collapsed="false">
      <c r="A3646" s="5" t="s">
        <v>726</v>
      </c>
      <c r="B3646" s="5" t="s">
        <v>97</v>
      </c>
      <c r="C3646" s="5" t="n">
        <v>2023</v>
      </c>
      <c r="D3646" s="5" t="s">
        <v>68</v>
      </c>
      <c r="E3646" s="5" t="s">
        <v>57</v>
      </c>
      <c r="F3646" s="5" t="s">
        <v>39</v>
      </c>
      <c r="G3646" s="6" t="n">
        <v>46</v>
      </c>
      <c r="H3646" s="6" t="n">
        <v>8</v>
      </c>
      <c r="I3646" s="7" t="n">
        <f aca="false">(G3646-H3646)/G3646</f>
        <v>0.826086956521739</v>
      </c>
      <c r="J3646" s="15" t="n">
        <v>0.4281</v>
      </c>
      <c r="K3646" s="11" t="str">
        <f aca="false">IF(I3646&lt;J3646,"TAK","NIE")</f>
        <v>NIE</v>
      </c>
    </row>
    <row r="3647" customFormat="false" ht="15" hidden="false" customHeight="false" outlineLevel="0" collapsed="false">
      <c r="A3647" s="5" t="s">
        <v>727</v>
      </c>
      <c r="B3647" s="5" t="s">
        <v>97</v>
      </c>
      <c r="C3647" s="5" t="n">
        <v>2023</v>
      </c>
      <c r="D3647" s="5" t="s">
        <v>68</v>
      </c>
      <c r="E3647" s="5" t="s">
        <v>57</v>
      </c>
      <c r="F3647" s="5" t="s">
        <v>39</v>
      </c>
      <c r="G3647" s="6" t="n">
        <v>657</v>
      </c>
      <c r="H3647" s="6" t="n">
        <v>230</v>
      </c>
      <c r="I3647" s="7" t="n">
        <f aca="false">(G3647-H3647)/G3647</f>
        <v>0.649923896499239</v>
      </c>
      <c r="J3647" s="15" t="n">
        <v>0.4281</v>
      </c>
      <c r="K3647" s="11" t="str">
        <f aca="false">IF(I3647&lt;J3647,"TAK","NIE")</f>
        <v>NIE</v>
      </c>
    </row>
    <row r="3648" customFormat="false" ht="15" hidden="false" customHeight="false" outlineLevel="0" collapsed="false">
      <c r="A3648" s="5" t="s">
        <v>728</v>
      </c>
      <c r="B3648" s="5" t="s">
        <v>97</v>
      </c>
      <c r="C3648" s="5" t="n">
        <v>2023</v>
      </c>
      <c r="D3648" s="5" t="s">
        <v>68</v>
      </c>
      <c r="E3648" s="5" t="s">
        <v>57</v>
      </c>
      <c r="F3648" s="5" t="s">
        <v>39</v>
      </c>
      <c r="G3648" s="6" t="n">
        <v>658</v>
      </c>
      <c r="H3648" s="6" t="n">
        <v>76</v>
      </c>
      <c r="I3648" s="7" t="n">
        <f aca="false">(G3648-H3648)/G3648</f>
        <v>0.884498480243161</v>
      </c>
      <c r="J3648" s="15" t="n">
        <v>0.4281</v>
      </c>
      <c r="K3648" s="11" t="str">
        <f aca="false">IF(I3648&lt;J3648,"TAK","NIE")</f>
        <v>NIE</v>
      </c>
    </row>
    <row r="3649" customFormat="false" ht="15" hidden="false" customHeight="false" outlineLevel="0" collapsed="false">
      <c r="A3649" s="5" t="s">
        <v>729</v>
      </c>
      <c r="B3649" s="5" t="s">
        <v>97</v>
      </c>
      <c r="C3649" s="5" t="n">
        <v>2023</v>
      </c>
      <c r="D3649" s="5" t="s">
        <v>68</v>
      </c>
      <c r="E3649" s="5" t="s">
        <v>57</v>
      </c>
      <c r="F3649" s="5" t="s">
        <v>39</v>
      </c>
      <c r="G3649" s="6" t="n">
        <v>658</v>
      </c>
      <c r="H3649" s="6" t="n">
        <v>108</v>
      </c>
      <c r="I3649" s="7" t="n">
        <f aca="false">(G3649-H3649)/G3649</f>
        <v>0.835866261398176</v>
      </c>
      <c r="J3649" s="15" t="n">
        <v>0.4281</v>
      </c>
      <c r="K3649" s="11" t="str">
        <f aca="false">IF(I3649&lt;J3649,"TAK","NIE")</f>
        <v>NIE</v>
      </c>
    </row>
    <row r="3650" customFormat="false" ht="15" hidden="false" customHeight="false" outlineLevel="0" collapsed="false">
      <c r="A3650" s="5" t="s">
        <v>730</v>
      </c>
      <c r="B3650" s="5" t="s">
        <v>97</v>
      </c>
      <c r="C3650" s="5" t="n">
        <v>2023</v>
      </c>
      <c r="D3650" s="5" t="s">
        <v>68</v>
      </c>
      <c r="E3650" s="5" t="s">
        <v>57</v>
      </c>
      <c r="F3650" s="5" t="s">
        <v>39</v>
      </c>
      <c r="G3650" s="6" t="n">
        <v>657</v>
      </c>
      <c r="H3650" s="6" t="n">
        <v>74</v>
      </c>
      <c r="I3650" s="7" t="n">
        <f aca="false">(G3650-H3650)/G3650</f>
        <v>0.887366818873668</v>
      </c>
      <c r="J3650" s="15" t="n">
        <v>0.4281</v>
      </c>
      <c r="K3650" s="11" t="str">
        <f aca="false">IF(I3650&lt;J3650,"TAK","NIE")</f>
        <v>NIE</v>
      </c>
    </row>
    <row r="3651" customFormat="false" ht="15" hidden="false" customHeight="false" outlineLevel="0" collapsed="false">
      <c r="A3651" s="5" t="s">
        <v>731</v>
      </c>
      <c r="B3651" s="5" t="s">
        <v>97</v>
      </c>
      <c r="C3651" s="5" t="n">
        <v>2023</v>
      </c>
      <c r="D3651" s="5" t="s">
        <v>68</v>
      </c>
      <c r="E3651" s="5" t="s">
        <v>57</v>
      </c>
      <c r="F3651" s="5" t="s">
        <v>39</v>
      </c>
      <c r="G3651" s="6" t="n">
        <v>587</v>
      </c>
      <c r="H3651" s="6" t="n">
        <v>116</v>
      </c>
      <c r="I3651" s="7" t="n">
        <f aca="false">(G3651-H3651)/G3651</f>
        <v>0.802385008517888</v>
      </c>
      <c r="J3651" s="15" t="n">
        <v>0.4281</v>
      </c>
      <c r="K3651" s="11" t="str">
        <f aca="false">IF(I3651&lt;J3651,"TAK","NIE")</f>
        <v>NIE</v>
      </c>
    </row>
    <row r="3652" customFormat="false" ht="15" hidden="false" customHeight="false" outlineLevel="0" collapsed="false">
      <c r="A3652" s="5" t="s">
        <v>732</v>
      </c>
      <c r="B3652" s="5" t="s">
        <v>97</v>
      </c>
      <c r="C3652" s="5" t="n">
        <v>2023</v>
      </c>
      <c r="D3652" s="5" t="s">
        <v>68</v>
      </c>
      <c r="E3652" s="5" t="s">
        <v>57</v>
      </c>
      <c r="F3652" s="5" t="s">
        <v>39</v>
      </c>
      <c r="G3652" s="6" t="n">
        <v>251</v>
      </c>
      <c r="H3652" s="6" t="n">
        <v>93</v>
      </c>
      <c r="I3652" s="7" t="n">
        <f aca="false">(G3652-H3652)/G3652</f>
        <v>0.629482071713147</v>
      </c>
      <c r="J3652" s="15" t="n">
        <v>0.4281</v>
      </c>
      <c r="K3652" s="11" t="str">
        <f aca="false">IF(I3652&lt;J3652,"TAK","NIE")</f>
        <v>NIE</v>
      </c>
    </row>
    <row r="3653" customFormat="false" ht="15" hidden="false" customHeight="false" outlineLevel="0" collapsed="false">
      <c r="A3653" s="5" t="s">
        <v>733</v>
      </c>
      <c r="B3653" s="5" t="s">
        <v>97</v>
      </c>
      <c r="C3653" s="5" t="n">
        <v>2023</v>
      </c>
      <c r="D3653" s="5" t="s">
        <v>68</v>
      </c>
      <c r="E3653" s="5" t="s">
        <v>57</v>
      </c>
      <c r="F3653" s="5" t="s">
        <v>39</v>
      </c>
      <c r="G3653" s="6" t="n">
        <v>657</v>
      </c>
      <c r="H3653" s="6" t="n">
        <v>263</v>
      </c>
      <c r="I3653" s="7" t="n">
        <f aca="false">(G3653-H3653)/G3653</f>
        <v>0.599695585996956</v>
      </c>
      <c r="J3653" s="15" t="n">
        <v>0.4281</v>
      </c>
      <c r="K3653" s="11" t="str">
        <f aca="false">IF(I3653&lt;J3653,"TAK","NIE")</f>
        <v>NIE</v>
      </c>
    </row>
    <row r="3654" customFormat="false" ht="15" hidden="false" customHeight="false" outlineLevel="0" collapsed="false">
      <c r="A3654" s="5" t="s">
        <v>734</v>
      </c>
      <c r="B3654" s="5" t="s">
        <v>97</v>
      </c>
      <c r="C3654" s="5" t="n">
        <v>2023</v>
      </c>
      <c r="D3654" s="5" t="s">
        <v>68</v>
      </c>
      <c r="E3654" s="5" t="s">
        <v>57</v>
      </c>
      <c r="F3654" s="5" t="s">
        <v>39</v>
      </c>
      <c r="G3654" s="6" t="n">
        <v>657</v>
      </c>
      <c r="H3654" s="6" t="n">
        <v>208</v>
      </c>
      <c r="I3654" s="7" t="n">
        <f aca="false">(G3654-H3654)/G3654</f>
        <v>0.683409436834094</v>
      </c>
      <c r="J3654" s="15" t="n">
        <v>0.4281</v>
      </c>
      <c r="K3654" s="11" t="str">
        <f aca="false">IF(I3654&lt;J3654,"TAK","NIE")</f>
        <v>NIE</v>
      </c>
    </row>
    <row r="3655" customFormat="false" ht="15" hidden="false" customHeight="false" outlineLevel="0" collapsed="false">
      <c r="A3655" s="5" t="s">
        <v>735</v>
      </c>
      <c r="B3655" s="5" t="s">
        <v>97</v>
      </c>
      <c r="C3655" s="5" t="n">
        <v>2023</v>
      </c>
      <c r="D3655" s="5" t="s">
        <v>68</v>
      </c>
      <c r="E3655" s="5" t="s">
        <v>57</v>
      </c>
      <c r="F3655" s="5" t="s">
        <v>39</v>
      </c>
      <c r="G3655" s="6" t="n">
        <v>458</v>
      </c>
      <c r="H3655" s="6" t="n">
        <v>118</v>
      </c>
      <c r="I3655" s="7" t="n">
        <f aca="false">(G3655-H3655)/G3655</f>
        <v>0.74235807860262</v>
      </c>
      <c r="J3655" s="15" t="n">
        <v>0.4281</v>
      </c>
      <c r="K3655" s="11" t="str">
        <f aca="false">IF(I3655&lt;J3655,"TAK","NIE")</f>
        <v>NIE</v>
      </c>
    </row>
    <row r="3656" customFormat="false" ht="15" hidden="false" customHeight="false" outlineLevel="0" collapsed="false">
      <c r="A3656" s="5" t="s">
        <v>736</v>
      </c>
      <c r="B3656" s="5" t="s">
        <v>97</v>
      </c>
      <c r="C3656" s="5" t="n">
        <v>2023</v>
      </c>
      <c r="D3656" s="5" t="s">
        <v>68</v>
      </c>
      <c r="E3656" s="5" t="s">
        <v>57</v>
      </c>
      <c r="F3656" s="5" t="s">
        <v>39</v>
      </c>
      <c r="G3656" s="6" t="n">
        <v>657</v>
      </c>
      <c r="H3656" s="6" t="n">
        <v>148</v>
      </c>
      <c r="I3656" s="7" t="n">
        <f aca="false">(G3656-H3656)/G3656</f>
        <v>0.774733637747336</v>
      </c>
      <c r="J3656" s="15" t="n">
        <v>0.4281</v>
      </c>
      <c r="K3656" s="11" t="str">
        <f aca="false">IF(I3656&lt;J3656,"TAK","NIE")</f>
        <v>NIE</v>
      </c>
    </row>
    <row r="3657" customFormat="false" ht="15" hidden="false" customHeight="false" outlineLevel="0" collapsed="false">
      <c r="A3657" s="5" t="s">
        <v>737</v>
      </c>
      <c r="B3657" s="5" t="s">
        <v>97</v>
      </c>
      <c r="C3657" s="5" t="n">
        <v>2023</v>
      </c>
      <c r="D3657" s="5" t="s">
        <v>68</v>
      </c>
      <c r="E3657" s="5" t="s">
        <v>57</v>
      </c>
      <c r="F3657" s="5" t="s">
        <v>39</v>
      </c>
      <c r="G3657" s="6" t="n">
        <v>657</v>
      </c>
      <c r="H3657" s="6" t="n">
        <v>65</v>
      </c>
      <c r="I3657" s="7" t="n">
        <f aca="false">(G3657-H3657)/G3657</f>
        <v>0.901065449010654</v>
      </c>
      <c r="J3657" s="15" t="n">
        <v>0.4281</v>
      </c>
      <c r="K3657" s="11" t="str">
        <f aca="false">IF(I3657&lt;J3657,"TAK","NIE")</f>
        <v>NIE</v>
      </c>
    </row>
    <row r="3658" customFormat="false" ht="15" hidden="false" customHeight="false" outlineLevel="0" collapsed="false">
      <c r="A3658" s="5" t="s">
        <v>710</v>
      </c>
      <c r="B3658" s="5" t="s">
        <v>97</v>
      </c>
      <c r="C3658" s="5" t="n">
        <v>2023</v>
      </c>
      <c r="D3658" s="5" t="s">
        <v>68</v>
      </c>
      <c r="E3658" s="5" t="s">
        <v>57</v>
      </c>
      <c r="F3658" s="5" t="s">
        <v>39</v>
      </c>
      <c r="G3658" s="6" t="n">
        <v>402</v>
      </c>
      <c r="H3658" s="6" t="n">
        <v>78</v>
      </c>
      <c r="I3658" s="7" t="n">
        <f aca="false">(G3658-H3658)/G3658</f>
        <v>0.805970149253731</v>
      </c>
      <c r="J3658" s="15" t="n">
        <v>0.4281</v>
      </c>
      <c r="K3658" s="11" t="str">
        <f aca="false">IF(I3658&lt;J3658,"TAK","NIE")</f>
        <v>NIE</v>
      </c>
    </row>
    <row r="3659" customFormat="false" ht="15" hidden="false" customHeight="false" outlineLevel="0" collapsed="false">
      <c r="A3659" s="5" t="s">
        <v>738</v>
      </c>
      <c r="B3659" s="5" t="s">
        <v>97</v>
      </c>
      <c r="C3659" s="5" t="n">
        <v>2023</v>
      </c>
      <c r="D3659" s="5" t="s">
        <v>68</v>
      </c>
      <c r="E3659" s="5" t="s">
        <v>57</v>
      </c>
      <c r="F3659" s="5" t="s">
        <v>39</v>
      </c>
      <c r="G3659" s="6" t="n">
        <v>658</v>
      </c>
      <c r="H3659" s="6" t="n">
        <v>79</v>
      </c>
      <c r="I3659" s="7" t="n">
        <f aca="false">(G3659-H3659)/G3659</f>
        <v>0.879939209726444</v>
      </c>
      <c r="J3659" s="15" t="n">
        <v>0.4281</v>
      </c>
      <c r="K3659" s="11" t="str">
        <f aca="false">IF(I3659&lt;J3659,"TAK","NIE")</f>
        <v>NIE</v>
      </c>
    </row>
    <row r="3660" customFormat="false" ht="15" hidden="false" customHeight="false" outlineLevel="0" collapsed="false">
      <c r="A3660" s="5" t="s">
        <v>739</v>
      </c>
      <c r="B3660" s="5" t="s">
        <v>97</v>
      </c>
      <c r="C3660" s="5" t="n">
        <v>2023</v>
      </c>
      <c r="D3660" s="5" t="s">
        <v>68</v>
      </c>
      <c r="E3660" s="5" t="s">
        <v>57</v>
      </c>
      <c r="F3660" s="5" t="s">
        <v>39</v>
      </c>
      <c r="G3660" s="6" t="n">
        <v>45</v>
      </c>
      <c r="H3660" s="6" t="n">
        <v>14</v>
      </c>
      <c r="I3660" s="7" t="n">
        <f aca="false">(G3660-H3660)/G3660</f>
        <v>0.688888888888889</v>
      </c>
      <c r="J3660" s="15" t="n">
        <v>0.4281</v>
      </c>
      <c r="K3660" s="11" t="str">
        <f aca="false">IF(I3660&lt;J3660,"TAK","NIE")</f>
        <v>NIE</v>
      </c>
    </row>
    <row r="3661" customFormat="false" ht="15" hidden="false" customHeight="false" outlineLevel="0" collapsed="false">
      <c r="A3661" s="5" t="s">
        <v>740</v>
      </c>
      <c r="B3661" s="5" t="s">
        <v>97</v>
      </c>
      <c r="C3661" s="5" t="n">
        <v>2023</v>
      </c>
      <c r="D3661" s="5" t="s">
        <v>68</v>
      </c>
      <c r="E3661" s="5" t="s">
        <v>57</v>
      </c>
      <c r="F3661" s="5" t="s">
        <v>39</v>
      </c>
      <c r="G3661" s="6" t="n">
        <v>658</v>
      </c>
      <c r="H3661" s="6" t="n">
        <v>204</v>
      </c>
      <c r="I3661" s="7" t="n">
        <f aca="false">(G3661-H3661)/G3661</f>
        <v>0.689969604863222</v>
      </c>
      <c r="J3661" s="15" t="n">
        <v>0.4281</v>
      </c>
      <c r="K3661" s="11" t="str">
        <f aca="false">IF(I3661&lt;J3661,"TAK","NIE")</f>
        <v>NIE</v>
      </c>
    </row>
    <row r="3662" customFormat="false" ht="15" hidden="false" customHeight="false" outlineLevel="0" collapsed="false">
      <c r="A3662" s="5" t="s">
        <v>741</v>
      </c>
      <c r="B3662" s="5" t="s">
        <v>97</v>
      </c>
      <c r="C3662" s="5" t="n">
        <v>2023</v>
      </c>
      <c r="D3662" s="5" t="s">
        <v>68</v>
      </c>
      <c r="E3662" s="5" t="s">
        <v>57</v>
      </c>
      <c r="F3662" s="5" t="s">
        <v>39</v>
      </c>
      <c r="G3662" s="6" t="n">
        <v>658</v>
      </c>
      <c r="H3662" s="6" t="n">
        <v>237</v>
      </c>
      <c r="I3662" s="7" t="n">
        <f aca="false">(G3662-H3662)/G3662</f>
        <v>0.639817629179331</v>
      </c>
      <c r="J3662" s="15" t="n">
        <v>0.4281</v>
      </c>
      <c r="K3662" s="11" t="str">
        <f aca="false">IF(I3662&lt;J3662,"TAK","NIE")</f>
        <v>NIE</v>
      </c>
    </row>
    <row r="3663" customFormat="false" ht="15" hidden="false" customHeight="false" outlineLevel="0" collapsed="false">
      <c r="A3663" s="5" t="s">
        <v>717</v>
      </c>
      <c r="B3663" s="5" t="s">
        <v>97</v>
      </c>
      <c r="C3663" s="5" t="n">
        <v>2023</v>
      </c>
      <c r="D3663" s="5" t="s">
        <v>68</v>
      </c>
      <c r="E3663" s="5" t="s">
        <v>57</v>
      </c>
      <c r="F3663" s="5" t="s">
        <v>40</v>
      </c>
      <c r="G3663" s="6" t="n">
        <v>706</v>
      </c>
      <c r="H3663" s="6" t="n">
        <v>181</v>
      </c>
      <c r="I3663" s="7" t="n">
        <f aca="false">(G3663-H3663)/G3663</f>
        <v>0.743626062322946</v>
      </c>
      <c r="J3663" s="15" t="n">
        <v>0.471</v>
      </c>
      <c r="K3663" s="11" t="str">
        <f aca="false">IF(I3663&lt;J3663,"TAK","NIE")</f>
        <v>NIE</v>
      </c>
    </row>
    <row r="3664" customFormat="false" ht="15" hidden="false" customHeight="false" outlineLevel="0" collapsed="false">
      <c r="A3664" s="5" t="s">
        <v>718</v>
      </c>
      <c r="B3664" s="5" t="s">
        <v>97</v>
      </c>
      <c r="C3664" s="5" t="n">
        <v>2023</v>
      </c>
      <c r="D3664" s="5" t="s">
        <v>68</v>
      </c>
      <c r="E3664" s="5" t="s">
        <v>57</v>
      </c>
      <c r="F3664" s="5" t="s">
        <v>40</v>
      </c>
      <c r="G3664" s="6" t="n">
        <v>706</v>
      </c>
      <c r="H3664" s="6" t="n">
        <v>132</v>
      </c>
      <c r="I3664" s="7" t="n">
        <f aca="false">(G3664-H3664)/G3664</f>
        <v>0.813031161473088</v>
      </c>
      <c r="J3664" s="15" t="n">
        <v>0.471</v>
      </c>
      <c r="K3664" s="11" t="str">
        <f aca="false">IF(I3664&lt;J3664,"TAK","NIE")</f>
        <v>NIE</v>
      </c>
    </row>
    <row r="3665" customFormat="false" ht="15" hidden="false" customHeight="false" outlineLevel="0" collapsed="false">
      <c r="A3665" s="5" t="s">
        <v>719</v>
      </c>
      <c r="B3665" s="5" t="s">
        <v>97</v>
      </c>
      <c r="C3665" s="5" t="n">
        <v>2023</v>
      </c>
      <c r="D3665" s="5" t="s">
        <v>68</v>
      </c>
      <c r="E3665" s="5" t="s">
        <v>57</v>
      </c>
      <c r="F3665" s="5" t="s">
        <v>40</v>
      </c>
      <c r="G3665" s="6" t="n">
        <v>706</v>
      </c>
      <c r="H3665" s="6" t="n">
        <v>228</v>
      </c>
      <c r="I3665" s="7" t="n">
        <f aca="false">(G3665-H3665)/G3665</f>
        <v>0.677053824362606</v>
      </c>
      <c r="J3665" s="15" t="n">
        <v>0.471</v>
      </c>
      <c r="K3665" s="11" t="str">
        <f aca="false">IF(I3665&lt;J3665,"TAK","NIE")</f>
        <v>NIE</v>
      </c>
    </row>
    <row r="3666" customFormat="false" ht="15" hidden="false" customHeight="false" outlineLevel="0" collapsed="false">
      <c r="A3666" s="5" t="s">
        <v>720</v>
      </c>
      <c r="B3666" s="5" t="s">
        <v>97</v>
      </c>
      <c r="C3666" s="5" t="n">
        <v>2023</v>
      </c>
      <c r="D3666" s="5" t="s">
        <v>68</v>
      </c>
      <c r="E3666" s="5" t="s">
        <v>57</v>
      </c>
      <c r="F3666" s="5" t="s">
        <v>40</v>
      </c>
      <c r="G3666" s="6" t="n">
        <v>714</v>
      </c>
      <c r="H3666" s="6" t="n">
        <v>187</v>
      </c>
      <c r="I3666" s="7" t="n">
        <f aca="false">(G3666-H3666)/G3666</f>
        <v>0.738095238095238</v>
      </c>
      <c r="J3666" s="15" t="n">
        <v>0.471</v>
      </c>
      <c r="K3666" s="11" t="str">
        <f aca="false">IF(I3666&lt;J3666,"TAK","NIE")</f>
        <v>NIE</v>
      </c>
    </row>
    <row r="3667" customFormat="false" ht="15" hidden="false" customHeight="false" outlineLevel="0" collapsed="false">
      <c r="A3667" s="5" t="s">
        <v>721</v>
      </c>
      <c r="B3667" s="5" t="s">
        <v>97</v>
      </c>
      <c r="C3667" s="5" t="n">
        <v>2023</v>
      </c>
      <c r="D3667" s="5" t="s">
        <v>68</v>
      </c>
      <c r="E3667" s="5" t="s">
        <v>57</v>
      </c>
      <c r="F3667" s="5" t="s">
        <v>40</v>
      </c>
      <c r="G3667" s="6" t="n">
        <v>706</v>
      </c>
      <c r="H3667" s="6" t="n">
        <v>137</v>
      </c>
      <c r="I3667" s="7" t="n">
        <f aca="false">(G3667-H3667)/G3667</f>
        <v>0.805949008498584</v>
      </c>
      <c r="J3667" s="15" t="n">
        <v>0.471</v>
      </c>
      <c r="K3667" s="11" t="str">
        <f aca="false">IF(I3667&lt;J3667,"TAK","NIE")</f>
        <v>NIE</v>
      </c>
    </row>
    <row r="3668" customFormat="false" ht="15" hidden="false" customHeight="false" outlineLevel="0" collapsed="false">
      <c r="A3668" s="5" t="s">
        <v>722</v>
      </c>
      <c r="B3668" s="5" t="s">
        <v>97</v>
      </c>
      <c r="C3668" s="5" t="n">
        <v>2023</v>
      </c>
      <c r="D3668" s="5" t="s">
        <v>68</v>
      </c>
      <c r="E3668" s="5" t="s">
        <v>57</v>
      </c>
      <c r="F3668" s="5" t="s">
        <v>40</v>
      </c>
      <c r="G3668" s="6" t="n">
        <v>714</v>
      </c>
      <c r="H3668" s="6" t="n">
        <v>220</v>
      </c>
      <c r="I3668" s="7" t="n">
        <f aca="false">(G3668-H3668)/G3668</f>
        <v>0.69187675070028</v>
      </c>
      <c r="J3668" s="15" t="n">
        <v>0.471</v>
      </c>
      <c r="K3668" s="11" t="str">
        <f aca="false">IF(I3668&lt;J3668,"TAK","NIE")</f>
        <v>NIE</v>
      </c>
    </row>
    <row r="3669" customFormat="false" ht="15" hidden="false" customHeight="false" outlineLevel="0" collapsed="false">
      <c r="A3669" s="5" t="s">
        <v>723</v>
      </c>
      <c r="B3669" s="5" t="s">
        <v>97</v>
      </c>
      <c r="C3669" s="5" t="n">
        <v>2023</v>
      </c>
      <c r="D3669" s="5" t="s">
        <v>68</v>
      </c>
      <c r="E3669" s="5" t="s">
        <v>57</v>
      </c>
      <c r="F3669" s="5" t="s">
        <v>40</v>
      </c>
      <c r="G3669" s="6" t="n">
        <v>699</v>
      </c>
      <c r="H3669" s="6" t="n">
        <v>87</v>
      </c>
      <c r="I3669" s="7" t="n">
        <f aca="false">(G3669-H3669)/G3669</f>
        <v>0.875536480686695</v>
      </c>
      <c r="J3669" s="15" t="n">
        <v>0.471</v>
      </c>
      <c r="K3669" s="11" t="str">
        <f aca="false">IF(I3669&lt;J3669,"TAK","NIE")</f>
        <v>NIE</v>
      </c>
    </row>
    <row r="3670" customFormat="false" ht="15" hidden="false" customHeight="false" outlineLevel="0" collapsed="false">
      <c r="A3670" s="5" t="s">
        <v>724</v>
      </c>
      <c r="B3670" s="5" t="s">
        <v>97</v>
      </c>
      <c r="C3670" s="5" t="n">
        <v>2023</v>
      </c>
      <c r="D3670" s="5" t="s">
        <v>68</v>
      </c>
      <c r="E3670" s="5" t="s">
        <v>57</v>
      </c>
      <c r="F3670" s="5" t="s">
        <v>40</v>
      </c>
      <c r="G3670" s="6" t="n">
        <v>714</v>
      </c>
      <c r="H3670" s="6" t="n">
        <v>220</v>
      </c>
      <c r="I3670" s="7" t="n">
        <f aca="false">(G3670-H3670)/G3670</f>
        <v>0.69187675070028</v>
      </c>
      <c r="J3670" s="15" t="n">
        <v>0.471</v>
      </c>
      <c r="K3670" s="11" t="str">
        <f aca="false">IF(I3670&lt;J3670,"TAK","NIE")</f>
        <v>NIE</v>
      </c>
    </row>
    <row r="3671" customFormat="false" ht="15" hidden="false" customHeight="false" outlineLevel="0" collapsed="false">
      <c r="A3671" s="5" t="s">
        <v>725</v>
      </c>
      <c r="B3671" s="5" t="s">
        <v>97</v>
      </c>
      <c r="C3671" s="5" t="n">
        <v>2023</v>
      </c>
      <c r="D3671" s="5" t="s">
        <v>68</v>
      </c>
      <c r="E3671" s="5" t="s">
        <v>57</v>
      </c>
      <c r="F3671" s="5" t="s">
        <v>40</v>
      </c>
      <c r="G3671" s="6" t="n">
        <v>714</v>
      </c>
      <c r="H3671" s="6" t="n">
        <v>122</v>
      </c>
      <c r="I3671" s="7" t="n">
        <f aca="false">(G3671-H3671)/G3671</f>
        <v>0.829131652661065</v>
      </c>
      <c r="J3671" s="15" t="n">
        <v>0.471</v>
      </c>
      <c r="K3671" s="11" t="str">
        <f aca="false">IF(I3671&lt;J3671,"TAK","NIE")</f>
        <v>NIE</v>
      </c>
    </row>
    <row r="3672" customFormat="false" ht="15" hidden="false" customHeight="false" outlineLevel="0" collapsed="false">
      <c r="A3672" s="5" t="s">
        <v>727</v>
      </c>
      <c r="B3672" s="5" t="s">
        <v>97</v>
      </c>
      <c r="C3672" s="5" t="n">
        <v>2023</v>
      </c>
      <c r="D3672" s="5" t="s">
        <v>68</v>
      </c>
      <c r="E3672" s="5" t="s">
        <v>57</v>
      </c>
      <c r="F3672" s="5" t="s">
        <v>40</v>
      </c>
      <c r="G3672" s="6" t="n">
        <v>699</v>
      </c>
      <c r="H3672" s="6" t="n">
        <v>288</v>
      </c>
      <c r="I3672" s="7" t="n">
        <f aca="false">(G3672-H3672)/G3672</f>
        <v>0.587982832618026</v>
      </c>
      <c r="J3672" s="15" t="n">
        <v>0.471</v>
      </c>
      <c r="K3672" s="11" t="str">
        <f aca="false">IF(I3672&lt;J3672,"TAK","NIE")</f>
        <v>NIE</v>
      </c>
    </row>
    <row r="3673" customFormat="false" ht="15" hidden="false" customHeight="false" outlineLevel="0" collapsed="false">
      <c r="A3673" s="5" t="s">
        <v>728</v>
      </c>
      <c r="B3673" s="5" t="s">
        <v>97</v>
      </c>
      <c r="C3673" s="5" t="n">
        <v>2023</v>
      </c>
      <c r="D3673" s="5" t="s">
        <v>68</v>
      </c>
      <c r="E3673" s="5" t="s">
        <v>57</v>
      </c>
      <c r="F3673" s="5" t="s">
        <v>40</v>
      </c>
      <c r="G3673" s="6" t="n">
        <v>714</v>
      </c>
      <c r="H3673" s="6" t="n">
        <v>157</v>
      </c>
      <c r="I3673" s="7" t="n">
        <f aca="false">(G3673-H3673)/G3673</f>
        <v>0.780112044817927</v>
      </c>
      <c r="J3673" s="15" t="n">
        <v>0.471</v>
      </c>
      <c r="K3673" s="11" t="str">
        <f aca="false">IF(I3673&lt;J3673,"TAK","NIE")</f>
        <v>NIE</v>
      </c>
    </row>
    <row r="3674" customFormat="false" ht="15" hidden="false" customHeight="false" outlineLevel="0" collapsed="false">
      <c r="A3674" s="5" t="s">
        <v>729</v>
      </c>
      <c r="B3674" s="5" t="s">
        <v>97</v>
      </c>
      <c r="C3674" s="5" t="n">
        <v>2023</v>
      </c>
      <c r="D3674" s="5" t="s">
        <v>68</v>
      </c>
      <c r="E3674" s="5" t="s">
        <v>57</v>
      </c>
      <c r="F3674" s="5" t="s">
        <v>40</v>
      </c>
      <c r="G3674" s="6" t="n">
        <v>705</v>
      </c>
      <c r="H3674" s="6" t="n">
        <v>196</v>
      </c>
      <c r="I3674" s="7" t="n">
        <f aca="false">(G3674-H3674)/G3674</f>
        <v>0.721985815602837</v>
      </c>
      <c r="J3674" s="15" t="n">
        <v>0.471</v>
      </c>
      <c r="K3674" s="11" t="str">
        <f aca="false">IF(I3674&lt;J3674,"TAK","NIE")</f>
        <v>NIE</v>
      </c>
    </row>
    <row r="3675" customFormat="false" ht="15" hidden="false" customHeight="false" outlineLevel="0" collapsed="false">
      <c r="A3675" s="5" t="s">
        <v>730</v>
      </c>
      <c r="B3675" s="5" t="s">
        <v>97</v>
      </c>
      <c r="C3675" s="5" t="n">
        <v>2023</v>
      </c>
      <c r="D3675" s="5" t="s">
        <v>68</v>
      </c>
      <c r="E3675" s="5" t="s">
        <v>57</v>
      </c>
      <c r="F3675" s="5" t="s">
        <v>40</v>
      </c>
      <c r="G3675" s="6" t="n">
        <v>706</v>
      </c>
      <c r="H3675" s="6" t="n">
        <v>133</v>
      </c>
      <c r="I3675" s="7" t="n">
        <f aca="false">(G3675-H3675)/G3675</f>
        <v>0.811614730878187</v>
      </c>
      <c r="J3675" s="15" t="n">
        <v>0.471</v>
      </c>
      <c r="K3675" s="11" t="str">
        <f aca="false">IF(I3675&lt;J3675,"TAK","NIE")</f>
        <v>NIE</v>
      </c>
    </row>
    <row r="3676" customFormat="false" ht="15" hidden="false" customHeight="false" outlineLevel="0" collapsed="false">
      <c r="A3676" s="5" t="s">
        <v>731</v>
      </c>
      <c r="B3676" s="5" t="s">
        <v>97</v>
      </c>
      <c r="C3676" s="5" t="n">
        <v>2023</v>
      </c>
      <c r="D3676" s="5" t="s">
        <v>68</v>
      </c>
      <c r="E3676" s="5" t="s">
        <v>57</v>
      </c>
      <c r="F3676" s="5" t="s">
        <v>40</v>
      </c>
      <c r="G3676" s="6" t="n">
        <v>714</v>
      </c>
      <c r="H3676" s="6" t="n">
        <v>259</v>
      </c>
      <c r="I3676" s="7" t="n">
        <f aca="false">(G3676-H3676)/G3676</f>
        <v>0.637254901960784</v>
      </c>
      <c r="J3676" s="15" t="n">
        <v>0.471</v>
      </c>
      <c r="K3676" s="11" t="str">
        <f aca="false">IF(I3676&lt;J3676,"TAK","NIE")</f>
        <v>NIE</v>
      </c>
    </row>
    <row r="3677" customFormat="false" ht="15" hidden="false" customHeight="false" outlineLevel="0" collapsed="false">
      <c r="A3677" s="5" t="s">
        <v>733</v>
      </c>
      <c r="B3677" s="5" t="s">
        <v>97</v>
      </c>
      <c r="C3677" s="5" t="n">
        <v>2023</v>
      </c>
      <c r="D3677" s="5" t="s">
        <v>68</v>
      </c>
      <c r="E3677" s="5" t="s">
        <v>57</v>
      </c>
      <c r="F3677" s="5" t="s">
        <v>40</v>
      </c>
      <c r="G3677" s="6" t="n">
        <v>330</v>
      </c>
      <c r="H3677" s="6" t="n">
        <v>116</v>
      </c>
      <c r="I3677" s="7" t="n">
        <f aca="false">(G3677-H3677)/G3677</f>
        <v>0.648484848484848</v>
      </c>
      <c r="J3677" s="15" t="n">
        <v>0.471</v>
      </c>
      <c r="K3677" s="11" t="str">
        <f aca="false">IF(I3677&lt;J3677,"TAK","NIE")</f>
        <v>NIE</v>
      </c>
    </row>
    <row r="3678" customFormat="false" ht="15" hidden="false" customHeight="false" outlineLevel="0" collapsed="false">
      <c r="A3678" s="5" t="s">
        <v>734</v>
      </c>
      <c r="B3678" s="5" t="s">
        <v>97</v>
      </c>
      <c r="C3678" s="5" t="n">
        <v>2023</v>
      </c>
      <c r="D3678" s="5" t="s">
        <v>68</v>
      </c>
      <c r="E3678" s="5" t="s">
        <v>57</v>
      </c>
      <c r="F3678" s="5" t="s">
        <v>40</v>
      </c>
      <c r="G3678" s="6" t="n">
        <v>338</v>
      </c>
      <c r="H3678" s="6" t="n">
        <v>90</v>
      </c>
      <c r="I3678" s="7" t="n">
        <f aca="false">(G3678-H3678)/G3678</f>
        <v>0.733727810650888</v>
      </c>
      <c r="J3678" s="15" t="n">
        <v>0.471</v>
      </c>
      <c r="K3678" s="11" t="str">
        <f aca="false">IF(I3678&lt;J3678,"TAK","NIE")</f>
        <v>NIE</v>
      </c>
    </row>
    <row r="3679" customFormat="false" ht="15" hidden="false" customHeight="false" outlineLevel="0" collapsed="false">
      <c r="A3679" s="5" t="s">
        <v>735</v>
      </c>
      <c r="B3679" s="5" t="s">
        <v>97</v>
      </c>
      <c r="C3679" s="5" t="n">
        <v>2023</v>
      </c>
      <c r="D3679" s="5" t="s">
        <v>68</v>
      </c>
      <c r="E3679" s="5" t="s">
        <v>57</v>
      </c>
      <c r="F3679" s="5" t="s">
        <v>40</v>
      </c>
      <c r="G3679" s="6" t="n">
        <v>706</v>
      </c>
      <c r="H3679" s="6" t="n">
        <v>240</v>
      </c>
      <c r="I3679" s="7" t="n">
        <f aca="false">(G3679-H3679)/G3679</f>
        <v>0.660056657223796</v>
      </c>
      <c r="J3679" s="15" t="n">
        <v>0.471</v>
      </c>
      <c r="K3679" s="11" t="str">
        <f aca="false">IF(I3679&lt;J3679,"TAK","NIE")</f>
        <v>NIE</v>
      </c>
    </row>
    <row r="3680" customFormat="false" ht="15" hidden="false" customHeight="false" outlineLevel="0" collapsed="false">
      <c r="A3680" s="5" t="s">
        <v>736</v>
      </c>
      <c r="B3680" s="5" t="s">
        <v>97</v>
      </c>
      <c r="C3680" s="5" t="n">
        <v>2023</v>
      </c>
      <c r="D3680" s="5" t="s">
        <v>68</v>
      </c>
      <c r="E3680" s="5" t="s">
        <v>57</v>
      </c>
      <c r="F3680" s="5" t="s">
        <v>40</v>
      </c>
      <c r="G3680" s="6" t="n">
        <v>706</v>
      </c>
      <c r="H3680" s="6" t="n">
        <v>265</v>
      </c>
      <c r="I3680" s="7" t="n">
        <f aca="false">(G3680-H3680)/G3680</f>
        <v>0.624645892351275</v>
      </c>
      <c r="J3680" s="15" t="n">
        <v>0.471</v>
      </c>
      <c r="K3680" s="11" t="str">
        <f aca="false">IF(I3680&lt;J3680,"TAK","NIE")</f>
        <v>NIE</v>
      </c>
    </row>
    <row r="3681" customFormat="false" ht="15" hidden="false" customHeight="false" outlineLevel="0" collapsed="false">
      <c r="A3681" s="5" t="s">
        <v>737</v>
      </c>
      <c r="B3681" s="5" t="s">
        <v>97</v>
      </c>
      <c r="C3681" s="5" t="n">
        <v>2023</v>
      </c>
      <c r="D3681" s="5" t="s">
        <v>68</v>
      </c>
      <c r="E3681" s="5" t="s">
        <v>57</v>
      </c>
      <c r="F3681" s="5" t="s">
        <v>40</v>
      </c>
      <c r="G3681" s="6" t="n">
        <v>706</v>
      </c>
      <c r="H3681" s="6" t="n">
        <v>189</v>
      </c>
      <c r="I3681" s="7" t="n">
        <f aca="false">(G3681-H3681)/G3681</f>
        <v>0.732294617563739</v>
      </c>
      <c r="J3681" s="15" t="n">
        <v>0.471</v>
      </c>
      <c r="K3681" s="11" t="str">
        <f aca="false">IF(I3681&lt;J3681,"TAK","NIE")</f>
        <v>NIE</v>
      </c>
    </row>
    <row r="3682" customFormat="false" ht="15" hidden="false" customHeight="false" outlineLevel="0" collapsed="false">
      <c r="A3682" s="5" t="s">
        <v>738</v>
      </c>
      <c r="B3682" s="5" t="s">
        <v>97</v>
      </c>
      <c r="C3682" s="5" t="n">
        <v>2023</v>
      </c>
      <c r="D3682" s="5" t="s">
        <v>68</v>
      </c>
      <c r="E3682" s="5" t="s">
        <v>57</v>
      </c>
      <c r="F3682" s="5" t="s">
        <v>40</v>
      </c>
      <c r="G3682" s="6" t="n">
        <v>714</v>
      </c>
      <c r="H3682" s="6" t="n">
        <v>198</v>
      </c>
      <c r="I3682" s="7" t="n">
        <f aca="false">(G3682-H3682)/G3682</f>
        <v>0.722689075630252</v>
      </c>
      <c r="J3682" s="15" t="n">
        <v>0.471</v>
      </c>
      <c r="K3682" s="11" t="str">
        <f aca="false">IF(I3682&lt;J3682,"TAK","NIE")</f>
        <v>NIE</v>
      </c>
    </row>
    <row r="3683" customFormat="false" ht="15" hidden="false" customHeight="false" outlineLevel="0" collapsed="false">
      <c r="A3683" s="5" t="s">
        <v>740</v>
      </c>
      <c r="B3683" s="5" t="s">
        <v>97</v>
      </c>
      <c r="C3683" s="5" t="n">
        <v>2023</v>
      </c>
      <c r="D3683" s="5" t="s">
        <v>68</v>
      </c>
      <c r="E3683" s="5" t="s">
        <v>57</v>
      </c>
      <c r="F3683" s="5" t="s">
        <v>40</v>
      </c>
      <c r="G3683" s="6" t="n">
        <v>714</v>
      </c>
      <c r="H3683" s="6" t="n">
        <v>289</v>
      </c>
      <c r="I3683" s="7" t="n">
        <f aca="false">(G3683-H3683)/G3683</f>
        <v>0.595238095238095</v>
      </c>
      <c r="J3683" s="15" t="n">
        <v>0.471</v>
      </c>
      <c r="K3683" s="11" t="str">
        <f aca="false">IF(I3683&lt;J3683,"TAK","NIE")</f>
        <v>NIE</v>
      </c>
    </row>
    <row r="3684" customFormat="false" ht="15" hidden="false" customHeight="false" outlineLevel="0" collapsed="false">
      <c r="A3684" s="5" t="s">
        <v>742</v>
      </c>
      <c r="B3684" s="5" t="s">
        <v>97</v>
      </c>
      <c r="C3684" s="5" t="n">
        <v>2023</v>
      </c>
      <c r="D3684" s="5" t="s">
        <v>68</v>
      </c>
      <c r="E3684" s="5" t="s">
        <v>57</v>
      </c>
      <c r="F3684" s="5" t="s">
        <v>40</v>
      </c>
      <c r="G3684" s="6" t="n">
        <v>452</v>
      </c>
      <c r="H3684" s="6" t="n">
        <v>159</v>
      </c>
      <c r="I3684" s="7" t="n">
        <f aca="false">(G3684-H3684)/G3684</f>
        <v>0.648230088495575</v>
      </c>
      <c r="J3684" s="15" t="n">
        <v>0.471</v>
      </c>
      <c r="K3684" s="11" t="str">
        <f aca="false">IF(I3684&lt;J3684,"TAK","NIE")</f>
        <v>NIE</v>
      </c>
    </row>
    <row r="3685" customFormat="false" ht="15" hidden="false" customHeight="false" outlineLevel="0" collapsed="false">
      <c r="A3685" s="5" t="s">
        <v>717</v>
      </c>
      <c r="B3685" s="5" t="s">
        <v>67</v>
      </c>
      <c r="C3685" s="5" t="n">
        <v>2023</v>
      </c>
      <c r="D3685" s="5" t="s">
        <v>68</v>
      </c>
      <c r="E3685" s="5" t="s">
        <v>75</v>
      </c>
      <c r="F3685" s="5" t="s">
        <v>39</v>
      </c>
      <c r="G3685" s="6" t="n">
        <v>587</v>
      </c>
      <c r="H3685" s="6" t="n">
        <v>96</v>
      </c>
      <c r="I3685" s="7" t="n">
        <f aca="false">(G3685-H3685)/G3685</f>
        <v>0.836456558773424</v>
      </c>
      <c r="J3685" s="15" t="n">
        <v>0.5724</v>
      </c>
      <c r="K3685" s="11" t="str">
        <f aca="false">IF(I3685&lt;J3685,"TAK","NIE")</f>
        <v>NIE</v>
      </c>
    </row>
    <row r="3686" customFormat="false" ht="15" hidden="false" customHeight="false" outlineLevel="0" collapsed="false">
      <c r="A3686" s="5" t="s">
        <v>718</v>
      </c>
      <c r="B3686" s="5" t="s">
        <v>67</v>
      </c>
      <c r="C3686" s="5" t="n">
        <v>2023</v>
      </c>
      <c r="D3686" s="5" t="s">
        <v>68</v>
      </c>
      <c r="E3686" s="5" t="s">
        <v>75</v>
      </c>
      <c r="F3686" s="5" t="s">
        <v>39</v>
      </c>
      <c r="G3686" s="6" t="n">
        <v>587</v>
      </c>
      <c r="H3686" s="6" t="n">
        <v>59</v>
      </c>
      <c r="I3686" s="7" t="n">
        <f aca="false">(G3686-H3686)/G3686</f>
        <v>0.899488926746167</v>
      </c>
      <c r="J3686" s="15" t="n">
        <v>0.5724</v>
      </c>
      <c r="K3686" s="11" t="str">
        <f aca="false">IF(I3686&lt;J3686,"TAK","NIE")</f>
        <v>NIE</v>
      </c>
    </row>
    <row r="3687" customFormat="false" ht="15" hidden="false" customHeight="false" outlineLevel="0" collapsed="false">
      <c r="A3687" s="5" t="s">
        <v>719</v>
      </c>
      <c r="B3687" s="5" t="s">
        <v>67</v>
      </c>
      <c r="C3687" s="5" t="n">
        <v>2023</v>
      </c>
      <c r="D3687" s="5" t="s">
        <v>68</v>
      </c>
      <c r="E3687" s="5" t="s">
        <v>75</v>
      </c>
      <c r="F3687" s="5" t="s">
        <v>39</v>
      </c>
      <c r="G3687" s="6" t="n">
        <v>587</v>
      </c>
      <c r="H3687" s="6" t="n">
        <v>157</v>
      </c>
      <c r="I3687" s="7" t="n">
        <f aca="false">(G3687-H3687)/G3687</f>
        <v>0.732538330494038</v>
      </c>
      <c r="J3687" s="15" t="n">
        <v>0.5724</v>
      </c>
      <c r="K3687" s="11" t="str">
        <f aca="false">IF(I3687&lt;J3687,"TAK","NIE")</f>
        <v>NIE</v>
      </c>
    </row>
    <row r="3688" customFormat="false" ht="15" hidden="false" customHeight="false" outlineLevel="0" collapsed="false">
      <c r="A3688" s="5" t="s">
        <v>720</v>
      </c>
      <c r="B3688" s="5" t="s">
        <v>67</v>
      </c>
      <c r="C3688" s="5" t="n">
        <v>2023</v>
      </c>
      <c r="D3688" s="5" t="s">
        <v>68</v>
      </c>
      <c r="E3688" s="5" t="s">
        <v>75</v>
      </c>
      <c r="F3688" s="5" t="s">
        <v>39</v>
      </c>
      <c r="G3688" s="6" t="n">
        <v>587</v>
      </c>
      <c r="H3688" s="6" t="n">
        <v>119</v>
      </c>
      <c r="I3688" s="7" t="n">
        <f aca="false">(G3688-H3688)/G3688</f>
        <v>0.797274275979557</v>
      </c>
      <c r="J3688" s="15" t="n">
        <v>0.5724</v>
      </c>
      <c r="K3688" s="11" t="str">
        <f aca="false">IF(I3688&lt;J3688,"TAK","NIE")</f>
        <v>NIE</v>
      </c>
    </row>
    <row r="3689" customFormat="false" ht="15" hidden="false" customHeight="false" outlineLevel="0" collapsed="false">
      <c r="A3689" s="5" t="s">
        <v>721</v>
      </c>
      <c r="B3689" s="5" t="s">
        <v>67</v>
      </c>
      <c r="C3689" s="5" t="n">
        <v>2023</v>
      </c>
      <c r="D3689" s="5" t="s">
        <v>68</v>
      </c>
      <c r="E3689" s="5" t="s">
        <v>75</v>
      </c>
      <c r="F3689" s="5" t="s">
        <v>39</v>
      </c>
      <c r="G3689" s="6" t="n">
        <v>587</v>
      </c>
      <c r="H3689" s="6" t="n">
        <v>64</v>
      </c>
      <c r="I3689" s="7" t="n">
        <f aca="false">(G3689-H3689)/G3689</f>
        <v>0.890971039182283</v>
      </c>
      <c r="J3689" s="15" t="n">
        <v>0.5724</v>
      </c>
      <c r="K3689" s="11" t="str">
        <f aca="false">IF(I3689&lt;J3689,"TAK","NIE")</f>
        <v>NIE</v>
      </c>
    </row>
    <row r="3690" customFormat="false" ht="15" hidden="false" customHeight="false" outlineLevel="0" collapsed="false">
      <c r="A3690" s="5" t="s">
        <v>722</v>
      </c>
      <c r="B3690" s="5" t="s">
        <v>67</v>
      </c>
      <c r="C3690" s="5" t="n">
        <v>2023</v>
      </c>
      <c r="D3690" s="5" t="s">
        <v>68</v>
      </c>
      <c r="E3690" s="5" t="s">
        <v>75</v>
      </c>
      <c r="F3690" s="5" t="s">
        <v>39</v>
      </c>
      <c r="G3690" s="6" t="n">
        <v>587</v>
      </c>
      <c r="H3690" s="6" t="n">
        <v>113</v>
      </c>
      <c r="I3690" s="7" t="n">
        <f aca="false">(G3690-H3690)/G3690</f>
        <v>0.807495741056218</v>
      </c>
      <c r="J3690" s="15" t="n">
        <v>0.5724</v>
      </c>
      <c r="K3690" s="11" t="str">
        <f aca="false">IF(I3690&lt;J3690,"TAK","NIE")</f>
        <v>NIE</v>
      </c>
    </row>
    <row r="3691" customFormat="false" ht="15" hidden="false" customHeight="false" outlineLevel="0" collapsed="false">
      <c r="A3691" s="5" t="s">
        <v>723</v>
      </c>
      <c r="B3691" s="5" t="s">
        <v>67</v>
      </c>
      <c r="C3691" s="5" t="n">
        <v>2023</v>
      </c>
      <c r="D3691" s="5" t="s">
        <v>68</v>
      </c>
      <c r="E3691" s="5" t="s">
        <v>75</v>
      </c>
      <c r="F3691" s="5" t="s">
        <v>39</v>
      </c>
      <c r="G3691" s="6" t="n">
        <v>587</v>
      </c>
      <c r="H3691" s="6" t="n">
        <v>62</v>
      </c>
      <c r="I3691" s="7" t="n">
        <f aca="false">(G3691-H3691)/G3691</f>
        <v>0.894378194207837</v>
      </c>
      <c r="J3691" s="15" t="n">
        <v>0.5724</v>
      </c>
      <c r="K3691" s="11" t="str">
        <f aca="false">IF(I3691&lt;J3691,"TAK","NIE")</f>
        <v>NIE</v>
      </c>
    </row>
    <row r="3692" customFormat="false" ht="15" hidden="false" customHeight="false" outlineLevel="0" collapsed="false">
      <c r="A3692" s="5" t="s">
        <v>724</v>
      </c>
      <c r="B3692" s="5" t="s">
        <v>67</v>
      </c>
      <c r="C3692" s="5" t="n">
        <v>2023</v>
      </c>
      <c r="D3692" s="5" t="s">
        <v>68</v>
      </c>
      <c r="E3692" s="5" t="s">
        <v>75</v>
      </c>
      <c r="F3692" s="5" t="s">
        <v>39</v>
      </c>
      <c r="G3692" s="6" t="n">
        <v>587</v>
      </c>
      <c r="H3692" s="6" t="n">
        <v>74</v>
      </c>
      <c r="I3692" s="7" t="n">
        <f aca="false">(G3692-H3692)/G3692</f>
        <v>0.873935264054515</v>
      </c>
      <c r="J3692" s="15" t="n">
        <v>0.5724</v>
      </c>
      <c r="K3692" s="11" t="str">
        <f aca="false">IF(I3692&lt;J3692,"TAK","NIE")</f>
        <v>NIE</v>
      </c>
    </row>
    <row r="3693" customFormat="false" ht="15" hidden="false" customHeight="false" outlineLevel="0" collapsed="false">
      <c r="A3693" s="5" t="s">
        <v>725</v>
      </c>
      <c r="B3693" s="5" t="s">
        <v>67</v>
      </c>
      <c r="C3693" s="5" t="n">
        <v>2023</v>
      </c>
      <c r="D3693" s="5" t="s">
        <v>68</v>
      </c>
      <c r="E3693" s="5" t="s">
        <v>75</v>
      </c>
      <c r="F3693" s="5" t="s">
        <v>39</v>
      </c>
      <c r="G3693" s="6" t="n">
        <v>587</v>
      </c>
      <c r="H3693" s="6" t="n">
        <v>78</v>
      </c>
      <c r="I3693" s="7" t="n">
        <f aca="false">(G3693-H3693)/G3693</f>
        <v>0.867120954003407</v>
      </c>
      <c r="J3693" s="15" t="n">
        <v>0.5724</v>
      </c>
      <c r="K3693" s="11" t="str">
        <f aca="false">IF(I3693&lt;J3693,"TAK","NIE")</f>
        <v>NIE</v>
      </c>
    </row>
    <row r="3694" customFormat="false" ht="15" hidden="false" customHeight="false" outlineLevel="0" collapsed="false">
      <c r="A3694" s="5" t="s">
        <v>727</v>
      </c>
      <c r="B3694" s="5" t="s">
        <v>67</v>
      </c>
      <c r="C3694" s="5" t="n">
        <v>2023</v>
      </c>
      <c r="D3694" s="5" t="s">
        <v>68</v>
      </c>
      <c r="E3694" s="5" t="s">
        <v>75</v>
      </c>
      <c r="F3694" s="5" t="s">
        <v>39</v>
      </c>
      <c r="G3694" s="6" t="n">
        <v>571</v>
      </c>
      <c r="H3694" s="6" t="n">
        <v>141</v>
      </c>
      <c r="I3694" s="7" t="n">
        <f aca="false">(G3694-H3694)/G3694</f>
        <v>0.753064798598949</v>
      </c>
      <c r="J3694" s="15" t="n">
        <v>0.5724</v>
      </c>
      <c r="K3694" s="11" t="str">
        <f aca="false">IF(I3694&lt;J3694,"TAK","NIE")</f>
        <v>NIE</v>
      </c>
    </row>
    <row r="3695" customFormat="false" ht="15" hidden="false" customHeight="false" outlineLevel="0" collapsed="false">
      <c r="A3695" s="5" t="s">
        <v>728</v>
      </c>
      <c r="B3695" s="5" t="s">
        <v>67</v>
      </c>
      <c r="C3695" s="5" t="n">
        <v>2023</v>
      </c>
      <c r="D3695" s="5" t="s">
        <v>68</v>
      </c>
      <c r="E3695" s="5" t="s">
        <v>75</v>
      </c>
      <c r="F3695" s="5" t="s">
        <v>39</v>
      </c>
      <c r="G3695" s="6" t="n">
        <v>587</v>
      </c>
      <c r="H3695" s="6" t="n">
        <v>82</v>
      </c>
      <c r="I3695" s="7" t="n">
        <f aca="false">(G3695-H3695)/G3695</f>
        <v>0.8603066439523</v>
      </c>
      <c r="J3695" s="15" t="n">
        <v>0.5724</v>
      </c>
      <c r="K3695" s="11" t="str">
        <f aca="false">IF(I3695&lt;J3695,"TAK","NIE")</f>
        <v>NIE</v>
      </c>
    </row>
    <row r="3696" customFormat="false" ht="15" hidden="false" customHeight="false" outlineLevel="0" collapsed="false">
      <c r="A3696" s="5" t="s">
        <v>729</v>
      </c>
      <c r="B3696" s="5" t="s">
        <v>67</v>
      </c>
      <c r="C3696" s="5" t="n">
        <v>2023</v>
      </c>
      <c r="D3696" s="5" t="s">
        <v>68</v>
      </c>
      <c r="E3696" s="5" t="s">
        <v>75</v>
      </c>
      <c r="F3696" s="5" t="s">
        <v>39</v>
      </c>
      <c r="G3696" s="6" t="n">
        <v>587</v>
      </c>
      <c r="H3696" s="6" t="n">
        <v>147</v>
      </c>
      <c r="I3696" s="7" t="n">
        <f aca="false">(G3696-H3696)/G3696</f>
        <v>0.749574105621806</v>
      </c>
      <c r="J3696" s="15" t="n">
        <v>0.5724</v>
      </c>
      <c r="K3696" s="11" t="str">
        <f aca="false">IF(I3696&lt;J3696,"TAK","NIE")</f>
        <v>NIE</v>
      </c>
    </row>
    <row r="3697" customFormat="false" ht="15" hidden="false" customHeight="false" outlineLevel="0" collapsed="false">
      <c r="A3697" s="5" t="s">
        <v>730</v>
      </c>
      <c r="B3697" s="5" t="s">
        <v>67</v>
      </c>
      <c r="C3697" s="5" t="n">
        <v>2023</v>
      </c>
      <c r="D3697" s="5" t="s">
        <v>68</v>
      </c>
      <c r="E3697" s="5" t="s">
        <v>75</v>
      </c>
      <c r="F3697" s="5" t="s">
        <v>39</v>
      </c>
      <c r="G3697" s="6" t="n">
        <v>587</v>
      </c>
      <c r="H3697" s="6" t="n">
        <v>94</v>
      </c>
      <c r="I3697" s="7" t="n">
        <f aca="false">(G3697-H3697)/G3697</f>
        <v>0.839863713798978</v>
      </c>
      <c r="J3697" s="15" t="n">
        <v>0.5724</v>
      </c>
      <c r="K3697" s="11" t="str">
        <f aca="false">IF(I3697&lt;J3697,"TAK","NIE")</f>
        <v>NIE</v>
      </c>
    </row>
    <row r="3698" customFormat="false" ht="15" hidden="false" customHeight="false" outlineLevel="0" collapsed="false">
      <c r="A3698" s="5" t="s">
        <v>731</v>
      </c>
      <c r="B3698" s="5" t="s">
        <v>67</v>
      </c>
      <c r="C3698" s="5" t="n">
        <v>2023</v>
      </c>
      <c r="D3698" s="5" t="s">
        <v>68</v>
      </c>
      <c r="E3698" s="5" t="s">
        <v>75</v>
      </c>
      <c r="F3698" s="5" t="s">
        <v>39</v>
      </c>
      <c r="G3698" s="6" t="n">
        <v>587</v>
      </c>
      <c r="H3698" s="6" t="n">
        <v>156</v>
      </c>
      <c r="I3698" s="7" t="n">
        <f aca="false">(G3698-H3698)/G3698</f>
        <v>0.734241908006814</v>
      </c>
      <c r="J3698" s="15" t="n">
        <v>0.5724</v>
      </c>
      <c r="K3698" s="11" t="str">
        <f aca="false">IF(I3698&lt;J3698,"TAK","NIE")</f>
        <v>NIE</v>
      </c>
    </row>
    <row r="3699" customFormat="false" ht="15" hidden="false" customHeight="false" outlineLevel="0" collapsed="false">
      <c r="A3699" s="5" t="s">
        <v>735</v>
      </c>
      <c r="B3699" s="5" t="s">
        <v>67</v>
      </c>
      <c r="C3699" s="5" t="n">
        <v>2023</v>
      </c>
      <c r="D3699" s="5" t="s">
        <v>68</v>
      </c>
      <c r="E3699" s="5" t="s">
        <v>75</v>
      </c>
      <c r="F3699" s="5" t="s">
        <v>39</v>
      </c>
      <c r="G3699" s="6" t="n">
        <v>587</v>
      </c>
      <c r="H3699" s="6" t="n">
        <v>165</v>
      </c>
      <c r="I3699" s="7" t="n">
        <f aca="false">(G3699-H3699)/G3699</f>
        <v>0.718909710391823</v>
      </c>
      <c r="J3699" s="15" t="n">
        <v>0.5724</v>
      </c>
      <c r="K3699" s="11" t="str">
        <f aca="false">IF(I3699&lt;J3699,"TAK","NIE")</f>
        <v>NIE</v>
      </c>
    </row>
    <row r="3700" customFormat="false" ht="15" hidden="false" customHeight="false" outlineLevel="0" collapsed="false">
      <c r="A3700" s="5" t="s">
        <v>736</v>
      </c>
      <c r="B3700" s="5" t="s">
        <v>67</v>
      </c>
      <c r="C3700" s="5" t="n">
        <v>2023</v>
      </c>
      <c r="D3700" s="5" t="s">
        <v>68</v>
      </c>
      <c r="E3700" s="5" t="s">
        <v>75</v>
      </c>
      <c r="F3700" s="5" t="s">
        <v>39</v>
      </c>
      <c r="G3700" s="6" t="n">
        <v>587</v>
      </c>
      <c r="H3700" s="6" t="n">
        <v>169</v>
      </c>
      <c r="I3700" s="7" t="n">
        <f aca="false">(G3700-H3700)/G3700</f>
        <v>0.712095400340716</v>
      </c>
      <c r="J3700" s="15" t="n">
        <v>0.5724</v>
      </c>
      <c r="K3700" s="11" t="str">
        <f aca="false">IF(I3700&lt;J3700,"TAK","NIE")</f>
        <v>NIE</v>
      </c>
    </row>
    <row r="3701" customFormat="false" ht="15" hidden="false" customHeight="false" outlineLevel="0" collapsed="false">
      <c r="A3701" s="5" t="s">
        <v>737</v>
      </c>
      <c r="B3701" s="5" t="s">
        <v>67</v>
      </c>
      <c r="C3701" s="5" t="n">
        <v>2023</v>
      </c>
      <c r="D3701" s="5" t="s">
        <v>68</v>
      </c>
      <c r="E3701" s="5" t="s">
        <v>75</v>
      </c>
      <c r="F3701" s="5" t="s">
        <v>39</v>
      </c>
      <c r="G3701" s="6" t="n">
        <v>587</v>
      </c>
      <c r="H3701" s="6" t="n">
        <v>126</v>
      </c>
      <c r="I3701" s="7" t="n">
        <f aca="false">(G3701-H3701)/G3701</f>
        <v>0.785349233390119</v>
      </c>
      <c r="J3701" s="15" t="n">
        <v>0.5724</v>
      </c>
      <c r="K3701" s="11" t="str">
        <f aca="false">IF(I3701&lt;J3701,"TAK","NIE")</f>
        <v>NIE</v>
      </c>
    </row>
    <row r="3702" customFormat="false" ht="15" hidden="false" customHeight="false" outlineLevel="0" collapsed="false">
      <c r="A3702" s="5" t="s">
        <v>738</v>
      </c>
      <c r="B3702" s="5" t="s">
        <v>67</v>
      </c>
      <c r="C3702" s="5" t="n">
        <v>2023</v>
      </c>
      <c r="D3702" s="5" t="s">
        <v>68</v>
      </c>
      <c r="E3702" s="5" t="s">
        <v>75</v>
      </c>
      <c r="F3702" s="5" t="s">
        <v>39</v>
      </c>
      <c r="G3702" s="6" t="n">
        <v>587</v>
      </c>
      <c r="H3702" s="6" t="n">
        <v>93</v>
      </c>
      <c r="I3702" s="7" t="n">
        <f aca="false">(G3702-H3702)/G3702</f>
        <v>0.841567291311755</v>
      </c>
      <c r="J3702" s="15" t="n">
        <v>0.5724</v>
      </c>
      <c r="K3702" s="11" t="str">
        <f aca="false">IF(I3702&lt;J3702,"TAK","NIE")</f>
        <v>NIE</v>
      </c>
    </row>
    <row r="3703" customFormat="false" ht="15" hidden="false" customHeight="false" outlineLevel="0" collapsed="false">
      <c r="A3703" s="5" t="s">
        <v>740</v>
      </c>
      <c r="B3703" s="5" t="s">
        <v>67</v>
      </c>
      <c r="C3703" s="5" t="n">
        <v>2023</v>
      </c>
      <c r="D3703" s="5" t="s">
        <v>68</v>
      </c>
      <c r="E3703" s="5" t="s">
        <v>75</v>
      </c>
      <c r="F3703" s="5" t="s">
        <v>39</v>
      </c>
      <c r="G3703" s="6" t="n">
        <v>587</v>
      </c>
      <c r="H3703" s="6" t="n">
        <v>136</v>
      </c>
      <c r="I3703" s="7" t="n">
        <f aca="false">(G3703-H3703)/G3703</f>
        <v>0.768313458262351</v>
      </c>
      <c r="J3703" s="15" t="n">
        <v>0.5724</v>
      </c>
      <c r="K3703" s="11" t="str">
        <f aca="false">IF(I3703&lt;J3703,"TAK","NIE")</f>
        <v>NIE</v>
      </c>
    </row>
    <row r="3704" customFormat="false" ht="15" hidden="false" customHeight="false" outlineLevel="0" collapsed="false">
      <c r="A3704" s="5" t="s">
        <v>742</v>
      </c>
      <c r="B3704" s="5" t="s">
        <v>67</v>
      </c>
      <c r="C3704" s="5" t="n">
        <v>2023</v>
      </c>
      <c r="D3704" s="5" t="s">
        <v>68</v>
      </c>
      <c r="E3704" s="5" t="s">
        <v>75</v>
      </c>
      <c r="F3704" s="5" t="s">
        <v>39</v>
      </c>
      <c r="G3704" s="6" t="n">
        <v>571</v>
      </c>
      <c r="H3704" s="6" t="n">
        <v>190</v>
      </c>
      <c r="I3704" s="7" t="n">
        <f aca="false">(G3704-H3704)/G3704</f>
        <v>0.667250437828371</v>
      </c>
      <c r="J3704" s="15" t="n">
        <v>0.5724</v>
      </c>
      <c r="K3704" s="11" t="str">
        <f aca="false">IF(I3704&lt;J3704,"TAK","NIE")</f>
        <v>NIE</v>
      </c>
    </row>
    <row r="3705" customFormat="false" ht="15" hidden="false" customHeight="false" outlineLevel="0" collapsed="false">
      <c r="A3705" s="5" t="s">
        <v>717</v>
      </c>
      <c r="B3705" s="5" t="s">
        <v>67</v>
      </c>
      <c r="C3705" s="5" t="n">
        <v>2023</v>
      </c>
      <c r="D3705" s="5" t="s">
        <v>68</v>
      </c>
      <c r="E3705" s="5" t="s">
        <v>75</v>
      </c>
      <c r="F3705" s="5" t="s">
        <v>40</v>
      </c>
      <c r="G3705" s="6" t="n">
        <v>761</v>
      </c>
      <c r="H3705" s="6" t="n">
        <v>213</v>
      </c>
      <c r="I3705" s="7" t="n">
        <f aca="false">(G3705-H3705)/G3705</f>
        <v>0.720105124835742</v>
      </c>
      <c r="J3705" s="15" t="n">
        <v>0.361</v>
      </c>
      <c r="K3705" s="11" t="str">
        <f aca="false">IF(I3705&lt;J3705,"TAK","NIE")</f>
        <v>NIE</v>
      </c>
    </row>
    <row r="3706" customFormat="false" ht="15" hidden="false" customHeight="false" outlineLevel="0" collapsed="false">
      <c r="A3706" s="5" t="s">
        <v>718</v>
      </c>
      <c r="B3706" s="5" t="s">
        <v>67</v>
      </c>
      <c r="C3706" s="5" t="n">
        <v>2023</v>
      </c>
      <c r="D3706" s="5" t="s">
        <v>68</v>
      </c>
      <c r="E3706" s="5" t="s">
        <v>75</v>
      </c>
      <c r="F3706" s="5" t="s">
        <v>40</v>
      </c>
      <c r="G3706" s="6" t="n">
        <v>761</v>
      </c>
      <c r="H3706" s="6" t="n">
        <v>194</v>
      </c>
      <c r="I3706" s="7" t="n">
        <f aca="false">(G3706-H3706)/G3706</f>
        <v>0.745072273324573</v>
      </c>
      <c r="J3706" s="15" t="n">
        <v>0.361</v>
      </c>
      <c r="K3706" s="11" t="str">
        <f aca="false">IF(I3706&lt;J3706,"TAK","NIE")</f>
        <v>NIE</v>
      </c>
    </row>
    <row r="3707" customFormat="false" ht="15" hidden="false" customHeight="false" outlineLevel="0" collapsed="false">
      <c r="A3707" s="5" t="s">
        <v>719</v>
      </c>
      <c r="B3707" s="5" t="s">
        <v>67</v>
      </c>
      <c r="C3707" s="5" t="n">
        <v>2023</v>
      </c>
      <c r="D3707" s="5" t="s">
        <v>68</v>
      </c>
      <c r="E3707" s="5" t="s">
        <v>75</v>
      </c>
      <c r="F3707" s="5" t="s">
        <v>40</v>
      </c>
      <c r="G3707" s="6" t="n">
        <v>760</v>
      </c>
      <c r="H3707" s="6" t="n">
        <v>315</v>
      </c>
      <c r="I3707" s="7" t="n">
        <f aca="false">(G3707-H3707)/G3707</f>
        <v>0.585526315789474</v>
      </c>
      <c r="J3707" s="15" t="n">
        <v>0.361</v>
      </c>
      <c r="K3707" s="11" t="str">
        <f aca="false">IF(I3707&lt;J3707,"TAK","NIE")</f>
        <v>NIE</v>
      </c>
    </row>
    <row r="3708" customFormat="false" ht="15" hidden="false" customHeight="false" outlineLevel="0" collapsed="false">
      <c r="A3708" s="5" t="s">
        <v>720</v>
      </c>
      <c r="B3708" s="5" t="s">
        <v>67</v>
      </c>
      <c r="C3708" s="5" t="n">
        <v>2023</v>
      </c>
      <c r="D3708" s="5" t="s">
        <v>68</v>
      </c>
      <c r="E3708" s="5" t="s">
        <v>75</v>
      </c>
      <c r="F3708" s="5" t="s">
        <v>40</v>
      </c>
      <c r="G3708" s="6" t="n">
        <v>761</v>
      </c>
      <c r="H3708" s="6" t="n">
        <v>303</v>
      </c>
      <c r="I3708" s="7" t="n">
        <f aca="false">(G3708-H3708)/G3708</f>
        <v>0.601839684625493</v>
      </c>
      <c r="J3708" s="15" t="n">
        <v>0.361</v>
      </c>
      <c r="K3708" s="11" t="str">
        <f aca="false">IF(I3708&lt;J3708,"TAK","NIE")</f>
        <v>NIE</v>
      </c>
    </row>
    <row r="3709" customFormat="false" ht="15" hidden="false" customHeight="false" outlineLevel="0" collapsed="false">
      <c r="A3709" s="5" t="s">
        <v>721</v>
      </c>
      <c r="B3709" s="5" t="s">
        <v>67</v>
      </c>
      <c r="C3709" s="5" t="n">
        <v>2023</v>
      </c>
      <c r="D3709" s="5" t="s">
        <v>68</v>
      </c>
      <c r="E3709" s="5" t="s">
        <v>75</v>
      </c>
      <c r="F3709" s="5" t="s">
        <v>40</v>
      </c>
      <c r="G3709" s="6" t="n">
        <v>760</v>
      </c>
      <c r="H3709" s="6" t="n">
        <v>187</v>
      </c>
      <c r="I3709" s="7" t="n">
        <f aca="false">(G3709-H3709)/G3709</f>
        <v>0.753947368421053</v>
      </c>
      <c r="J3709" s="15" t="n">
        <v>0.361</v>
      </c>
      <c r="K3709" s="11" t="str">
        <f aca="false">IF(I3709&lt;J3709,"TAK","NIE")</f>
        <v>NIE</v>
      </c>
    </row>
    <row r="3710" customFormat="false" ht="15" hidden="false" customHeight="false" outlineLevel="0" collapsed="false">
      <c r="A3710" s="5" t="s">
        <v>722</v>
      </c>
      <c r="B3710" s="5" t="s">
        <v>67</v>
      </c>
      <c r="C3710" s="5" t="n">
        <v>2023</v>
      </c>
      <c r="D3710" s="5" t="s">
        <v>68</v>
      </c>
      <c r="E3710" s="5" t="s">
        <v>75</v>
      </c>
      <c r="F3710" s="5" t="s">
        <v>40</v>
      </c>
      <c r="G3710" s="6" t="n">
        <v>761</v>
      </c>
      <c r="H3710" s="6" t="n">
        <v>285</v>
      </c>
      <c r="I3710" s="7" t="n">
        <f aca="false">(G3710-H3710)/G3710</f>
        <v>0.625492772667543</v>
      </c>
      <c r="J3710" s="15" t="n">
        <v>0.361</v>
      </c>
      <c r="K3710" s="11" t="str">
        <f aca="false">IF(I3710&lt;J3710,"TAK","NIE")</f>
        <v>NIE</v>
      </c>
    </row>
    <row r="3711" customFormat="false" ht="15" hidden="false" customHeight="false" outlineLevel="0" collapsed="false">
      <c r="A3711" s="5" t="s">
        <v>723</v>
      </c>
      <c r="B3711" s="5" t="s">
        <v>67</v>
      </c>
      <c r="C3711" s="5" t="n">
        <v>2023</v>
      </c>
      <c r="D3711" s="5" t="s">
        <v>68</v>
      </c>
      <c r="E3711" s="5" t="s">
        <v>75</v>
      </c>
      <c r="F3711" s="5" t="s">
        <v>40</v>
      </c>
      <c r="G3711" s="6" t="n">
        <v>761</v>
      </c>
      <c r="H3711" s="6" t="n">
        <v>155</v>
      </c>
      <c r="I3711" s="7" t="n">
        <f aca="false">(G3711-H3711)/G3711</f>
        <v>0.796320630749015</v>
      </c>
      <c r="J3711" s="15" t="n">
        <v>0.361</v>
      </c>
      <c r="K3711" s="11" t="str">
        <f aca="false">IF(I3711&lt;J3711,"TAK","NIE")</f>
        <v>NIE</v>
      </c>
    </row>
    <row r="3712" customFormat="false" ht="15" hidden="false" customHeight="false" outlineLevel="0" collapsed="false">
      <c r="A3712" s="5" t="s">
        <v>724</v>
      </c>
      <c r="B3712" s="5" t="s">
        <v>67</v>
      </c>
      <c r="C3712" s="5" t="n">
        <v>2023</v>
      </c>
      <c r="D3712" s="5" t="s">
        <v>68</v>
      </c>
      <c r="E3712" s="5" t="s">
        <v>75</v>
      </c>
      <c r="F3712" s="5" t="s">
        <v>40</v>
      </c>
      <c r="G3712" s="6" t="n">
        <v>761</v>
      </c>
      <c r="H3712" s="6" t="n">
        <v>254</v>
      </c>
      <c r="I3712" s="7" t="n">
        <f aca="false">(G3712-H3712)/G3712</f>
        <v>0.66622864651774</v>
      </c>
      <c r="J3712" s="15" t="n">
        <v>0.361</v>
      </c>
      <c r="K3712" s="11" t="str">
        <f aca="false">IF(I3712&lt;J3712,"TAK","NIE")</f>
        <v>NIE</v>
      </c>
    </row>
    <row r="3713" customFormat="false" ht="15" hidden="false" customHeight="false" outlineLevel="0" collapsed="false">
      <c r="A3713" s="5" t="s">
        <v>725</v>
      </c>
      <c r="B3713" s="5" t="s">
        <v>67</v>
      </c>
      <c r="C3713" s="5" t="n">
        <v>2023</v>
      </c>
      <c r="D3713" s="5" t="s">
        <v>68</v>
      </c>
      <c r="E3713" s="5" t="s">
        <v>75</v>
      </c>
      <c r="F3713" s="5" t="s">
        <v>40</v>
      </c>
      <c r="G3713" s="6" t="n">
        <v>761</v>
      </c>
      <c r="H3713" s="6" t="n">
        <v>172</v>
      </c>
      <c r="I3713" s="7" t="n">
        <f aca="false">(G3713-H3713)/G3713</f>
        <v>0.773981603153745</v>
      </c>
      <c r="J3713" s="15" t="n">
        <v>0.361</v>
      </c>
      <c r="K3713" s="11" t="str">
        <f aca="false">IF(I3713&lt;J3713,"TAK","NIE")</f>
        <v>NIE</v>
      </c>
    </row>
    <row r="3714" customFormat="false" ht="15" hidden="false" customHeight="false" outlineLevel="0" collapsed="false">
      <c r="A3714" s="5" t="s">
        <v>727</v>
      </c>
      <c r="B3714" s="5" t="s">
        <v>67</v>
      </c>
      <c r="C3714" s="5" t="n">
        <v>2023</v>
      </c>
      <c r="D3714" s="5" t="s">
        <v>68</v>
      </c>
      <c r="E3714" s="5" t="s">
        <v>75</v>
      </c>
      <c r="F3714" s="5" t="s">
        <v>40</v>
      </c>
      <c r="G3714" s="6" t="n">
        <v>761</v>
      </c>
      <c r="H3714" s="6" t="n">
        <v>352</v>
      </c>
      <c r="I3714" s="7" t="n">
        <f aca="false">(G3714-H3714)/G3714</f>
        <v>0.537450722733246</v>
      </c>
      <c r="J3714" s="15" t="n">
        <v>0.361</v>
      </c>
      <c r="K3714" s="11" t="str">
        <f aca="false">IF(I3714&lt;J3714,"TAK","NIE")</f>
        <v>NIE</v>
      </c>
    </row>
    <row r="3715" customFormat="false" ht="15" hidden="false" customHeight="false" outlineLevel="0" collapsed="false">
      <c r="A3715" s="5" t="s">
        <v>728</v>
      </c>
      <c r="B3715" s="5" t="s">
        <v>67</v>
      </c>
      <c r="C3715" s="5" t="n">
        <v>2023</v>
      </c>
      <c r="D3715" s="5" t="s">
        <v>68</v>
      </c>
      <c r="E3715" s="5" t="s">
        <v>75</v>
      </c>
      <c r="F3715" s="5" t="s">
        <v>40</v>
      </c>
      <c r="G3715" s="6" t="n">
        <v>761</v>
      </c>
      <c r="H3715" s="6" t="n">
        <v>179</v>
      </c>
      <c r="I3715" s="7" t="n">
        <f aca="false">(G3715-H3715)/G3715</f>
        <v>0.764783180026281</v>
      </c>
      <c r="J3715" s="15" t="n">
        <v>0.361</v>
      </c>
      <c r="K3715" s="11" t="str">
        <f aca="false">IF(I3715&lt;J3715,"TAK","NIE")</f>
        <v>NIE</v>
      </c>
    </row>
    <row r="3716" customFormat="false" ht="15" hidden="false" customHeight="false" outlineLevel="0" collapsed="false">
      <c r="A3716" s="5" t="s">
        <v>729</v>
      </c>
      <c r="B3716" s="5" t="s">
        <v>67</v>
      </c>
      <c r="C3716" s="5" t="n">
        <v>2023</v>
      </c>
      <c r="D3716" s="5" t="s">
        <v>68</v>
      </c>
      <c r="E3716" s="5" t="s">
        <v>75</v>
      </c>
      <c r="F3716" s="5" t="s">
        <v>40</v>
      </c>
      <c r="G3716" s="6" t="n">
        <v>761</v>
      </c>
      <c r="H3716" s="6" t="n">
        <v>398</v>
      </c>
      <c r="I3716" s="7" t="n">
        <f aca="false">(G3716-H3716)/G3716</f>
        <v>0.47700394218134</v>
      </c>
      <c r="J3716" s="15" t="n">
        <v>0.361</v>
      </c>
      <c r="K3716" s="11" t="str">
        <f aca="false">IF(I3716&lt;J3716,"TAK","NIE")</f>
        <v>NIE</v>
      </c>
    </row>
    <row r="3717" customFormat="false" ht="15" hidden="false" customHeight="false" outlineLevel="0" collapsed="false">
      <c r="A3717" s="5" t="s">
        <v>730</v>
      </c>
      <c r="B3717" s="5" t="s">
        <v>67</v>
      </c>
      <c r="C3717" s="5" t="n">
        <v>2023</v>
      </c>
      <c r="D3717" s="5" t="s">
        <v>68</v>
      </c>
      <c r="E3717" s="5" t="s">
        <v>75</v>
      </c>
      <c r="F3717" s="5" t="s">
        <v>40</v>
      </c>
      <c r="G3717" s="6" t="n">
        <v>760</v>
      </c>
      <c r="H3717" s="6" t="n">
        <v>159</v>
      </c>
      <c r="I3717" s="7" t="n">
        <f aca="false">(G3717-H3717)/G3717</f>
        <v>0.790789473684211</v>
      </c>
      <c r="J3717" s="15" t="n">
        <v>0.361</v>
      </c>
      <c r="K3717" s="11" t="str">
        <f aca="false">IF(I3717&lt;J3717,"TAK","NIE")</f>
        <v>NIE</v>
      </c>
    </row>
    <row r="3718" customFormat="false" ht="15" hidden="false" customHeight="false" outlineLevel="0" collapsed="false">
      <c r="A3718" s="5" t="s">
        <v>731</v>
      </c>
      <c r="B3718" s="5" t="s">
        <v>67</v>
      </c>
      <c r="C3718" s="5" t="n">
        <v>2023</v>
      </c>
      <c r="D3718" s="5" t="s">
        <v>68</v>
      </c>
      <c r="E3718" s="5" t="s">
        <v>75</v>
      </c>
      <c r="F3718" s="5" t="s">
        <v>40</v>
      </c>
      <c r="G3718" s="6" t="n">
        <v>761</v>
      </c>
      <c r="H3718" s="6" t="n">
        <v>308</v>
      </c>
      <c r="I3718" s="7" t="n">
        <f aca="false">(G3718-H3718)/G3718</f>
        <v>0.59526938239159</v>
      </c>
      <c r="J3718" s="15" t="n">
        <v>0.361</v>
      </c>
      <c r="K3718" s="11" t="str">
        <f aca="false">IF(I3718&lt;J3718,"TAK","NIE")</f>
        <v>NIE</v>
      </c>
    </row>
    <row r="3719" customFormat="false" ht="15" hidden="false" customHeight="false" outlineLevel="0" collapsed="false">
      <c r="A3719" s="5" t="s">
        <v>735</v>
      </c>
      <c r="B3719" s="5" t="s">
        <v>67</v>
      </c>
      <c r="C3719" s="5" t="n">
        <v>2023</v>
      </c>
      <c r="D3719" s="5" t="s">
        <v>68</v>
      </c>
      <c r="E3719" s="5" t="s">
        <v>75</v>
      </c>
      <c r="F3719" s="5" t="s">
        <v>40</v>
      </c>
      <c r="G3719" s="6" t="n">
        <v>760</v>
      </c>
      <c r="H3719" s="6" t="n">
        <v>350</v>
      </c>
      <c r="I3719" s="7" t="n">
        <f aca="false">(G3719-H3719)/G3719</f>
        <v>0.539473684210526</v>
      </c>
      <c r="J3719" s="15" t="n">
        <v>0.361</v>
      </c>
      <c r="K3719" s="11" t="str">
        <f aca="false">IF(I3719&lt;J3719,"TAK","NIE")</f>
        <v>NIE</v>
      </c>
    </row>
    <row r="3720" customFormat="false" ht="15" hidden="false" customHeight="false" outlineLevel="0" collapsed="false">
      <c r="A3720" s="5" t="s">
        <v>736</v>
      </c>
      <c r="B3720" s="5" t="s">
        <v>67</v>
      </c>
      <c r="C3720" s="5" t="n">
        <v>2023</v>
      </c>
      <c r="D3720" s="5" t="s">
        <v>68</v>
      </c>
      <c r="E3720" s="5" t="s">
        <v>75</v>
      </c>
      <c r="F3720" s="5" t="s">
        <v>40</v>
      </c>
      <c r="G3720" s="6" t="n">
        <v>761</v>
      </c>
      <c r="H3720" s="6" t="n">
        <v>287</v>
      </c>
      <c r="I3720" s="7" t="n">
        <f aca="false">(G3720-H3720)/G3720</f>
        <v>0.622864651773982</v>
      </c>
      <c r="J3720" s="15" t="n">
        <v>0.361</v>
      </c>
      <c r="K3720" s="11" t="str">
        <f aca="false">IF(I3720&lt;J3720,"TAK","NIE")</f>
        <v>NIE</v>
      </c>
    </row>
    <row r="3721" customFormat="false" ht="15" hidden="false" customHeight="false" outlineLevel="0" collapsed="false">
      <c r="A3721" s="5" t="s">
        <v>737</v>
      </c>
      <c r="B3721" s="5" t="s">
        <v>67</v>
      </c>
      <c r="C3721" s="5" t="n">
        <v>2023</v>
      </c>
      <c r="D3721" s="5" t="s">
        <v>68</v>
      </c>
      <c r="E3721" s="5" t="s">
        <v>75</v>
      </c>
      <c r="F3721" s="5" t="s">
        <v>40</v>
      </c>
      <c r="G3721" s="6" t="n">
        <v>758</v>
      </c>
      <c r="H3721" s="6" t="n">
        <v>228</v>
      </c>
      <c r="I3721" s="7" t="n">
        <f aca="false">(G3721-H3721)/G3721</f>
        <v>0.699208443271768</v>
      </c>
      <c r="J3721" s="15" t="n">
        <v>0.361</v>
      </c>
      <c r="K3721" s="11" t="str">
        <f aca="false">IF(I3721&lt;J3721,"TAK","NIE")</f>
        <v>NIE</v>
      </c>
    </row>
    <row r="3722" customFormat="false" ht="15" hidden="false" customHeight="false" outlineLevel="0" collapsed="false">
      <c r="A3722" s="5" t="s">
        <v>738</v>
      </c>
      <c r="B3722" s="5" t="s">
        <v>67</v>
      </c>
      <c r="C3722" s="5" t="n">
        <v>2023</v>
      </c>
      <c r="D3722" s="5" t="s">
        <v>68</v>
      </c>
      <c r="E3722" s="5" t="s">
        <v>75</v>
      </c>
      <c r="F3722" s="5" t="s">
        <v>40</v>
      </c>
      <c r="G3722" s="6" t="n">
        <v>761</v>
      </c>
      <c r="H3722" s="6" t="n">
        <v>290</v>
      </c>
      <c r="I3722" s="7" t="n">
        <f aca="false">(G3722-H3722)/G3722</f>
        <v>0.61892247043364</v>
      </c>
      <c r="J3722" s="15" t="n">
        <v>0.361</v>
      </c>
      <c r="K3722" s="11" t="str">
        <f aca="false">IF(I3722&lt;J3722,"TAK","NIE")</f>
        <v>NIE</v>
      </c>
    </row>
    <row r="3723" customFormat="false" ht="15" hidden="false" customHeight="false" outlineLevel="0" collapsed="false">
      <c r="A3723" s="5" t="s">
        <v>740</v>
      </c>
      <c r="B3723" s="5" t="s">
        <v>67</v>
      </c>
      <c r="C3723" s="5" t="n">
        <v>2023</v>
      </c>
      <c r="D3723" s="5" t="s">
        <v>68</v>
      </c>
      <c r="E3723" s="5" t="s">
        <v>75</v>
      </c>
      <c r="F3723" s="5" t="s">
        <v>40</v>
      </c>
      <c r="G3723" s="6" t="n">
        <v>761</v>
      </c>
      <c r="H3723" s="6" t="n">
        <v>340</v>
      </c>
      <c r="I3723" s="7" t="n">
        <f aca="false">(G3723-H3723)/G3723</f>
        <v>0.553219448094612</v>
      </c>
      <c r="J3723" s="15" t="n">
        <v>0.361</v>
      </c>
      <c r="K3723" s="11" t="str">
        <f aca="false">IF(I3723&lt;J3723,"TAK","NIE")</f>
        <v>NIE</v>
      </c>
    </row>
    <row r="3724" customFormat="false" ht="15" hidden="false" customHeight="false" outlineLevel="0" collapsed="false">
      <c r="A3724" s="5" t="s">
        <v>742</v>
      </c>
      <c r="B3724" s="5" t="s">
        <v>67</v>
      </c>
      <c r="C3724" s="5" t="n">
        <v>2023</v>
      </c>
      <c r="D3724" s="5" t="s">
        <v>68</v>
      </c>
      <c r="E3724" s="5" t="s">
        <v>75</v>
      </c>
      <c r="F3724" s="5" t="s">
        <v>40</v>
      </c>
      <c r="G3724" s="6" t="n">
        <v>761</v>
      </c>
      <c r="H3724" s="6" t="n">
        <v>302</v>
      </c>
      <c r="I3724" s="7" t="n">
        <f aca="false">(G3724-H3724)/G3724</f>
        <v>0.603153745072273</v>
      </c>
      <c r="J3724" s="15" t="n">
        <v>0.361</v>
      </c>
      <c r="K3724" s="11" t="str">
        <f aca="false">IF(I3724&lt;J3724,"TAK","NIE")</f>
        <v>NIE</v>
      </c>
    </row>
    <row r="3725" customFormat="false" ht="15" hidden="false" customHeight="false" outlineLevel="0" collapsed="false">
      <c r="A3725" s="5" t="s">
        <v>717</v>
      </c>
      <c r="B3725" s="5" t="s">
        <v>69</v>
      </c>
      <c r="C3725" s="5" t="n">
        <v>2023</v>
      </c>
      <c r="D3725" s="5" t="s">
        <v>68</v>
      </c>
      <c r="E3725" s="5" t="s">
        <v>89</v>
      </c>
      <c r="F3725" s="5" t="s">
        <v>39</v>
      </c>
      <c r="G3725" s="6" t="n">
        <v>562</v>
      </c>
      <c r="H3725" s="6" t="n">
        <v>99</v>
      </c>
      <c r="I3725" s="7" t="n">
        <f aca="false">(G3725-H3725)/G3725</f>
        <v>0.823843416370107</v>
      </c>
      <c r="J3725" s="15" t="n">
        <v>0.3894</v>
      </c>
      <c r="K3725" s="11" t="str">
        <f aca="false">IF(I3725&lt;J3725,"TAK","NIE")</f>
        <v>NIE</v>
      </c>
    </row>
    <row r="3726" customFormat="false" ht="15" hidden="false" customHeight="false" outlineLevel="0" collapsed="false">
      <c r="A3726" s="5" t="s">
        <v>718</v>
      </c>
      <c r="B3726" s="5" t="s">
        <v>69</v>
      </c>
      <c r="C3726" s="5" t="n">
        <v>2023</v>
      </c>
      <c r="D3726" s="5" t="s">
        <v>68</v>
      </c>
      <c r="E3726" s="5" t="s">
        <v>89</v>
      </c>
      <c r="F3726" s="5" t="s">
        <v>39</v>
      </c>
      <c r="G3726" s="6" t="n">
        <v>562</v>
      </c>
      <c r="H3726" s="6" t="n">
        <v>60</v>
      </c>
      <c r="I3726" s="7" t="n">
        <f aca="false">(G3726-H3726)/G3726</f>
        <v>0.893238434163701</v>
      </c>
      <c r="J3726" s="15" t="n">
        <v>0.3894</v>
      </c>
      <c r="K3726" s="11" t="str">
        <f aca="false">IF(I3726&lt;J3726,"TAK","NIE")</f>
        <v>NIE</v>
      </c>
    </row>
    <row r="3727" customFormat="false" ht="15" hidden="false" customHeight="false" outlineLevel="0" collapsed="false">
      <c r="A3727" s="5" t="s">
        <v>719</v>
      </c>
      <c r="B3727" s="5" t="s">
        <v>69</v>
      </c>
      <c r="C3727" s="5" t="n">
        <v>2023</v>
      </c>
      <c r="D3727" s="5" t="s">
        <v>68</v>
      </c>
      <c r="E3727" s="5" t="s">
        <v>89</v>
      </c>
      <c r="F3727" s="5" t="s">
        <v>39</v>
      </c>
      <c r="G3727" s="6" t="n">
        <v>562</v>
      </c>
      <c r="H3727" s="6" t="n">
        <v>216</v>
      </c>
      <c r="I3727" s="7" t="n">
        <f aca="false">(G3727-H3727)/G3727</f>
        <v>0.615658362989324</v>
      </c>
      <c r="J3727" s="15" t="n">
        <v>0.3894</v>
      </c>
      <c r="K3727" s="11" t="str">
        <f aca="false">IF(I3727&lt;J3727,"TAK","NIE")</f>
        <v>NIE</v>
      </c>
    </row>
    <row r="3728" customFormat="false" ht="15" hidden="false" customHeight="false" outlineLevel="0" collapsed="false">
      <c r="A3728" s="5" t="s">
        <v>720</v>
      </c>
      <c r="B3728" s="5" t="s">
        <v>69</v>
      </c>
      <c r="C3728" s="5" t="n">
        <v>2023</v>
      </c>
      <c r="D3728" s="5" t="s">
        <v>68</v>
      </c>
      <c r="E3728" s="5" t="s">
        <v>89</v>
      </c>
      <c r="F3728" s="5" t="s">
        <v>39</v>
      </c>
      <c r="G3728" s="6" t="n">
        <v>563</v>
      </c>
      <c r="H3728" s="6" t="n">
        <v>119</v>
      </c>
      <c r="I3728" s="7" t="n">
        <f aca="false">(G3728-H3728)/G3728</f>
        <v>0.788632326820604</v>
      </c>
      <c r="J3728" s="15" t="n">
        <v>0.3894</v>
      </c>
      <c r="K3728" s="11" t="str">
        <f aca="false">IF(I3728&lt;J3728,"TAK","NIE")</f>
        <v>NIE</v>
      </c>
    </row>
    <row r="3729" customFormat="false" ht="15" hidden="false" customHeight="false" outlineLevel="0" collapsed="false">
      <c r="A3729" s="5" t="s">
        <v>721</v>
      </c>
      <c r="B3729" s="5" t="s">
        <v>69</v>
      </c>
      <c r="C3729" s="5" t="n">
        <v>2023</v>
      </c>
      <c r="D3729" s="5" t="s">
        <v>68</v>
      </c>
      <c r="E3729" s="5" t="s">
        <v>89</v>
      </c>
      <c r="F3729" s="5" t="s">
        <v>39</v>
      </c>
      <c r="G3729" s="6" t="n">
        <v>562</v>
      </c>
      <c r="H3729" s="6" t="n">
        <v>64</v>
      </c>
      <c r="I3729" s="7" t="n">
        <f aca="false">(G3729-H3729)/G3729</f>
        <v>0.886120996441281</v>
      </c>
      <c r="J3729" s="15" t="n">
        <v>0.3894</v>
      </c>
      <c r="K3729" s="11" t="str">
        <f aca="false">IF(I3729&lt;J3729,"TAK","NIE")</f>
        <v>NIE</v>
      </c>
    </row>
    <row r="3730" customFormat="false" ht="15" hidden="false" customHeight="false" outlineLevel="0" collapsed="false">
      <c r="A3730" s="5" t="s">
        <v>722</v>
      </c>
      <c r="B3730" s="5" t="s">
        <v>69</v>
      </c>
      <c r="C3730" s="5" t="n">
        <v>2023</v>
      </c>
      <c r="D3730" s="5" t="s">
        <v>68</v>
      </c>
      <c r="E3730" s="5" t="s">
        <v>89</v>
      </c>
      <c r="F3730" s="5" t="s">
        <v>39</v>
      </c>
      <c r="G3730" s="6" t="n">
        <v>563</v>
      </c>
      <c r="H3730" s="6" t="n">
        <v>145</v>
      </c>
      <c r="I3730" s="7" t="n">
        <f aca="false">(G3730-H3730)/G3730</f>
        <v>0.742451154529307</v>
      </c>
      <c r="J3730" s="15" t="n">
        <v>0.3894</v>
      </c>
      <c r="K3730" s="11" t="str">
        <f aca="false">IF(I3730&lt;J3730,"TAK","NIE")</f>
        <v>NIE</v>
      </c>
    </row>
    <row r="3731" customFormat="false" ht="15" hidden="false" customHeight="false" outlineLevel="0" collapsed="false">
      <c r="A3731" s="5" t="s">
        <v>723</v>
      </c>
      <c r="B3731" s="5" t="s">
        <v>69</v>
      </c>
      <c r="C3731" s="5" t="n">
        <v>2023</v>
      </c>
      <c r="D3731" s="5" t="s">
        <v>68</v>
      </c>
      <c r="E3731" s="5" t="s">
        <v>89</v>
      </c>
      <c r="F3731" s="5" t="s">
        <v>39</v>
      </c>
      <c r="G3731" s="6" t="n">
        <v>562</v>
      </c>
      <c r="H3731" s="6" t="n">
        <v>53</v>
      </c>
      <c r="I3731" s="7" t="n">
        <f aca="false">(G3731-H3731)/G3731</f>
        <v>0.905693950177936</v>
      </c>
      <c r="J3731" s="15" t="n">
        <v>0.3894</v>
      </c>
      <c r="K3731" s="11" t="str">
        <f aca="false">IF(I3731&lt;J3731,"TAK","NIE")</f>
        <v>NIE</v>
      </c>
    </row>
    <row r="3732" customFormat="false" ht="15" hidden="false" customHeight="false" outlineLevel="0" collapsed="false">
      <c r="A3732" s="5" t="s">
        <v>724</v>
      </c>
      <c r="B3732" s="5" t="s">
        <v>69</v>
      </c>
      <c r="C3732" s="5" t="n">
        <v>2023</v>
      </c>
      <c r="D3732" s="5" t="s">
        <v>68</v>
      </c>
      <c r="E3732" s="5" t="s">
        <v>89</v>
      </c>
      <c r="F3732" s="5" t="s">
        <v>39</v>
      </c>
      <c r="G3732" s="6" t="n">
        <v>563</v>
      </c>
      <c r="H3732" s="6" t="n">
        <v>130</v>
      </c>
      <c r="I3732" s="7" t="n">
        <f aca="false">(G3732-H3732)/G3732</f>
        <v>0.769094138543517</v>
      </c>
      <c r="J3732" s="15" t="n">
        <v>0.3894</v>
      </c>
      <c r="K3732" s="11" t="str">
        <f aca="false">IF(I3732&lt;J3732,"TAK","NIE")</f>
        <v>NIE</v>
      </c>
    </row>
    <row r="3733" customFormat="false" ht="15" hidden="false" customHeight="false" outlineLevel="0" collapsed="false">
      <c r="A3733" s="5" t="s">
        <v>725</v>
      </c>
      <c r="B3733" s="5" t="s">
        <v>69</v>
      </c>
      <c r="C3733" s="5" t="n">
        <v>2023</v>
      </c>
      <c r="D3733" s="5" t="s">
        <v>68</v>
      </c>
      <c r="E3733" s="5" t="s">
        <v>89</v>
      </c>
      <c r="F3733" s="5" t="s">
        <v>39</v>
      </c>
      <c r="G3733" s="6" t="n">
        <v>563</v>
      </c>
      <c r="H3733" s="6" t="n">
        <v>44</v>
      </c>
      <c r="I3733" s="7" t="n">
        <f aca="false">(G3733-H3733)/G3733</f>
        <v>0.921847246891652</v>
      </c>
      <c r="J3733" s="15" t="n">
        <v>0.3894</v>
      </c>
      <c r="K3733" s="11" t="str">
        <f aca="false">IF(I3733&lt;J3733,"TAK","NIE")</f>
        <v>NIE</v>
      </c>
    </row>
    <row r="3734" customFormat="false" ht="15" hidden="false" customHeight="false" outlineLevel="0" collapsed="false">
      <c r="A3734" s="5" t="s">
        <v>727</v>
      </c>
      <c r="B3734" s="5" t="s">
        <v>69</v>
      </c>
      <c r="C3734" s="5" t="n">
        <v>2023</v>
      </c>
      <c r="D3734" s="5" t="s">
        <v>68</v>
      </c>
      <c r="E3734" s="5" t="s">
        <v>89</v>
      </c>
      <c r="F3734" s="5" t="s">
        <v>39</v>
      </c>
      <c r="G3734" s="6" t="n">
        <v>555</v>
      </c>
      <c r="H3734" s="6" t="n">
        <v>207</v>
      </c>
      <c r="I3734" s="7" t="n">
        <f aca="false">(G3734-H3734)/G3734</f>
        <v>0.627027027027027</v>
      </c>
      <c r="J3734" s="15" t="n">
        <v>0.3894</v>
      </c>
      <c r="K3734" s="11" t="str">
        <f aca="false">IF(I3734&lt;J3734,"TAK","NIE")</f>
        <v>NIE</v>
      </c>
    </row>
    <row r="3735" customFormat="false" ht="15" hidden="false" customHeight="false" outlineLevel="0" collapsed="false">
      <c r="A3735" s="5" t="s">
        <v>728</v>
      </c>
      <c r="B3735" s="5" t="s">
        <v>69</v>
      </c>
      <c r="C3735" s="5" t="n">
        <v>2023</v>
      </c>
      <c r="D3735" s="5" t="s">
        <v>68</v>
      </c>
      <c r="E3735" s="5" t="s">
        <v>89</v>
      </c>
      <c r="F3735" s="5" t="s">
        <v>39</v>
      </c>
      <c r="G3735" s="6" t="n">
        <v>563</v>
      </c>
      <c r="H3735" s="6" t="n">
        <v>56</v>
      </c>
      <c r="I3735" s="7" t="n">
        <f aca="false">(G3735-H3735)/G3735</f>
        <v>0.900532859680284</v>
      </c>
      <c r="J3735" s="15" t="n">
        <v>0.3894</v>
      </c>
      <c r="K3735" s="11" t="str">
        <f aca="false">IF(I3735&lt;J3735,"TAK","NIE")</f>
        <v>NIE</v>
      </c>
    </row>
    <row r="3736" customFormat="false" ht="15" hidden="false" customHeight="false" outlineLevel="0" collapsed="false">
      <c r="A3736" s="5" t="s">
        <v>729</v>
      </c>
      <c r="B3736" s="5" t="s">
        <v>69</v>
      </c>
      <c r="C3736" s="5" t="n">
        <v>2023</v>
      </c>
      <c r="D3736" s="5" t="s">
        <v>68</v>
      </c>
      <c r="E3736" s="5" t="s">
        <v>89</v>
      </c>
      <c r="F3736" s="5" t="s">
        <v>39</v>
      </c>
      <c r="G3736" s="6" t="n">
        <v>563</v>
      </c>
      <c r="H3736" s="6" t="n">
        <v>132</v>
      </c>
      <c r="I3736" s="7" t="n">
        <f aca="false">(G3736-H3736)/G3736</f>
        <v>0.765541740674956</v>
      </c>
      <c r="J3736" s="15" t="n">
        <v>0.3894</v>
      </c>
      <c r="K3736" s="11" t="str">
        <f aca="false">IF(I3736&lt;J3736,"TAK","NIE")</f>
        <v>NIE</v>
      </c>
    </row>
    <row r="3737" customFormat="false" ht="15" hidden="false" customHeight="false" outlineLevel="0" collapsed="false">
      <c r="A3737" s="5" t="s">
        <v>730</v>
      </c>
      <c r="B3737" s="5" t="s">
        <v>69</v>
      </c>
      <c r="C3737" s="5" t="n">
        <v>2023</v>
      </c>
      <c r="D3737" s="5" t="s">
        <v>68</v>
      </c>
      <c r="E3737" s="5" t="s">
        <v>89</v>
      </c>
      <c r="F3737" s="5" t="s">
        <v>39</v>
      </c>
      <c r="G3737" s="6" t="n">
        <v>562</v>
      </c>
      <c r="H3737" s="6" t="n">
        <v>66</v>
      </c>
      <c r="I3737" s="7" t="n">
        <f aca="false">(G3737-H3737)/G3737</f>
        <v>0.882562277580071</v>
      </c>
      <c r="J3737" s="15" t="n">
        <v>0.3894</v>
      </c>
      <c r="K3737" s="11" t="str">
        <f aca="false">IF(I3737&lt;J3737,"TAK","NIE")</f>
        <v>NIE</v>
      </c>
    </row>
    <row r="3738" customFormat="false" ht="15" hidden="false" customHeight="false" outlineLevel="0" collapsed="false">
      <c r="A3738" s="5" t="s">
        <v>731</v>
      </c>
      <c r="B3738" s="5" t="s">
        <v>69</v>
      </c>
      <c r="C3738" s="5" t="n">
        <v>2023</v>
      </c>
      <c r="D3738" s="5" t="s">
        <v>68</v>
      </c>
      <c r="E3738" s="5" t="s">
        <v>89</v>
      </c>
      <c r="F3738" s="5" t="s">
        <v>39</v>
      </c>
      <c r="G3738" s="6" t="n">
        <v>563</v>
      </c>
      <c r="H3738" s="6" t="n">
        <v>175</v>
      </c>
      <c r="I3738" s="7" t="n">
        <f aca="false">(G3738-H3738)/G3738</f>
        <v>0.689165186500888</v>
      </c>
      <c r="J3738" s="15" t="n">
        <v>0.3894</v>
      </c>
      <c r="K3738" s="11" t="str">
        <f aca="false">IF(I3738&lt;J3738,"TAK","NIE")</f>
        <v>NIE</v>
      </c>
    </row>
    <row r="3739" customFormat="false" ht="15" hidden="false" customHeight="false" outlineLevel="0" collapsed="false">
      <c r="A3739" s="5" t="s">
        <v>735</v>
      </c>
      <c r="B3739" s="5" t="s">
        <v>69</v>
      </c>
      <c r="C3739" s="5" t="n">
        <v>2023</v>
      </c>
      <c r="D3739" s="5" t="s">
        <v>68</v>
      </c>
      <c r="E3739" s="5" t="s">
        <v>89</v>
      </c>
      <c r="F3739" s="5" t="s">
        <v>39</v>
      </c>
      <c r="G3739" s="6" t="n">
        <v>562</v>
      </c>
      <c r="H3739" s="6" t="n">
        <v>221</v>
      </c>
      <c r="I3739" s="7" t="n">
        <f aca="false">(G3739-H3739)/G3739</f>
        <v>0.606761565836299</v>
      </c>
      <c r="J3739" s="15" t="n">
        <v>0.3894</v>
      </c>
      <c r="K3739" s="11" t="str">
        <f aca="false">IF(I3739&lt;J3739,"TAK","NIE")</f>
        <v>NIE</v>
      </c>
    </row>
    <row r="3740" customFormat="false" ht="15" hidden="false" customHeight="false" outlineLevel="0" collapsed="false">
      <c r="A3740" s="5" t="s">
        <v>736</v>
      </c>
      <c r="B3740" s="5" t="s">
        <v>69</v>
      </c>
      <c r="C3740" s="5" t="n">
        <v>2023</v>
      </c>
      <c r="D3740" s="5" t="s">
        <v>68</v>
      </c>
      <c r="E3740" s="5" t="s">
        <v>89</v>
      </c>
      <c r="F3740" s="5" t="s">
        <v>39</v>
      </c>
      <c r="G3740" s="6" t="n">
        <v>562</v>
      </c>
      <c r="H3740" s="6" t="n">
        <v>178</v>
      </c>
      <c r="I3740" s="7" t="n">
        <f aca="false">(G3740-H3740)/G3740</f>
        <v>0.683274021352313</v>
      </c>
      <c r="J3740" s="15" t="n">
        <v>0.3894</v>
      </c>
      <c r="K3740" s="11" t="str">
        <f aca="false">IF(I3740&lt;J3740,"TAK","NIE")</f>
        <v>NIE</v>
      </c>
    </row>
    <row r="3741" customFormat="false" ht="15" hidden="false" customHeight="false" outlineLevel="0" collapsed="false">
      <c r="A3741" s="5" t="s">
        <v>737</v>
      </c>
      <c r="B3741" s="5" t="s">
        <v>69</v>
      </c>
      <c r="C3741" s="5" t="n">
        <v>2023</v>
      </c>
      <c r="D3741" s="5" t="s">
        <v>68</v>
      </c>
      <c r="E3741" s="5" t="s">
        <v>89</v>
      </c>
      <c r="F3741" s="5" t="s">
        <v>39</v>
      </c>
      <c r="G3741" s="6" t="n">
        <v>562</v>
      </c>
      <c r="H3741" s="6" t="n">
        <v>130</v>
      </c>
      <c r="I3741" s="7" t="n">
        <f aca="false">(G3741-H3741)/G3741</f>
        <v>0.768683274021352</v>
      </c>
      <c r="J3741" s="15" t="n">
        <v>0.3894</v>
      </c>
      <c r="K3741" s="11" t="str">
        <f aca="false">IF(I3741&lt;J3741,"TAK","NIE")</f>
        <v>NIE</v>
      </c>
    </row>
    <row r="3742" customFormat="false" ht="15" hidden="false" customHeight="false" outlineLevel="0" collapsed="false">
      <c r="A3742" s="5" t="s">
        <v>738</v>
      </c>
      <c r="B3742" s="5" t="s">
        <v>69</v>
      </c>
      <c r="C3742" s="5" t="n">
        <v>2023</v>
      </c>
      <c r="D3742" s="5" t="s">
        <v>68</v>
      </c>
      <c r="E3742" s="5" t="s">
        <v>89</v>
      </c>
      <c r="F3742" s="5" t="s">
        <v>39</v>
      </c>
      <c r="G3742" s="6" t="n">
        <v>563</v>
      </c>
      <c r="H3742" s="6" t="n">
        <v>176</v>
      </c>
      <c r="I3742" s="7" t="n">
        <f aca="false">(G3742-H3742)/G3742</f>
        <v>0.687388987566608</v>
      </c>
      <c r="J3742" s="15" t="n">
        <v>0.3894</v>
      </c>
      <c r="K3742" s="11" t="str">
        <f aca="false">IF(I3742&lt;J3742,"TAK","NIE")</f>
        <v>NIE</v>
      </c>
    </row>
    <row r="3743" customFormat="false" ht="15" hidden="false" customHeight="false" outlineLevel="0" collapsed="false">
      <c r="A3743" s="5" t="s">
        <v>740</v>
      </c>
      <c r="B3743" s="5" t="s">
        <v>69</v>
      </c>
      <c r="C3743" s="5" t="n">
        <v>2023</v>
      </c>
      <c r="D3743" s="5" t="s">
        <v>68</v>
      </c>
      <c r="E3743" s="5" t="s">
        <v>89</v>
      </c>
      <c r="F3743" s="5" t="s">
        <v>39</v>
      </c>
      <c r="G3743" s="6" t="n">
        <v>563</v>
      </c>
      <c r="H3743" s="6" t="n">
        <v>216</v>
      </c>
      <c r="I3743" s="7" t="n">
        <f aca="false">(G3743-H3743)/G3743</f>
        <v>0.616341030195382</v>
      </c>
      <c r="J3743" s="15" t="n">
        <v>0.3894</v>
      </c>
      <c r="K3743" s="11" t="str">
        <f aca="false">IF(I3743&lt;J3743,"TAK","NIE")</f>
        <v>NIE</v>
      </c>
    </row>
    <row r="3744" customFormat="false" ht="15" hidden="false" customHeight="false" outlineLevel="0" collapsed="false">
      <c r="A3744" s="5" t="s">
        <v>742</v>
      </c>
      <c r="B3744" s="5" t="s">
        <v>69</v>
      </c>
      <c r="C3744" s="5" t="n">
        <v>2023</v>
      </c>
      <c r="D3744" s="5" t="s">
        <v>68</v>
      </c>
      <c r="E3744" s="5" t="s">
        <v>89</v>
      </c>
      <c r="F3744" s="5" t="s">
        <v>39</v>
      </c>
      <c r="G3744" s="6" t="n">
        <v>555</v>
      </c>
      <c r="H3744" s="6" t="n">
        <v>161</v>
      </c>
      <c r="I3744" s="7" t="n">
        <f aca="false">(G3744-H3744)/G3744</f>
        <v>0.70990990990991</v>
      </c>
      <c r="J3744" s="15" t="n">
        <v>0.3894</v>
      </c>
      <c r="K3744" s="11" t="str">
        <f aca="false">IF(I3744&lt;J3744,"TAK","NIE")</f>
        <v>NIE</v>
      </c>
    </row>
    <row r="3745" customFormat="false" ht="15" hidden="false" customHeight="false" outlineLevel="0" collapsed="false">
      <c r="A3745" s="5" t="s">
        <v>717</v>
      </c>
      <c r="B3745" s="5" t="s">
        <v>69</v>
      </c>
      <c r="C3745" s="5" t="n">
        <v>2023</v>
      </c>
      <c r="D3745" s="5" t="s">
        <v>68</v>
      </c>
      <c r="E3745" s="5" t="s">
        <v>89</v>
      </c>
      <c r="F3745" s="5" t="s">
        <v>40</v>
      </c>
      <c r="G3745" s="6" t="n">
        <v>704</v>
      </c>
      <c r="H3745" s="6" t="n">
        <v>248</v>
      </c>
      <c r="I3745" s="7" t="n">
        <f aca="false">(G3745-H3745)/G3745</f>
        <v>0.647727272727273</v>
      </c>
      <c r="J3745" s="15" t="n">
        <v>0.2886</v>
      </c>
      <c r="K3745" s="11" t="str">
        <f aca="false">IF(I3745&lt;J3745,"TAK","NIE")</f>
        <v>NIE</v>
      </c>
    </row>
    <row r="3746" customFormat="false" ht="15" hidden="false" customHeight="false" outlineLevel="0" collapsed="false">
      <c r="A3746" s="5" t="s">
        <v>718</v>
      </c>
      <c r="B3746" s="5" t="s">
        <v>69</v>
      </c>
      <c r="C3746" s="5" t="n">
        <v>2023</v>
      </c>
      <c r="D3746" s="5" t="s">
        <v>68</v>
      </c>
      <c r="E3746" s="5" t="s">
        <v>89</v>
      </c>
      <c r="F3746" s="5" t="s">
        <v>40</v>
      </c>
      <c r="G3746" s="6" t="n">
        <v>704</v>
      </c>
      <c r="H3746" s="6" t="n">
        <v>234</v>
      </c>
      <c r="I3746" s="7" t="n">
        <f aca="false">(G3746-H3746)/G3746</f>
        <v>0.667613636363636</v>
      </c>
      <c r="J3746" s="15" t="n">
        <v>0.2886</v>
      </c>
      <c r="K3746" s="11" t="str">
        <f aca="false">IF(I3746&lt;J3746,"TAK","NIE")</f>
        <v>NIE</v>
      </c>
    </row>
    <row r="3747" customFormat="false" ht="15" hidden="false" customHeight="false" outlineLevel="0" collapsed="false">
      <c r="A3747" s="5" t="s">
        <v>719</v>
      </c>
      <c r="B3747" s="5" t="s">
        <v>69</v>
      </c>
      <c r="C3747" s="5" t="n">
        <v>2023</v>
      </c>
      <c r="D3747" s="5" t="s">
        <v>68</v>
      </c>
      <c r="E3747" s="5" t="s">
        <v>89</v>
      </c>
      <c r="F3747" s="5" t="s">
        <v>40</v>
      </c>
      <c r="G3747" s="6" t="n">
        <v>704</v>
      </c>
      <c r="H3747" s="6" t="n">
        <v>356</v>
      </c>
      <c r="I3747" s="7" t="n">
        <f aca="false">(G3747-H3747)/G3747</f>
        <v>0.494318181818182</v>
      </c>
      <c r="J3747" s="15" t="n">
        <v>0.2886</v>
      </c>
      <c r="K3747" s="11" t="str">
        <f aca="false">IF(I3747&lt;J3747,"TAK","NIE")</f>
        <v>NIE</v>
      </c>
    </row>
    <row r="3748" customFormat="false" ht="15" hidden="false" customHeight="false" outlineLevel="0" collapsed="false">
      <c r="A3748" s="5" t="s">
        <v>720</v>
      </c>
      <c r="B3748" s="5" t="s">
        <v>69</v>
      </c>
      <c r="C3748" s="5" t="n">
        <v>2023</v>
      </c>
      <c r="D3748" s="5" t="s">
        <v>68</v>
      </c>
      <c r="E3748" s="5" t="s">
        <v>89</v>
      </c>
      <c r="F3748" s="5" t="s">
        <v>40</v>
      </c>
      <c r="G3748" s="6" t="n">
        <v>704</v>
      </c>
      <c r="H3748" s="6" t="n">
        <v>294</v>
      </c>
      <c r="I3748" s="7" t="n">
        <f aca="false">(G3748-H3748)/G3748</f>
        <v>0.582386363636364</v>
      </c>
      <c r="J3748" s="15" t="n">
        <v>0.2886</v>
      </c>
      <c r="K3748" s="11" t="str">
        <f aca="false">IF(I3748&lt;J3748,"TAK","NIE")</f>
        <v>NIE</v>
      </c>
    </row>
    <row r="3749" customFormat="false" ht="15" hidden="false" customHeight="false" outlineLevel="0" collapsed="false">
      <c r="A3749" s="5" t="s">
        <v>721</v>
      </c>
      <c r="B3749" s="5" t="s">
        <v>69</v>
      </c>
      <c r="C3749" s="5" t="n">
        <v>2023</v>
      </c>
      <c r="D3749" s="5" t="s">
        <v>68</v>
      </c>
      <c r="E3749" s="5" t="s">
        <v>89</v>
      </c>
      <c r="F3749" s="5" t="s">
        <v>40</v>
      </c>
      <c r="G3749" s="6" t="n">
        <v>704</v>
      </c>
      <c r="H3749" s="6" t="n">
        <v>274</v>
      </c>
      <c r="I3749" s="7" t="n">
        <f aca="false">(G3749-H3749)/G3749</f>
        <v>0.610795454545455</v>
      </c>
      <c r="J3749" s="15" t="n">
        <v>0.2886</v>
      </c>
      <c r="K3749" s="11" t="str">
        <f aca="false">IF(I3749&lt;J3749,"TAK","NIE")</f>
        <v>NIE</v>
      </c>
    </row>
    <row r="3750" customFormat="false" ht="15" hidden="false" customHeight="false" outlineLevel="0" collapsed="false">
      <c r="A3750" s="5" t="s">
        <v>722</v>
      </c>
      <c r="B3750" s="5" t="s">
        <v>69</v>
      </c>
      <c r="C3750" s="5" t="n">
        <v>2023</v>
      </c>
      <c r="D3750" s="5" t="s">
        <v>68</v>
      </c>
      <c r="E3750" s="5" t="s">
        <v>89</v>
      </c>
      <c r="F3750" s="5" t="s">
        <v>40</v>
      </c>
      <c r="G3750" s="6" t="n">
        <v>704</v>
      </c>
      <c r="H3750" s="6" t="n">
        <v>283</v>
      </c>
      <c r="I3750" s="7" t="n">
        <f aca="false">(G3750-H3750)/G3750</f>
        <v>0.598011363636364</v>
      </c>
      <c r="J3750" s="15" t="n">
        <v>0.2886</v>
      </c>
      <c r="K3750" s="11" t="str">
        <f aca="false">IF(I3750&lt;J3750,"TAK","NIE")</f>
        <v>NIE</v>
      </c>
    </row>
    <row r="3751" customFormat="false" ht="15" hidden="false" customHeight="false" outlineLevel="0" collapsed="false">
      <c r="A3751" s="5" t="s">
        <v>723</v>
      </c>
      <c r="B3751" s="5" t="s">
        <v>69</v>
      </c>
      <c r="C3751" s="5" t="n">
        <v>2023</v>
      </c>
      <c r="D3751" s="5" t="s">
        <v>68</v>
      </c>
      <c r="E3751" s="5" t="s">
        <v>89</v>
      </c>
      <c r="F3751" s="5" t="s">
        <v>40</v>
      </c>
      <c r="G3751" s="6" t="n">
        <v>704</v>
      </c>
      <c r="H3751" s="6" t="n">
        <v>175</v>
      </c>
      <c r="I3751" s="7" t="n">
        <f aca="false">(G3751-H3751)/G3751</f>
        <v>0.751420454545455</v>
      </c>
      <c r="J3751" s="15" t="n">
        <v>0.2886</v>
      </c>
      <c r="K3751" s="11" t="str">
        <f aca="false">IF(I3751&lt;J3751,"TAK","NIE")</f>
        <v>NIE</v>
      </c>
    </row>
    <row r="3752" customFormat="false" ht="15" hidden="false" customHeight="false" outlineLevel="0" collapsed="false">
      <c r="A3752" s="5" t="s">
        <v>724</v>
      </c>
      <c r="B3752" s="5" t="s">
        <v>69</v>
      </c>
      <c r="C3752" s="5" t="n">
        <v>2023</v>
      </c>
      <c r="D3752" s="5" t="s">
        <v>68</v>
      </c>
      <c r="E3752" s="5" t="s">
        <v>89</v>
      </c>
      <c r="F3752" s="5" t="s">
        <v>40</v>
      </c>
      <c r="G3752" s="6" t="n">
        <v>704</v>
      </c>
      <c r="H3752" s="6" t="n">
        <v>315</v>
      </c>
      <c r="I3752" s="7" t="n">
        <f aca="false">(G3752-H3752)/G3752</f>
        <v>0.552556818181818</v>
      </c>
      <c r="J3752" s="15" t="n">
        <v>0.2886</v>
      </c>
      <c r="K3752" s="11" t="str">
        <f aca="false">IF(I3752&lt;J3752,"TAK","NIE")</f>
        <v>NIE</v>
      </c>
    </row>
    <row r="3753" customFormat="false" ht="15" hidden="false" customHeight="false" outlineLevel="0" collapsed="false">
      <c r="A3753" s="5" t="s">
        <v>725</v>
      </c>
      <c r="B3753" s="5" t="s">
        <v>69</v>
      </c>
      <c r="C3753" s="5" t="n">
        <v>2023</v>
      </c>
      <c r="D3753" s="5" t="s">
        <v>68</v>
      </c>
      <c r="E3753" s="5" t="s">
        <v>89</v>
      </c>
      <c r="F3753" s="5" t="s">
        <v>40</v>
      </c>
      <c r="G3753" s="6" t="n">
        <v>704</v>
      </c>
      <c r="H3753" s="6" t="n">
        <v>210</v>
      </c>
      <c r="I3753" s="7" t="n">
        <f aca="false">(G3753-H3753)/G3753</f>
        <v>0.701704545454545</v>
      </c>
      <c r="J3753" s="15" t="n">
        <v>0.2886</v>
      </c>
      <c r="K3753" s="11" t="str">
        <f aca="false">IF(I3753&lt;J3753,"TAK","NIE")</f>
        <v>NIE</v>
      </c>
    </row>
    <row r="3754" customFormat="false" ht="15" hidden="false" customHeight="false" outlineLevel="0" collapsed="false">
      <c r="A3754" s="5" t="s">
        <v>727</v>
      </c>
      <c r="B3754" s="5" t="s">
        <v>69</v>
      </c>
      <c r="C3754" s="5" t="n">
        <v>2023</v>
      </c>
      <c r="D3754" s="5" t="s">
        <v>68</v>
      </c>
      <c r="E3754" s="5" t="s">
        <v>89</v>
      </c>
      <c r="F3754" s="5" t="s">
        <v>40</v>
      </c>
      <c r="G3754" s="6" t="n">
        <v>704</v>
      </c>
      <c r="H3754" s="6" t="n">
        <v>432</v>
      </c>
      <c r="I3754" s="7" t="n">
        <f aca="false">(G3754-H3754)/G3754</f>
        <v>0.386363636363636</v>
      </c>
      <c r="J3754" s="15" t="n">
        <v>0.2886</v>
      </c>
      <c r="K3754" s="11" t="str">
        <f aca="false">IF(I3754&lt;J3754,"TAK","NIE")</f>
        <v>NIE</v>
      </c>
    </row>
    <row r="3755" customFormat="false" ht="15" hidden="false" customHeight="false" outlineLevel="0" collapsed="false">
      <c r="A3755" s="5" t="s">
        <v>728</v>
      </c>
      <c r="B3755" s="5" t="s">
        <v>69</v>
      </c>
      <c r="C3755" s="5" t="n">
        <v>2023</v>
      </c>
      <c r="D3755" s="5" t="s">
        <v>68</v>
      </c>
      <c r="E3755" s="5" t="s">
        <v>89</v>
      </c>
      <c r="F3755" s="5" t="s">
        <v>40</v>
      </c>
      <c r="G3755" s="6" t="n">
        <v>704</v>
      </c>
      <c r="H3755" s="6" t="n">
        <v>218</v>
      </c>
      <c r="I3755" s="7" t="n">
        <f aca="false">(G3755-H3755)/G3755</f>
        <v>0.690340909090909</v>
      </c>
      <c r="J3755" s="15" t="n">
        <v>0.2886</v>
      </c>
      <c r="K3755" s="11" t="str">
        <f aca="false">IF(I3755&lt;J3755,"TAK","NIE")</f>
        <v>NIE</v>
      </c>
    </row>
    <row r="3756" customFormat="false" ht="15" hidden="false" customHeight="false" outlineLevel="0" collapsed="false">
      <c r="A3756" s="5" t="s">
        <v>729</v>
      </c>
      <c r="B3756" s="5" t="s">
        <v>69</v>
      </c>
      <c r="C3756" s="5" t="n">
        <v>2023</v>
      </c>
      <c r="D3756" s="5" t="s">
        <v>68</v>
      </c>
      <c r="E3756" s="5" t="s">
        <v>89</v>
      </c>
      <c r="F3756" s="5" t="s">
        <v>40</v>
      </c>
      <c r="G3756" s="6" t="n">
        <v>704</v>
      </c>
      <c r="H3756" s="6" t="n">
        <v>287</v>
      </c>
      <c r="I3756" s="7" t="n">
        <f aca="false">(G3756-H3756)/G3756</f>
        <v>0.592329545454545</v>
      </c>
      <c r="J3756" s="15" t="n">
        <v>0.2886</v>
      </c>
      <c r="K3756" s="11" t="str">
        <f aca="false">IF(I3756&lt;J3756,"TAK","NIE")</f>
        <v>NIE</v>
      </c>
    </row>
    <row r="3757" customFormat="false" ht="15" hidden="false" customHeight="false" outlineLevel="0" collapsed="false">
      <c r="A3757" s="5" t="s">
        <v>730</v>
      </c>
      <c r="B3757" s="5" t="s">
        <v>69</v>
      </c>
      <c r="C3757" s="5" t="n">
        <v>2023</v>
      </c>
      <c r="D3757" s="5" t="s">
        <v>68</v>
      </c>
      <c r="E3757" s="5" t="s">
        <v>89</v>
      </c>
      <c r="F3757" s="5" t="s">
        <v>40</v>
      </c>
      <c r="G3757" s="6" t="n">
        <v>704</v>
      </c>
      <c r="H3757" s="6" t="n">
        <v>199</v>
      </c>
      <c r="I3757" s="7" t="n">
        <f aca="false">(G3757-H3757)/G3757</f>
        <v>0.717329545454545</v>
      </c>
      <c r="J3757" s="15" t="n">
        <v>0.2886</v>
      </c>
      <c r="K3757" s="11" t="str">
        <f aca="false">IF(I3757&lt;J3757,"TAK","NIE")</f>
        <v>NIE</v>
      </c>
    </row>
    <row r="3758" customFormat="false" ht="15" hidden="false" customHeight="false" outlineLevel="0" collapsed="false">
      <c r="A3758" s="5" t="s">
        <v>731</v>
      </c>
      <c r="B3758" s="5" t="s">
        <v>69</v>
      </c>
      <c r="C3758" s="5" t="n">
        <v>2023</v>
      </c>
      <c r="D3758" s="5" t="s">
        <v>68</v>
      </c>
      <c r="E3758" s="5" t="s">
        <v>89</v>
      </c>
      <c r="F3758" s="5" t="s">
        <v>40</v>
      </c>
      <c r="G3758" s="6" t="n">
        <v>704</v>
      </c>
      <c r="H3758" s="6" t="n">
        <v>284</v>
      </c>
      <c r="I3758" s="7" t="n">
        <f aca="false">(G3758-H3758)/G3758</f>
        <v>0.596590909090909</v>
      </c>
      <c r="J3758" s="15" t="n">
        <v>0.2886</v>
      </c>
      <c r="K3758" s="11" t="str">
        <f aca="false">IF(I3758&lt;J3758,"TAK","NIE")</f>
        <v>NIE</v>
      </c>
    </row>
    <row r="3759" customFormat="false" ht="15" hidden="false" customHeight="false" outlineLevel="0" collapsed="false">
      <c r="A3759" s="5" t="s">
        <v>735</v>
      </c>
      <c r="B3759" s="5" t="s">
        <v>69</v>
      </c>
      <c r="C3759" s="5" t="n">
        <v>2023</v>
      </c>
      <c r="D3759" s="5" t="s">
        <v>68</v>
      </c>
      <c r="E3759" s="5" t="s">
        <v>89</v>
      </c>
      <c r="F3759" s="5" t="s">
        <v>40</v>
      </c>
      <c r="G3759" s="6" t="n">
        <v>704</v>
      </c>
      <c r="H3759" s="6" t="n">
        <v>395</v>
      </c>
      <c r="I3759" s="7" t="n">
        <f aca="false">(G3759-H3759)/G3759</f>
        <v>0.438920454545455</v>
      </c>
      <c r="J3759" s="15" t="n">
        <v>0.2886</v>
      </c>
      <c r="K3759" s="11" t="str">
        <f aca="false">IF(I3759&lt;J3759,"TAK","NIE")</f>
        <v>NIE</v>
      </c>
    </row>
    <row r="3760" customFormat="false" ht="15" hidden="false" customHeight="false" outlineLevel="0" collapsed="false">
      <c r="A3760" s="5" t="s">
        <v>736</v>
      </c>
      <c r="B3760" s="5" t="s">
        <v>69</v>
      </c>
      <c r="C3760" s="5" t="n">
        <v>2023</v>
      </c>
      <c r="D3760" s="5" t="s">
        <v>68</v>
      </c>
      <c r="E3760" s="5" t="s">
        <v>89</v>
      </c>
      <c r="F3760" s="5" t="s">
        <v>40</v>
      </c>
      <c r="G3760" s="6" t="n">
        <v>704</v>
      </c>
      <c r="H3760" s="6" t="n">
        <v>300</v>
      </c>
      <c r="I3760" s="7" t="n">
        <f aca="false">(G3760-H3760)/G3760</f>
        <v>0.573863636363636</v>
      </c>
      <c r="J3760" s="15" t="n">
        <v>0.2886</v>
      </c>
      <c r="K3760" s="11" t="str">
        <f aca="false">IF(I3760&lt;J3760,"TAK","NIE")</f>
        <v>NIE</v>
      </c>
    </row>
    <row r="3761" customFormat="false" ht="15" hidden="false" customHeight="false" outlineLevel="0" collapsed="false">
      <c r="A3761" s="5" t="s">
        <v>737</v>
      </c>
      <c r="B3761" s="5" t="s">
        <v>69</v>
      </c>
      <c r="C3761" s="5" t="n">
        <v>2023</v>
      </c>
      <c r="D3761" s="5" t="s">
        <v>68</v>
      </c>
      <c r="E3761" s="5" t="s">
        <v>89</v>
      </c>
      <c r="F3761" s="5" t="s">
        <v>40</v>
      </c>
      <c r="G3761" s="6" t="n">
        <v>704</v>
      </c>
      <c r="H3761" s="6" t="n">
        <v>342</v>
      </c>
      <c r="I3761" s="7" t="n">
        <f aca="false">(G3761-H3761)/G3761</f>
        <v>0.514204545454545</v>
      </c>
      <c r="J3761" s="15" t="n">
        <v>0.2886</v>
      </c>
      <c r="K3761" s="11" t="str">
        <f aca="false">IF(I3761&lt;J3761,"TAK","NIE")</f>
        <v>NIE</v>
      </c>
    </row>
    <row r="3762" customFormat="false" ht="15" hidden="false" customHeight="false" outlineLevel="0" collapsed="false">
      <c r="A3762" s="5" t="s">
        <v>738</v>
      </c>
      <c r="B3762" s="5" t="s">
        <v>69</v>
      </c>
      <c r="C3762" s="5" t="n">
        <v>2023</v>
      </c>
      <c r="D3762" s="5" t="s">
        <v>68</v>
      </c>
      <c r="E3762" s="5" t="s">
        <v>89</v>
      </c>
      <c r="F3762" s="5" t="s">
        <v>40</v>
      </c>
      <c r="G3762" s="6" t="n">
        <v>704</v>
      </c>
      <c r="H3762" s="6" t="n">
        <v>353</v>
      </c>
      <c r="I3762" s="7" t="n">
        <f aca="false">(G3762-H3762)/G3762</f>
        <v>0.498579545454545</v>
      </c>
      <c r="J3762" s="15" t="n">
        <v>0.2886</v>
      </c>
      <c r="K3762" s="11" t="str">
        <f aca="false">IF(I3762&lt;J3762,"TAK","NIE")</f>
        <v>NIE</v>
      </c>
    </row>
    <row r="3763" customFormat="false" ht="15" hidden="false" customHeight="false" outlineLevel="0" collapsed="false">
      <c r="A3763" s="5" t="s">
        <v>740</v>
      </c>
      <c r="B3763" s="5" t="s">
        <v>69</v>
      </c>
      <c r="C3763" s="5" t="n">
        <v>2023</v>
      </c>
      <c r="D3763" s="5" t="s">
        <v>68</v>
      </c>
      <c r="E3763" s="5" t="s">
        <v>89</v>
      </c>
      <c r="F3763" s="5" t="s">
        <v>40</v>
      </c>
      <c r="G3763" s="6" t="n">
        <v>704</v>
      </c>
      <c r="H3763" s="6" t="n">
        <v>407</v>
      </c>
      <c r="I3763" s="7" t="n">
        <f aca="false">(G3763-H3763)/G3763</f>
        <v>0.421875</v>
      </c>
      <c r="J3763" s="15" t="n">
        <v>0.2886</v>
      </c>
      <c r="K3763" s="11" t="str">
        <f aca="false">IF(I3763&lt;J3763,"TAK","NIE")</f>
        <v>NIE</v>
      </c>
    </row>
    <row r="3764" customFormat="false" ht="15" hidden="false" customHeight="false" outlineLevel="0" collapsed="false">
      <c r="A3764" s="5" t="s">
        <v>742</v>
      </c>
      <c r="B3764" s="5" t="s">
        <v>69</v>
      </c>
      <c r="C3764" s="5" t="n">
        <v>2023</v>
      </c>
      <c r="D3764" s="5" t="s">
        <v>68</v>
      </c>
      <c r="E3764" s="5" t="s">
        <v>89</v>
      </c>
      <c r="F3764" s="5" t="s">
        <v>40</v>
      </c>
      <c r="G3764" s="6" t="n">
        <v>704</v>
      </c>
      <c r="H3764" s="6" t="n">
        <v>345</v>
      </c>
      <c r="I3764" s="7" t="n">
        <f aca="false">(G3764-H3764)/G3764</f>
        <v>0.509943181818182</v>
      </c>
      <c r="J3764" s="15" t="n">
        <v>0.2886</v>
      </c>
      <c r="K3764" s="11" t="str">
        <f aca="false">IF(I3764&lt;J3764,"TAK","NIE")</f>
        <v>NIE</v>
      </c>
    </row>
    <row r="3765" customFormat="false" ht="15" hidden="false" customHeight="false" outlineLevel="0" collapsed="false">
      <c r="A3765" s="5" t="s">
        <v>743</v>
      </c>
      <c r="B3765" s="5" t="s">
        <v>98</v>
      </c>
      <c r="C3765" s="5" t="n">
        <v>2023</v>
      </c>
      <c r="D3765" s="5" t="s">
        <v>99</v>
      </c>
      <c r="E3765" s="5" t="s">
        <v>57</v>
      </c>
      <c r="F3765" s="5" t="s">
        <v>39</v>
      </c>
      <c r="G3765" s="6" t="n">
        <v>633</v>
      </c>
      <c r="H3765" s="6" t="n">
        <v>176</v>
      </c>
      <c r="I3765" s="7" t="n">
        <f aca="false">(G3765-H3765)/G3765</f>
        <v>0.721958925750395</v>
      </c>
      <c r="J3765" s="15" t="n">
        <v>0.676</v>
      </c>
      <c r="K3765" s="11" t="str">
        <f aca="false">IF(I3765&lt;J3765,"TAK","NIE")</f>
        <v>NIE</v>
      </c>
    </row>
    <row r="3766" customFormat="false" ht="15" hidden="false" customHeight="false" outlineLevel="0" collapsed="false">
      <c r="A3766" s="5" t="s">
        <v>744</v>
      </c>
      <c r="B3766" s="5" t="s">
        <v>98</v>
      </c>
      <c r="C3766" s="5" t="n">
        <v>2023</v>
      </c>
      <c r="D3766" s="5" t="s">
        <v>99</v>
      </c>
      <c r="E3766" s="5" t="s">
        <v>57</v>
      </c>
      <c r="F3766" s="5" t="s">
        <v>39</v>
      </c>
      <c r="G3766" s="6" t="n">
        <v>636</v>
      </c>
      <c r="H3766" s="6" t="n">
        <v>66</v>
      </c>
      <c r="I3766" s="7" t="n">
        <f aca="false">(G3766-H3766)/G3766</f>
        <v>0.89622641509434</v>
      </c>
      <c r="J3766" s="15" t="n">
        <v>0.676</v>
      </c>
      <c r="K3766" s="11" t="str">
        <f aca="false">IF(I3766&lt;J3766,"TAK","NIE")</f>
        <v>NIE</v>
      </c>
    </row>
    <row r="3767" customFormat="false" ht="15" hidden="false" customHeight="false" outlineLevel="0" collapsed="false">
      <c r="A3767" s="5" t="s">
        <v>745</v>
      </c>
      <c r="B3767" s="5" t="s">
        <v>98</v>
      </c>
      <c r="C3767" s="5" t="n">
        <v>2023</v>
      </c>
      <c r="D3767" s="5" t="s">
        <v>99</v>
      </c>
      <c r="E3767" s="5" t="s">
        <v>57</v>
      </c>
      <c r="F3767" s="5" t="s">
        <v>39</v>
      </c>
      <c r="G3767" s="6" t="n">
        <v>636</v>
      </c>
      <c r="H3767" s="6" t="n">
        <v>133</v>
      </c>
      <c r="I3767" s="7" t="n">
        <f aca="false">(G3767-H3767)/G3767</f>
        <v>0.790880503144654</v>
      </c>
      <c r="J3767" s="15" t="n">
        <v>0.676</v>
      </c>
      <c r="K3767" s="11" t="str">
        <f aca="false">IF(I3767&lt;J3767,"TAK","NIE")</f>
        <v>NIE</v>
      </c>
    </row>
    <row r="3768" customFormat="false" ht="15" hidden="false" customHeight="false" outlineLevel="0" collapsed="false">
      <c r="A3768" s="5" t="s">
        <v>746</v>
      </c>
      <c r="B3768" s="5" t="s">
        <v>98</v>
      </c>
      <c r="C3768" s="5" t="n">
        <v>2023</v>
      </c>
      <c r="D3768" s="5" t="s">
        <v>99</v>
      </c>
      <c r="E3768" s="5" t="s">
        <v>57</v>
      </c>
      <c r="F3768" s="5" t="s">
        <v>39</v>
      </c>
      <c r="G3768" s="6" t="n">
        <v>633</v>
      </c>
      <c r="H3768" s="6" t="n">
        <v>100</v>
      </c>
      <c r="I3768" s="7" t="n">
        <f aca="false">(G3768-H3768)/G3768</f>
        <v>0.842022116903634</v>
      </c>
      <c r="J3768" s="15" t="n">
        <v>0.676</v>
      </c>
      <c r="K3768" s="11" t="str">
        <f aca="false">IF(I3768&lt;J3768,"TAK","NIE")</f>
        <v>NIE</v>
      </c>
    </row>
    <row r="3769" customFormat="false" ht="15" hidden="false" customHeight="false" outlineLevel="0" collapsed="false">
      <c r="A3769" s="5" t="s">
        <v>747</v>
      </c>
      <c r="B3769" s="5" t="s">
        <v>98</v>
      </c>
      <c r="C3769" s="5" t="n">
        <v>2023</v>
      </c>
      <c r="D3769" s="5" t="s">
        <v>99</v>
      </c>
      <c r="E3769" s="5" t="s">
        <v>57</v>
      </c>
      <c r="F3769" s="5" t="s">
        <v>39</v>
      </c>
      <c r="G3769" s="6" t="n">
        <v>633</v>
      </c>
      <c r="H3769" s="6" t="n">
        <v>101</v>
      </c>
      <c r="I3769" s="7" t="n">
        <f aca="false">(G3769-H3769)/G3769</f>
        <v>0.84044233807267</v>
      </c>
      <c r="J3769" s="15" t="n">
        <v>0.676</v>
      </c>
      <c r="K3769" s="11" t="str">
        <f aca="false">IF(I3769&lt;J3769,"TAK","NIE")</f>
        <v>NIE</v>
      </c>
    </row>
    <row r="3770" customFormat="false" ht="15" hidden="false" customHeight="false" outlineLevel="0" collapsed="false">
      <c r="A3770" s="5" t="s">
        <v>748</v>
      </c>
      <c r="B3770" s="5" t="s">
        <v>98</v>
      </c>
      <c r="C3770" s="5" t="n">
        <v>2023</v>
      </c>
      <c r="D3770" s="5" t="s">
        <v>99</v>
      </c>
      <c r="E3770" s="5" t="s">
        <v>57</v>
      </c>
      <c r="F3770" s="5" t="s">
        <v>39</v>
      </c>
      <c r="G3770" s="6" t="n">
        <v>636</v>
      </c>
      <c r="H3770" s="6" t="n">
        <v>100</v>
      </c>
      <c r="I3770" s="7" t="n">
        <f aca="false">(G3770-H3770)/G3770</f>
        <v>0.842767295597484</v>
      </c>
      <c r="J3770" s="15" t="n">
        <v>0.676</v>
      </c>
      <c r="K3770" s="11" t="str">
        <f aca="false">IF(I3770&lt;J3770,"TAK","NIE")</f>
        <v>NIE</v>
      </c>
    </row>
    <row r="3771" customFormat="false" ht="15" hidden="false" customHeight="false" outlineLevel="0" collapsed="false">
      <c r="A3771" s="5" t="s">
        <v>749</v>
      </c>
      <c r="B3771" s="5" t="s">
        <v>98</v>
      </c>
      <c r="C3771" s="5" t="n">
        <v>2023</v>
      </c>
      <c r="D3771" s="5" t="s">
        <v>99</v>
      </c>
      <c r="E3771" s="5" t="s">
        <v>57</v>
      </c>
      <c r="F3771" s="5" t="s">
        <v>39</v>
      </c>
      <c r="G3771" s="6" t="n">
        <v>636</v>
      </c>
      <c r="H3771" s="6" t="n">
        <v>113</v>
      </c>
      <c r="I3771" s="7" t="n">
        <f aca="false">(G3771-H3771)/G3771</f>
        <v>0.822327044025157</v>
      </c>
      <c r="J3771" s="15" t="n">
        <v>0.676</v>
      </c>
      <c r="K3771" s="11" t="str">
        <f aca="false">IF(I3771&lt;J3771,"TAK","NIE")</f>
        <v>NIE</v>
      </c>
    </row>
    <row r="3772" customFormat="false" ht="15" hidden="false" customHeight="false" outlineLevel="0" collapsed="false">
      <c r="A3772" s="5" t="s">
        <v>750</v>
      </c>
      <c r="B3772" s="5" t="s">
        <v>98</v>
      </c>
      <c r="C3772" s="5" t="n">
        <v>2023</v>
      </c>
      <c r="D3772" s="5" t="s">
        <v>99</v>
      </c>
      <c r="E3772" s="5" t="s">
        <v>57</v>
      </c>
      <c r="F3772" s="5" t="s">
        <v>39</v>
      </c>
      <c r="G3772" s="6" t="n">
        <v>633</v>
      </c>
      <c r="H3772" s="6" t="n">
        <v>47</v>
      </c>
      <c r="I3772" s="7" t="n">
        <f aca="false">(G3772-H3772)/G3772</f>
        <v>0.925750394944708</v>
      </c>
      <c r="J3772" s="15" t="n">
        <v>0.676</v>
      </c>
      <c r="K3772" s="11" t="str">
        <f aca="false">IF(I3772&lt;J3772,"TAK","NIE")</f>
        <v>NIE</v>
      </c>
    </row>
    <row r="3773" customFormat="false" ht="15" hidden="false" customHeight="false" outlineLevel="0" collapsed="false">
      <c r="A3773" s="5" t="s">
        <v>751</v>
      </c>
      <c r="B3773" s="5" t="s">
        <v>98</v>
      </c>
      <c r="C3773" s="5" t="n">
        <v>2023</v>
      </c>
      <c r="D3773" s="5" t="s">
        <v>99</v>
      </c>
      <c r="E3773" s="5" t="s">
        <v>57</v>
      </c>
      <c r="F3773" s="5" t="s">
        <v>39</v>
      </c>
      <c r="G3773" s="6" t="n">
        <v>605</v>
      </c>
      <c r="H3773" s="6" t="n">
        <v>127</v>
      </c>
      <c r="I3773" s="7" t="n">
        <f aca="false">(G3773-H3773)/G3773</f>
        <v>0.790082644628099</v>
      </c>
      <c r="J3773" s="15" t="n">
        <v>0.676</v>
      </c>
      <c r="K3773" s="11" t="str">
        <f aca="false">IF(I3773&lt;J3773,"TAK","NIE")</f>
        <v>NIE</v>
      </c>
    </row>
    <row r="3774" customFormat="false" ht="15" hidden="false" customHeight="false" outlineLevel="0" collapsed="false">
      <c r="A3774" s="5" t="s">
        <v>752</v>
      </c>
      <c r="B3774" s="5" t="s">
        <v>98</v>
      </c>
      <c r="C3774" s="5" t="n">
        <v>2023</v>
      </c>
      <c r="D3774" s="5" t="s">
        <v>99</v>
      </c>
      <c r="E3774" s="5" t="s">
        <v>57</v>
      </c>
      <c r="F3774" s="5" t="s">
        <v>39</v>
      </c>
      <c r="G3774" s="6" t="n">
        <v>636</v>
      </c>
      <c r="H3774" s="6" t="n">
        <v>43</v>
      </c>
      <c r="I3774" s="7" t="n">
        <f aca="false">(G3774-H3774)/G3774</f>
        <v>0.932389937106918</v>
      </c>
      <c r="J3774" s="15" t="n">
        <v>0.676</v>
      </c>
      <c r="K3774" s="11" t="str">
        <f aca="false">IF(I3774&lt;J3774,"TAK","NIE")</f>
        <v>NIE</v>
      </c>
    </row>
    <row r="3775" customFormat="false" ht="15" hidden="false" customHeight="false" outlineLevel="0" collapsed="false">
      <c r="A3775" s="5" t="s">
        <v>753</v>
      </c>
      <c r="B3775" s="5" t="s">
        <v>98</v>
      </c>
      <c r="C3775" s="5" t="n">
        <v>2023</v>
      </c>
      <c r="D3775" s="5" t="s">
        <v>99</v>
      </c>
      <c r="E3775" s="5" t="s">
        <v>57</v>
      </c>
      <c r="F3775" s="5" t="s">
        <v>39</v>
      </c>
      <c r="G3775" s="6" t="n">
        <v>636</v>
      </c>
      <c r="H3775" s="6" t="n">
        <v>122</v>
      </c>
      <c r="I3775" s="7" t="n">
        <f aca="false">(G3775-H3775)/G3775</f>
        <v>0.808176100628931</v>
      </c>
      <c r="J3775" s="15" t="n">
        <v>0.676</v>
      </c>
      <c r="K3775" s="11" t="str">
        <f aca="false">IF(I3775&lt;J3775,"TAK","NIE")</f>
        <v>NIE</v>
      </c>
    </row>
    <row r="3776" customFormat="false" ht="15" hidden="false" customHeight="false" outlineLevel="0" collapsed="false">
      <c r="A3776" s="5" t="s">
        <v>754</v>
      </c>
      <c r="B3776" s="5" t="s">
        <v>98</v>
      </c>
      <c r="C3776" s="5" t="n">
        <v>2023</v>
      </c>
      <c r="D3776" s="5" t="s">
        <v>99</v>
      </c>
      <c r="E3776" s="5" t="s">
        <v>57</v>
      </c>
      <c r="F3776" s="5" t="s">
        <v>39</v>
      </c>
      <c r="G3776" s="6" t="n">
        <v>632</v>
      </c>
      <c r="H3776" s="6" t="n">
        <v>193</v>
      </c>
      <c r="I3776" s="7" t="n">
        <f aca="false">(G3776-H3776)/G3776</f>
        <v>0.694620253164557</v>
      </c>
      <c r="J3776" s="15" t="n">
        <v>0.676</v>
      </c>
      <c r="K3776" s="11" t="str">
        <f aca="false">IF(I3776&lt;J3776,"TAK","NIE")</f>
        <v>NIE</v>
      </c>
    </row>
    <row r="3777" customFormat="false" ht="15" hidden="false" customHeight="false" outlineLevel="0" collapsed="false">
      <c r="A3777" s="5" t="s">
        <v>755</v>
      </c>
      <c r="B3777" s="5" t="s">
        <v>98</v>
      </c>
      <c r="C3777" s="5" t="n">
        <v>2023</v>
      </c>
      <c r="D3777" s="5" t="s">
        <v>99</v>
      </c>
      <c r="E3777" s="5" t="s">
        <v>57</v>
      </c>
      <c r="F3777" s="5" t="s">
        <v>39</v>
      </c>
      <c r="G3777" s="6" t="n">
        <v>610</v>
      </c>
      <c r="H3777" s="6" t="n">
        <v>82</v>
      </c>
      <c r="I3777" s="7" t="n">
        <f aca="false">(G3777-H3777)/G3777</f>
        <v>0.865573770491803</v>
      </c>
      <c r="J3777" s="15" t="n">
        <v>0.676</v>
      </c>
      <c r="K3777" s="11" t="str">
        <f aca="false">IF(I3777&lt;J3777,"TAK","NIE")</f>
        <v>NIE</v>
      </c>
    </row>
    <row r="3778" customFormat="false" ht="15" hidden="false" customHeight="false" outlineLevel="0" collapsed="false">
      <c r="A3778" s="5" t="s">
        <v>756</v>
      </c>
      <c r="B3778" s="5" t="s">
        <v>98</v>
      </c>
      <c r="C3778" s="5" t="n">
        <v>2023</v>
      </c>
      <c r="D3778" s="5" t="s">
        <v>99</v>
      </c>
      <c r="E3778" s="5" t="s">
        <v>57</v>
      </c>
      <c r="F3778" s="5" t="s">
        <v>39</v>
      </c>
      <c r="G3778" s="6" t="n">
        <v>636</v>
      </c>
      <c r="H3778" s="6" t="n">
        <v>98</v>
      </c>
      <c r="I3778" s="7" t="n">
        <f aca="false">(G3778-H3778)/G3778</f>
        <v>0.845911949685535</v>
      </c>
      <c r="J3778" s="15" t="n">
        <v>0.676</v>
      </c>
      <c r="K3778" s="11" t="str">
        <f aca="false">IF(I3778&lt;J3778,"TAK","NIE")</f>
        <v>NIE</v>
      </c>
    </row>
    <row r="3779" customFormat="false" ht="15" hidden="false" customHeight="false" outlineLevel="0" collapsed="false">
      <c r="A3779" s="5" t="s">
        <v>757</v>
      </c>
      <c r="B3779" s="5" t="s">
        <v>98</v>
      </c>
      <c r="C3779" s="5" t="n">
        <v>2023</v>
      </c>
      <c r="D3779" s="5" t="s">
        <v>99</v>
      </c>
      <c r="E3779" s="5" t="s">
        <v>57</v>
      </c>
      <c r="F3779" s="5" t="s">
        <v>39</v>
      </c>
      <c r="G3779" s="6" t="n">
        <v>633</v>
      </c>
      <c r="H3779" s="6" t="n">
        <v>89</v>
      </c>
      <c r="I3779" s="7" t="n">
        <f aca="false">(G3779-H3779)/G3779</f>
        <v>0.859399684044234</v>
      </c>
      <c r="J3779" s="15" t="n">
        <v>0.676</v>
      </c>
      <c r="K3779" s="11" t="str">
        <f aca="false">IF(I3779&lt;J3779,"TAK","NIE")</f>
        <v>NIE</v>
      </c>
    </row>
    <row r="3780" customFormat="false" ht="15" hidden="false" customHeight="false" outlineLevel="0" collapsed="false">
      <c r="A3780" s="5" t="s">
        <v>758</v>
      </c>
      <c r="B3780" s="5" t="s">
        <v>98</v>
      </c>
      <c r="C3780" s="5" t="n">
        <v>2023</v>
      </c>
      <c r="D3780" s="5" t="s">
        <v>99</v>
      </c>
      <c r="E3780" s="5" t="s">
        <v>57</v>
      </c>
      <c r="F3780" s="5" t="s">
        <v>39</v>
      </c>
      <c r="G3780" s="6" t="n">
        <v>613</v>
      </c>
      <c r="H3780" s="6" t="n">
        <v>61</v>
      </c>
      <c r="I3780" s="7" t="n">
        <f aca="false">(G3780-H3780)/G3780</f>
        <v>0.900489396411093</v>
      </c>
      <c r="J3780" s="15" t="n">
        <v>0.676</v>
      </c>
      <c r="K3780" s="11" t="str">
        <f aca="false">IF(I3780&lt;J3780,"TAK","NIE")</f>
        <v>NIE</v>
      </c>
    </row>
    <row r="3781" customFormat="false" ht="15" hidden="false" customHeight="false" outlineLevel="0" collapsed="false">
      <c r="A3781" s="5" t="s">
        <v>759</v>
      </c>
      <c r="B3781" s="5" t="s">
        <v>98</v>
      </c>
      <c r="C3781" s="5" t="n">
        <v>2023</v>
      </c>
      <c r="D3781" s="5" t="s">
        <v>99</v>
      </c>
      <c r="E3781" s="5" t="s">
        <v>57</v>
      </c>
      <c r="F3781" s="5" t="s">
        <v>39</v>
      </c>
      <c r="G3781" s="6" t="n">
        <v>636</v>
      </c>
      <c r="H3781" s="6" t="n">
        <v>114</v>
      </c>
      <c r="I3781" s="7" t="n">
        <f aca="false">(G3781-H3781)/G3781</f>
        <v>0.820754716981132</v>
      </c>
      <c r="J3781" s="15" t="n">
        <v>0.676</v>
      </c>
      <c r="K3781" s="11" t="str">
        <f aca="false">IF(I3781&lt;J3781,"TAK","NIE")</f>
        <v>NIE</v>
      </c>
    </row>
    <row r="3782" customFormat="false" ht="15" hidden="false" customHeight="false" outlineLevel="0" collapsed="false">
      <c r="A3782" s="5" t="s">
        <v>760</v>
      </c>
      <c r="B3782" s="5" t="s">
        <v>98</v>
      </c>
      <c r="C3782" s="5" t="n">
        <v>2023</v>
      </c>
      <c r="D3782" s="5" t="s">
        <v>99</v>
      </c>
      <c r="E3782" s="5" t="s">
        <v>57</v>
      </c>
      <c r="F3782" s="5" t="s">
        <v>39</v>
      </c>
      <c r="G3782" s="6" t="n">
        <v>633</v>
      </c>
      <c r="H3782" s="6" t="n">
        <v>53</v>
      </c>
      <c r="I3782" s="7" t="n">
        <f aca="false">(G3782-H3782)/G3782</f>
        <v>0.916271721958926</v>
      </c>
      <c r="J3782" s="15" t="n">
        <v>0.676</v>
      </c>
      <c r="K3782" s="11" t="str">
        <f aca="false">IF(I3782&lt;J3782,"TAK","NIE")</f>
        <v>NIE</v>
      </c>
    </row>
    <row r="3783" customFormat="false" ht="15" hidden="false" customHeight="false" outlineLevel="0" collapsed="false">
      <c r="A3783" s="5" t="s">
        <v>761</v>
      </c>
      <c r="B3783" s="5" t="s">
        <v>98</v>
      </c>
      <c r="C3783" s="5" t="n">
        <v>2023</v>
      </c>
      <c r="D3783" s="5" t="s">
        <v>99</v>
      </c>
      <c r="E3783" s="5" t="s">
        <v>57</v>
      </c>
      <c r="F3783" s="5" t="s">
        <v>39</v>
      </c>
      <c r="G3783" s="6" t="n">
        <v>633</v>
      </c>
      <c r="H3783" s="6" t="n">
        <v>121</v>
      </c>
      <c r="I3783" s="7" t="n">
        <f aca="false">(G3783-H3783)/G3783</f>
        <v>0.808846761453397</v>
      </c>
      <c r="J3783" s="15" t="n">
        <v>0.676</v>
      </c>
      <c r="K3783" s="11" t="str">
        <f aca="false">IF(I3783&lt;J3783,"TAK","NIE")</f>
        <v>NIE</v>
      </c>
    </row>
    <row r="3784" customFormat="false" ht="15" hidden="false" customHeight="false" outlineLevel="0" collapsed="false">
      <c r="A3784" s="5" t="s">
        <v>762</v>
      </c>
      <c r="B3784" s="5" t="s">
        <v>98</v>
      </c>
      <c r="C3784" s="5" t="n">
        <v>2023</v>
      </c>
      <c r="D3784" s="5" t="s">
        <v>99</v>
      </c>
      <c r="E3784" s="5" t="s">
        <v>57</v>
      </c>
      <c r="F3784" s="5" t="s">
        <v>39</v>
      </c>
      <c r="G3784" s="6" t="n">
        <v>633</v>
      </c>
      <c r="H3784" s="6" t="n">
        <v>41</v>
      </c>
      <c r="I3784" s="7" t="n">
        <f aca="false">(G3784-H3784)/G3784</f>
        <v>0.93522906793049</v>
      </c>
      <c r="J3784" s="15" t="n">
        <v>0.676</v>
      </c>
      <c r="K3784" s="11" t="str">
        <f aca="false">IF(I3784&lt;J3784,"TAK","NIE")</f>
        <v>NIE</v>
      </c>
    </row>
    <row r="3785" customFormat="false" ht="15" hidden="false" customHeight="false" outlineLevel="0" collapsed="false">
      <c r="A3785" s="5" t="s">
        <v>763</v>
      </c>
      <c r="B3785" s="5" t="s">
        <v>98</v>
      </c>
      <c r="C3785" s="5" t="n">
        <v>2023</v>
      </c>
      <c r="D3785" s="5" t="s">
        <v>99</v>
      </c>
      <c r="E3785" s="5" t="s">
        <v>57</v>
      </c>
      <c r="F3785" s="5" t="s">
        <v>39</v>
      </c>
      <c r="G3785" s="6" t="n">
        <v>636</v>
      </c>
      <c r="H3785" s="6" t="n">
        <v>176</v>
      </c>
      <c r="I3785" s="7" t="n">
        <f aca="false">(G3785-H3785)/G3785</f>
        <v>0.723270440251572</v>
      </c>
      <c r="J3785" s="15" t="n">
        <v>0.676</v>
      </c>
      <c r="K3785" s="11" t="str">
        <f aca="false">IF(I3785&lt;J3785,"TAK","NIE")</f>
        <v>NIE</v>
      </c>
    </row>
    <row r="3786" customFormat="false" ht="15" hidden="false" customHeight="false" outlineLevel="0" collapsed="false">
      <c r="A3786" s="5" t="s">
        <v>742</v>
      </c>
      <c r="B3786" s="5" t="s">
        <v>98</v>
      </c>
      <c r="C3786" s="5" t="n">
        <v>2023</v>
      </c>
      <c r="D3786" s="5" t="s">
        <v>99</v>
      </c>
      <c r="E3786" s="5" t="s">
        <v>57</v>
      </c>
      <c r="F3786" s="5" t="s">
        <v>39</v>
      </c>
      <c r="G3786" s="6" t="n">
        <v>630</v>
      </c>
      <c r="H3786" s="6" t="n">
        <v>47</v>
      </c>
      <c r="I3786" s="7" t="n">
        <f aca="false">(G3786-H3786)/G3786</f>
        <v>0.925396825396825</v>
      </c>
      <c r="J3786" s="15" t="n">
        <v>0.676</v>
      </c>
      <c r="K3786" s="11" t="str">
        <f aca="false">IF(I3786&lt;J3786,"TAK","NIE")</f>
        <v>NIE</v>
      </c>
    </row>
    <row r="3787" customFormat="false" ht="15" hidden="false" customHeight="false" outlineLevel="0" collapsed="false">
      <c r="A3787" s="5" t="s">
        <v>764</v>
      </c>
      <c r="B3787" s="5" t="s">
        <v>98</v>
      </c>
      <c r="C3787" s="5" t="n">
        <v>2023</v>
      </c>
      <c r="D3787" s="5" t="s">
        <v>99</v>
      </c>
      <c r="E3787" s="5" t="s">
        <v>57</v>
      </c>
      <c r="F3787" s="5" t="s">
        <v>39</v>
      </c>
      <c r="G3787" s="6" t="n">
        <v>633</v>
      </c>
      <c r="H3787" s="6" t="n">
        <v>85</v>
      </c>
      <c r="I3787" s="7" t="n">
        <f aca="false">(G3787-H3787)/G3787</f>
        <v>0.865718799368089</v>
      </c>
      <c r="J3787" s="15" t="n">
        <v>0.676</v>
      </c>
      <c r="K3787" s="11" t="str">
        <f aca="false">IF(I3787&lt;J3787,"TAK","NIE")</f>
        <v>NIE</v>
      </c>
    </row>
    <row r="3788" customFormat="false" ht="15" hidden="false" customHeight="false" outlineLevel="0" collapsed="false">
      <c r="A3788" s="5" t="s">
        <v>765</v>
      </c>
      <c r="B3788" s="5" t="s">
        <v>98</v>
      </c>
      <c r="C3788" s="5" t="n">
        <v>2023</v>
      </c>
      <c r="D3788" s="5" t="s">
        <v>99</v>
      </c>
      <c r="E3788" s="5" t="s">
        <v>57</v>
      </c>
      <c r="F3788" s="5" t="s">
        <v>39</v>
      </c>
      <c r="G3788" s="6" t="n">
        <v>636</v>
      </c>
      <c r="H3788" s="6" t="n">
        <v>70</v>
      </c>
      <c r="I3788" s="7" t="n">
        <f aca="false">(G3788-H3788)/G3788</f>
        <v>0.889937106918239</v>
      </c>
      <c r="J3788" s="15" t="n">
        <v>0.676</v>
      </c>
      <c r="K3788" s="11" t="str">
        <f aca="false">IF(I3788&lt;J3788,"TAK","NIE")</f>
        <v>NIE</v>
      </c>
    </row>
    <row r="3789" customFormat="false" ht="15" hidden="false" customHeight="false" outlineLevel="0" collapsed="false">
      <c r="A3789" s="5" t="s">
        <v>766</v>
      </c>
      <c r="B3789" s="5" t="s">
        <v>98</v>
      </c>
      <c r="C3789" s="5" t="n">
        <v>2023</v>
      </c>
      <c r="D3789" s="5" t="s">
        <v>99</v>
      </c>
      <c r="E3789" s="5" t="s">
        <v>57</v>
      </c>
      <c r="F3789" s="5" t="s">
        <v>39</v>
      </c>
      <c r="G3789" s="6" t="n">
        <v>633</v>
      </c>
      <c r="H3789" s="6" t="n">
        <v>149</v>
      </c>
      <c r="I3789" s="7" t="n">
        <f aca="false">(G3789-H3789)/G3789</f>
        <v>0.764612954186414</v>
      </c>
      <c r="J3789" s="15" t="n">
        <v>0.676</v>
      </c>
      <c r="K3789" s="11" t="str">
        <f aca="false">IF(I3789&lt;J3789,"TAK","NIE")</f>
        <v>NIE</v>
      </c>
    </row>
    <row r="3790" customFormat="false" ht="15" hidden="false" customHeight="false" outlineLevel="0" collapsed="false">
      <c r="A3790" s="5" t="s">
        <v>743</v>
      </c>
      <c r="B3790" s="5" t="s">
        <v>98</v>
      </c>
      <c r="C3790" s="5" t="n">
        <v>2023</v>
      </c>
      <c r="D3790" s="5" t="s">
        <v>99</v>
      </c>
      <c r="E3790" s="5" t="s">
        <v>57</v>
      </c>
      <c r="F3790" s="5" t="s">
        <v>40</v>
      </c>
      <c r="G3790" s="6" t="n">
        <v>664</v>
      </c>
      <c r="H3790" s="6" t="n">
        <v>258</v>
      </c>
      <c r="I3790" s="7" t="n">
        <f aca="false">(G3790-H3790)/G3790</f>
        <v>0.61144578313253</v>
      </c>
      <c r="J3790" s="15" t="n">
        <v>0.448</v>
      </c>
      <c r="K3790" s="11" t="str">
        <f aca="false">IF(I3790&lt;J3790,"TAK","NIE")</f>
        <v>NIE</v>
      </c>
    </row>
    <row r="3791" customFormat="false" ht="15" hidden="false" customHeight="false" outlineLevel="0" collapsed="false">
      <c r="A3791" s="5" t="s">
        <v>744</v>
      </c>
      <c r="B3791" s="5" t="s">
        <v>98</v>
      </c>
      <c r="C3791" s="5" t="n">
        <v>2023</v>
      </c>
      <c r="D3791" s="5" t="s">
        <v>99</v>
      </c>
      <c r="E3791" s="5" t="s">
        <v>57</v>
      </c>
      <c r="F3791" s="5" t="s">
        <v>40</v>
      </c>
      <c r="G3791" s="6" t="n">
        <v>665</v>
      </c>
      <c r="H3791" s="6" t="n">
        <v>133</v>
      </c>
      <c r="I3791" s="7" t="n">
        <f aca="false">(G3791-H3791)/G3791</f>
        <v>0.8</v>
      </c>
      <c r="J3791" s="15" t="n">
        <v>0.448</v>
      </c>
      <c r="K3791" s="11" t="str">
        <f aca="false">IF(I3791&lt;J3791,"TAK","NIE")</f>
        <v>NIE</v>
      </c>
    </row>
    <row r="3792" customFormat="false" ht="15" hidden="false" customHeight="false" outlineLevel="0" collapsed="false">
      <c r="A3792" s="5" t="s">
        <v>745</v>
      </c>
      <c r="B3792" s="5" t="s">
        <v>98</v>
      </c>
      <c r="C3792" s="5" t="n">
        <v>2023</v>
      </c>
      <c r="D3792" s="5" t="s">
        <v>99</v>
      </c>
      <c r="E3792" s="5" t="s">
        <v>57</v>
      </c>
      <c r="F3792" s="5" t="s">
        <v>40</v>
      </c>
      <c r="G3792" s="6" t="n">
        <v>665</v>
      </c>
      <c r="H3792" s="6" t="n">
        <v>259</v>
      </c>
      <c r="I3792" s="7" t="n">
        <f aca="false">(G3792-H3792)/G3792</f>
        <v>0.610526315789474</v>
      </c>
      <c r="J3792" s="15" t="n">
        <v>0.448</v>
      </c>
      <c r="K3792" s="11" t="str">
        <f aca="false">IF(I3792&lt;J3792,"TAK","NIE")</f>
        <v>NIE</v>
      </c>
    </row>
    <row r="3793" customFormat="false" ht="15" hidden="false" customHeight="false" outlineLevel="0" collapsed="false">
      <c r="A3793" s="5" t="s">
        <v>746</v>
      </c>
      <c r="B3793" s="5" t="s">
        <v>98</v>
      </c>
      <c r="C3793" s="5" t="n">
        <v>2023</v>
      </c>
      <c r="D3793" s="5" t="s">
        <v>99</v>
      </c>
      <c r="E3793" s="5" t="s">
        <v>57</v>
      </c>
      <c r="F3793" s="5" t="s">
        <v>40</v>
      </c>
      <c r="G3793" s="6" t="n">
        <v>664</v>
      </c>
      <c r="H3793" s="6" t="n">
        <v>227</v>
      </c>
      <c r="I3793" s="7" t="n">
        <f aca="false">(G3793-H3793)/G3793</f>
        <v>0.658132530120482</v>
      </c>
      <c r="J3793" s="15" t="n">
        <v>0.448</v>
      </c>
      <c r="K3793" s="11" t="str">
        <f aca="false">IF(I3793&lt;J3793,"TAK","NIE")</f>
        <v>NIE</v>
      </c>
    </row>
    <row r="3794" customFormat="false" ht="15" hidden="false" customHeight="false" outlineLevel="0" collapsed="false">
      <c r="A3794" s="5" t="s">
        <v>747</v>
      </c>
      <c r="B3794" s="5" t="s">
        <v>98</v>
      </c>
      <c r="C3794" s="5" t="n">
        <v>2023</v>
      </c>
      <c r="D3794" s="5" t="s">
        <v>99</v>
      </c>
      <c r="E3794" s="5" t="s">
        <v>57</v>
      </c>
      <c r="F3794" s="5" t="s">
        <v>40</v>
      </c>
      <c r="G3794" s="6" t="n">
        <v>664</v>
      </c>
      <c r="H3794" s="6" t="n">
        <v>129</v>
      </c>
      <c r="I3794" s="7" t="n">
        <f aca="false">(G3794-H3794)/G3794</f>
        <v>0.805722891566265</v>
      </c>
      <c r="J3794" s="15" t="n">
        <v>0.448</v>
      </c>
      <c r="K3794" s="11" t="str">
        <f aca="false">IF(I3794&lt;J3794,"TAK","NIE")</f>
        <v>NIE</v>
      </c>
    </row>
    <row r="3795" customFormat="false" ht="15" hidden="false" customHeight="false" outlineLevel="0" collapsed="false">
      <c r="A3795" s="5" t="s">
        <v>748</v>
      </c>
      <c r="B3795" s="5" t="s">
        <v>98</v>
      </c>
      <c r="C3795" s="5" t="n">
        <v>2023</v>
      </c>
      <c r="D3795" s="5" t="s">
        <v>99</v>
      </c>
      <c r="E3795" s="5" t="s">
        <v>57</v>
      </c>
      <c r="F3795" s="5" t="s">
        <v>40</v>
      </c>
      <c r="G3795" s="6" t="n">
        <v>665</v>
      </c>
      <c r="H3795" s="6" t="n">
        <v>129</v>
      </c>
      <c r="I3795" s="7" t="n">
        <f aca="false">(G3795-H3795)/G3795</f>
        <v>0.806015037593985</v>
      </c>
      <c r="J3795" s="15" t="n">
        <v>0.448</v>
      </c>
      <c r="K3795" s="11" t="str">
        <f aca="false">IF(I3795&lt;J3795,"TAK","NIE")</f>
        <v>NIE</v>
      </c>
    </row>
    <row r="3796" customFormat="false" ht="15" hidden="false" customHeight="false" outlineLevel="0" collapsed="false">
      <c r="A3796" s="5" t="s">
        <v>749</v>
      </c>
      <c r="B3796" s="5" t="s">
        <v>98</v>
      </c>
      <c r="C3796" s="5" t="n">
        <v>2023</v>
      </c>
      <c r="D3796" s="5" t="s">
        <v>99</v>
      </c>
      <c r="E3796" s="5" t="s">
        <v>57</v>
      </c>
      <c r="F3796" s="5" t="s">
        <v>40</v>
      </c>
      <c r="G3796" s="6" t="n">
        <v>665</v>
      </c>
      <c r="H3796" s="6" t="n">
        <v>178</v>
      </c>
      <c r="I3796" s="7" t="n">
        <f aca="false">(G3796-H3796)/G3796</f>
        <v>0.732330827067669</v>
      </c>
      <c r="J3796" s="15" t="n">
        <v>0.448</v>
      </c>
      <c r="K3796" s="11" t="str">
        <f aca="false">IF(I3796&lt;J3796,"TAK","NIE")</f>
        <v>NIE</v>
      </c>
    </row>
    <row r="3797" customFormat="false" ht="15" hidden="false" customHeight="false" outlineLevel="0" collapsed="false">
      <c r="A3797" s="5" t="s">
        <v>750</v>
      </c>
      <c r="B3797" s="5" t="s">
        <v>98</v>
      </c>
      <c r="C3797" s="5" t="n">
        <v>2023</v>
      </c>
      <c r="D3797" s="5" t="s">
        <v>99</v>
      </c>
      <c r="E3797" s="5" t="s">
        <v>57</v>
      </c>
      <c r="F3797" s="5" t="s">
        <v>40</v>
      </c>
      <c r="G3797" s="6" t="n">
        <v>664</v>
      </c>
      <c r="H3797" s="6" t="n">
        <v>177</v>
      </c>
      <c r="I3797" s="7" t="n">
        <f aca="false">(G3797-H3797)/G3797</f>
        <v>0.733433734939759</v>
      </c>
      <c r="J3797" s="15" t="n">
        <v>0.448</v>
      </c>
      <c r="K3797" s="11" t="str">
        <f aca="false">IF(I3797&lt;J3797,"TAK","NIE")</f>
        <v>NIE</v>
      </c>
    </row>
    <row r="3798" customFormat="false" ht="15" hidden="false" customHeight="false" outlineLevel="0" collapsed="false">
      <c r="A3798" s="5" t="s">
        <v>751</v>
      </c>
      <c r="B3798" s="5" t="s">
        <v>98</v>
      </c>
      <c r="C3798" s="5" t="n">
        <v>2023</v>
      </c>
      <c r="D3798" s="5" t="s">
        <v>99</v>
      </c>
      <c r="E3798" s="5" t="s">
        <v>57</v>
      </c>
      <c r="F3798" s="5" t="s">
        <v>40</v>
      </c>
      <c r="G3798" s="6" t="n">
        <v>664</v>
      </c>
      <c r="H3798" s="6" t="n">
        <v>155</v>
      </c>
      <c r="I3798" s="7" t="n">
        <f aca="false">(G3798-H3798)/G3798</f>
        <v>0.766566265060241</v>
      </c>
      <c r="J3798" s="15" t="n">
        <v>0.448</v>
      </c>
      <c r="K3798" s="11" t="str">
        <f aca="false">IF(I3798&lt;J3798,"TAK","NIE")</f>
        <v>NIE</v>
      </c>
    </row>
    <row r="3799" customFormat="false" ht="15" hidden="false" customHeight="false" outlineLevel="0" collapsed="false">
      <c r="A3799" s="5" t="s">
        <v>752</v>
      </c>
      <c r="B3799" s="5" t="s">
        <v>98</v>
      </c>
      <c r="C3799" s="5" t="n">
        <v>2023</v>
      </c>
      <c r="D3799" s="5" t="s">
        <v>99</v>
      </c>
      <c r="E3799" s="5" t="s">
        <v>57</v>
      </c>
      <c r="F3799" s="5" t="s">
        <v>40</v>
      </c>
      <c r="G3799" s="6" t="n">
        <v>665</v>
      </c>
      <c r="H3799" s="6" t="n">
        <v>113</v>
      </c>
      <c r="I3799" s="7" t="n">
        <f aca="false">(G3799-H3799)/G3799</f>
        <v>0.830075187969925</v>
      </c>
      <c r="J3799" s="15" t="n">
        <v>0.448</v>
      </c>
      <c r="K3799" s="11" t="str">
        <f aca="false">IF(I3799&lt;J3799,"TAK","NIE")</f>
        <v>NIE</v>
      </c>
    </row>
    <row r="3800" customFormat="false" ht="15" hidden="false" customHeight="false" outlineLevel="0" collapsed="false">
      <c r="A3800" s="5" t="s">
        <v>753</v>
      </c>
      <c r="B3800" s="5" t="s">
        <v>98</v>
      </c>
      <c r="C3800" s="5" t="n">
        <v>2023</v>
      </c>
      <c r="D3800" s="5" t="s">
        <v>99</v>
      </c>
      <c r="E3800" s="5" t="s">
        <v>57</v>
      </c>
      <c r="F3800" s="5" t="s">
        <v>40</v>
      </c>
      <c r="G3800" s="6" t="n">
        <v>665</v>
      </c>
      <c r="H3800" s="6" t="n">
        <v>221</v>
      </c>
      <c r="I3800" s="7" t="n">
        <f aca="false">(G3800-H3800)/G3800</f>
        <v>0.667669172932331</v>
      </c>
      <c r="J3800" s="15" t="n">
        <v>0.448</v>
      </c>
      <c r="K3800" s="11" t="str">
        <f aca="false">IF(I3800&lt;J3800,"TAK","NIE")</f>
        <v>NIE</v>
      </c>
    </row>
    <row r="3801" customFormat="false" ht="15" hidden="false" customHeight="false" outlineLevel="0" collapsed="false">
      <c r="A3801" s="5" t="s">
        <v>754</v>
      </c>
      <c r="B3801" s="5" t="s">
        <v>98</v>
      </c>
      <c r="C3801" s="5" t="n">
        <v>2023</v>
      </c>
      <c r="D3801" s="5" t="s">
        <v>99</v>
      </c>
      <c r="E3801" s="5" t="s">
        <v>57</v>
      </c>
      <c r="F3801" s="5" t="s">
        <v>40</v>
      </c>
      <c r="G3801" s="6" t="n">
        <v>664</v>
      </c>
      <c r="H3801" s="6" t="n">
        <v>299</v>
      </c>
      <c r="I3801" s="7" t="n">
        <f aca="false">(G3801-H3801)/G3801</f>
        <v>0.549698795180723</v>
      </c>
      <c r="J3801" s="15" t="n">
        <v>0.448</v>
      </c>
      <c r="K3801" s="11" t="str">
        <f aca="false">IF(I3801&lt;J3801,"TAK","NIE")</f>
        <v>NIE</v>
      </c>
    </row>
    <row r="3802" customFormat="false" ht="15" hidden="false" customHeight="false" outlineLevel="0" collapsed="false">
      <c r="A3802" s="5" t="s">
        <v>755</v>
      </c>
      <c r="B3802" s="5" t="s">
        <v>98</v>
      </c>
      <c r="C3802" s="5" t="n">
        <v>2023</v>
      </c>
      <c r="D3802" s="5" t="s">
        <v>99</v>
      </c>
      <c r="E3802" s="5" t="s">
        <v>57</v>
      </c>
      <c r="F3802" s="5" t="s">
        <v>40</v>
      </c>
      <c r="G3802" s="6" t="n">
        <v>637</v>
      </c>
      <c r="H3802" s="6" t="n">
        <v>132</v>
      </c>
      <c r="I3802" s="7" t="n">
        <f aca="false">(G3802-H3802)/G3802</f>
        <v>0.792778649921507</v>
      </c>
      <c r="J3802" s="15" t="n">
        <v>0.448</v>
      </c>
      <c r="K3802" s="11" t="str">
        <f aca="false">IF(I3802&lt;J3802,"TAK","NIE")</f>
        <v>NIE</v>
      </c>
    </row>
    <row r="3803" customFormat="false" ht="15" hidden="false" customHeight="false" outlineLevel="0" collapsed="false">
      <c r="A3803" s="5" t="s">
        <v>756</v>
      </c>
      <c r="B3803" s="5" t="s">
        <v>98</v>
      </c>
      <c r="C3803" s="5" t="n">
        <v>2023</v>
      </c>
      <c r="D3803" s="5" t="s">
        <v>99</v>
      </c>
      <c r="E3803" s="5" t="s">
        <v>57</v>
      </c>
      <c r="F3803" s="5" t="s">
        <v>40</v>
      </c>
      <c r="G3803" s="6" t="n">
        <v>665</v>
      </c>
      <c r="H3803" s="6" t="n">
        <v>154</v>
      </c>
      <c r="I3803" s="7" t="n">
        <f aca="false">(G3803-H3803)/G3803</f>
        <v>0.768421052631579</v>
      </c>
      <c r="J3803" s="15" t="n">
        <v>0.448</v>
      </c>
      <c r="K3803" s="11" t="str">
        <f aca="false">IF(I3803&lt;J3803,"TAK","NIE")</f>
        <v>NIE</v>
      </c>
    </row>
    <row r="3804" customFormat="false" ht="15" hidden="false" customHeight="false" outlineLevel="0" collapsed="false">
      <c r="A3804" s="5" t="s">
        <v>757</v>
      </c>
      <c r="B3804" s="5" t="s">
        <v>98</v>
      </c>
      <c r="C3804" s="5" t="n">
        <v>2023</v>
      </c>
      <c r="D3804" s="5" t="s">
        <v>99</v>
      </c>
      <c r="E3804" s="5" t="s">
        <v>57</v>
      </c>
      <c r="F3804" s="5" t="s">
        <v>40</v>
      </c>
      <c r="G3804" s="6" t="n">
        <v>664</v>
      </c>
      <c r="H3804" s="6" t="n">
        <v>245</v>
      </c>
      <c r="I3804" s="7" t="n">
        <f aca="false">(G3804-H3804)/G3804</f>
        <v>0.631024096385542</v>
      </c>
      <c r="J3804" s="15" t="n">
        <v>0.448</v>
      </c>
      <c r="K3804" s="11" t="str">
        <f aca="false">IF(I3804&lt;J3804,"TAK","NIE")</f>
        <v>NIE</v>
      </c>
    </row>
    <row r="3805" customFormat="false" ht="15" hidden="false" customHeight="false" outlineLevel="0" collapsed="false">
      <c r="A3805" s="5" t="s">
        <v>758</v>
      </c>
      <c r="B3805" s="5" t="s">
        <v>98</v>
      </c>
      <c r="C3805" s="5" t="n">
        <v>2023</v>
      </c>
      <c r="D3805" s="5" t="s">
        <v>99</v>
      </c>
      <c r="E3805" s="5" t="s">
        <v>57</v>
      </c>
      <c r="F3805" s="5" t="s">
        <v>40</v>
      </c>
      <c r="G3805" s="6" t="n">
        <v>638</v>
      </c>
      <c r="H3805" s="6" t="n">
        <v>167</v>
      </c>
      <c r="I3805" s="7" t="n">
        <f aca="false">(G3805-H3805)/G3805</f>
        <v>0.738244514106583</v>
      </c>
      <c r="J3805" s="15" t="n">
        <v>0.448</v>
      </c>
      <c r="K3805" s="11" t="str">
        <f aca="false">IF(I3805&lt;J3805,"TAK","NIE")</f>
        <v>NIE</v>
      </c>
    </row>
    <row r="3806" customFormat="false" ht="15" hidden="false" customHeight="false" outlineLevel="0" collapsed="false">
      <c r="A3806" s="5" t="s">
        <v>759</v>
      </c>
      <c r="B3806" s="5" t="s">
        <v>98</v>
      </c>
      <c r="C3806" s="5" t="n">
        <v>2023</v>
      </c>
      <c r="D3806" s="5" t="s">
        <v>99</v>
      </c>
      <c r="E3806" s="5" t="s">
        <v>57</v>
      </c>
      <c r="F3806" s="5" t="s">
        <v>40</v>
      </c>
      <c r="G3806" s="6" t="n">
        <v>665</v>
      </c>
      <c r="H3806" s="6" t="n">
        <v>125</v>
      </c>
      <c r="I3806" s="7" t="n">
        <f aca="false">(G3806-H3806)/G3806</f>
        <v>0.81203007518797</v>
      </c>
      <c r="J3806" s="15" t="n">
        <v>0.448</v>
      </c>
      <c r="K3806" s="11" t="str">
        <f aca="false">IF(I3806&lt;J3806,"TAK","NIE")</f>
        <v>NIE</v>
      </c>
    </row>
    <row r="3807" customFormat="false" ht="15" hidden="false" customHeight="false" outlineLevel="0" collapsed="false">
      <c r="A3807" s="5" t="s">
        <v>760</v>
      </c>
      <c r="B3807" s="5" t="s">
        <v>98</v>
      </c>
      <c r="C3807" s="5" t="n">
        <v>2023</v>
      </c>
      <c r="D3807" s="5" t="s">
        <v>99</v>
      </c>
      <c r="E3807" s="5" t="s">
        <v>57</v>
      </c>
      <c r="F3807" s="5" t="s">
        <v>40</v>
      </c>
      <c r="G3807" s="6" t="n">
        <v>664</v>
      </c>
      <c r="H3807" s="6" t="n">
        <v>134</v>
      </c>
      <c r="I3807" s="7" t="n">
        <f aca="false">(G3807-H3807)/G3807</f>
        <v>0.798192771084337</v>
      </c>
      <c r="J3807" s="15" t="n">
        <v>0.448</v>
      </c>
      <c r="K3807" s="11" t="str">
        <f aca="false">IF(I3807&lt;J3807,"TAK","NIE")</f>
        <v>NIE</v>
      </c>
    </row>
    <row r="3808" customFormat="false" ht="15" hidden="false" customHeight="false" outlineLevel="0" collapsed="false">
      <c r="A3808" s="5" t="s">
        <v>761</v>
      </c>
      <c r="B3808" s="5" t="s">
        <v>98</v>
      </c>
      <c r="C3808" s="5" t="n">
        <v>2023</v>
      </c>
      <c r="D3808" s="5" t="s">
        <v>99</v>
      </c>
      <c r="E3808" s="5" t="s">
        <v>57</v>
      </c>
      <c r="F3808" s="5" t="s">
        <v>40</v>
      </c>
      <c r="G3808" s="6" t="n">
        <v>664</v>
      </c>
      <c r="H3808" s="6" t="n">
        <v>152</v>
      </c>
      <c r="I3808" s="7" t="n">
        <f aca="false">(G3808-H3808)/G3808</f>
        <v>0.771084337349398</v>
      </c>
      <c r="J3808" s="15" t="n">
        <v>0.448</v>
      </c>
      <c r="K3808" s="11" t="str">
        <f aca="false">IF(I3808&lt;J3808,"TAK","NIE")</f>
        <v>NIE</v>
      </c>
    </row>
    <row r="3809" customFormat="false" ht="15" hidden="false" customHeight="false" outlineLevel="0" collapsed="false">
      <c r="A3809" s="5" t="s">
        <v>762</v>
      </c>
      <c r="B3809" s="5" t="s">
        <v>98</v>
      </c>
      <c r="C3809" s="5" t="n">
        <v>2023</v>
      </c>
      <c r="D3809" s="5" t="s">
        <v>99</v>
      </c>
      <c r="E3809" s="5" t="s">
        <v>57</v>
      </c>
      <c r="F3809" s="5" t="s">
        <v>40</v>
      </c>
      <c r="G3809" s="6" t="n">
        <v>664</v>
      </c>
      <c r="H3809" s="6" t="n">
        <v>102</v>
      </c>
      <c r="I3809" s="7" t="n">
        <f aca="false">(G3809-H3809)/G3809</f>
        <v>0.846385542168675</v>
      </c>
      <c r="J3809" s="15" t="n">
        <v>0.448</v>
      </c>
      <c r="K3809" s="11" t="str">
        <f aca="false">IF(I3809&lt;J3809,"TAK","NIE")</f>
        <v>NIE</v>
      </c>
    </row>
    <row r="3810" customFormat="false" ht="15" hidden="false" customHeight="false" outlineLevel="0" collapsed="false">
      <c r="A3810" s="5" t="s">
        <v>763</v>
      </c>
      <c r="B3810" s="5" t="s">
        <v>98</v>
      </c>
      <c r="C3810" s="5" t="n">
        <v>2023</v>
      </c>
      <c r="D3810" s="5" t="s">
        <v>99</v>
      </c>
      <c r="E3810" s="5" t="s">
        <v>57</v>
      </c>
      <c r="F3810" s="5" t="s">
        <v>40</v>
      </c>
      <c r="G3810" s="6" t="n">
        <v>665</v>
      </c>
      <c r="H3810" s="6" t="n">
        <v>254</v>
      </c>
      <c r="I3810" s="7" t="n">
        <f aca="false">(G3810-H3810)/G3810</f>
        <v>0.618045112781955</v>
      </c>
      <c r="J3810" s="15" t="n">
        <v>0.448</v>
      </c>
      <c r="K3810" s="11" t="str">
        <f aca="false">IF(I3810&lt;J3810,"TAK","NIE")</f>
        <v>NIE</v>
      </c>
    </row>
    <row r="3811" customFormat="false" ht="15" hidden="false" customHeight="false" outlineLevel="0" collapsed="false">
      <c r="A3811" s="5" t="s">
        <v>742</v>
      </c>
      <c r="B3811" s="5" t="s">
        <v>98</v>
      </c>
      <c r="C3811" s="5" t="n">
        <v>2023</v>
      </c>
      <c r="D3811" s="5" t="s">
        <v>99</v>
      </c>
      <c r="E3811" s="5" t="s">
        <v>57</v>
      </c>
      <c r="F3811" s="5" t="s">
        <v>40</v>
      </c>
      <c r="G3811" s="6" t="n">
        <v>150</v>
      </c>
      <c r="H3811" s="6" t="n">
        <v>50</v>
      </c>
      <c r="I3811" s="7" t="n">
        <f aca="false">(G3811-H3811)/G3811</f>
        <v>0.666666666666667</v>
      </c>
      <c r="J3811" s="15" t="n">
        <v>0.448</v>
      </c>
      <c r="K3811" s="11" t="str">
        <f aca="false">IF(I3811&lt;J3811,"TAK","NIE")</f>
        <v>NIE</v>
      </c>
    </row>
    <row r="3812" customFormat="false" ht="15" hidden="false" customHeight="false" outlineLevel="0" collapsed="false">
      <c r="A3812" s="5" t="s">
        <v>764</v>
      </c>
      <c r="B3812" s="5" t="s">
        <v>98</v>
      </c>
      <c r="C3812" s="5" t="n">
        <v>2023</v>
      </c>
      <c r="D3812" s="5" t="s">
        <v>99</v>
      </c>
      <c r="E3812" s="5" t="s">
        <v>57</v>
      </c>
      <c r="F3812" s="5" t="s">
        <v>40</v>
      </c>
      <c r="G3812" s="6" t="n">
        <v>664</v>
      </c>
      <c r="H3812" s="6" t="n">
        <v>191</v>
      </c>
      <c r="I3812" s="7" t="n">
        <f aca="false">(G3812-H3812)/G3812</f>
        <v>0.712349397590361</v>
      </c>
      <c r="J3812" s="15" t="n">
        <v>0.448</v>
      </c>
      <c r="K3812" s="11" t="str">
        <f aca="false">IF(I3812&lt;J3812,"TAK","NIE")</f>
        <v>NIE</v>
      </c>
    </row>
    <row r="3813" customFormat="false" ht="15" hidden="false" customHeight="false" outlineLevel="0" collapsed="false">
      <c r="A3813" s="5" t="s">
        <v>765</v>
      </c>
      <c r="B3813" s="5" t="s">
        <v>98</v>
      </c>
      <c r="C3813" s="5" t="n">
        <v>2023</v>
      </c>
      <c r="D3813" s="5" t="s">
        <v>99</v>
      </c>
      <c r="E3813" s="5" t="s">
        <v>57</v>
      </c>
      <c r="F3813" s="5" t="s">
        <v>40</v>
      </c>
      <c r="G3813" s="6" t="n">
        <v>665</v>
      </c>
      <c r="H3813" s="6" t="n">
        <v>173</v>
      </c>
      <c r="I3813" s="7" t="n">
        <f aca="false">(G3813-H3813)/G3813</f>
        <v>0.73984962406015</v>
      </c>
      <c r="J3813" s="15" t="n">
        <v>0.448</v>
      </c>
      <c r="K3813" s="11" t="str">
        <f aca="false">IF(I3813&lt;J3813,"TAK","NIE")</f>
        <v>NIE</v>
      </c>
    </row>
    <row r="3814" customFormat="false" ht="15" hidden="false" customHeight="false" outlineLevel="0" collapsed="false">
      <c r="A3814" s="5" t="s">
        <v>766</v>
      </c>
      <c r="B3814" s="5" t="s">
        <v>98</v>
      </c>
      <c r="C3814" s="5" t="n">
        <v>2023</v>
      </c>
      <c r="D3814" s="5" t="s">
        <v>99</v>
      </c>
      <c r="E3814" s="5" t="s">
        <v>57</v>
      </c>
      <c r="F3814" s="5" t="s">
        <v>40</v>
      </c>
      <c r="G3814" s="6" t="n">
        <v>664</v>
      </c>
      <c r="H3814" s="6" t="n">
        <v>243</v>
      </c>
      <c r="I3814" s="7" t="n">
        <f aca="false">(G3814-H3814)/G3814</f>
        <v>0.634036144578313</v>
      </c>
      <c r="J3814" s="15" t="n">
        <v>0.448</v>
      </c>
      <c r="K3814" s="11" t="str">
        <f aca="false">IF(I3814&lt;J3814,"TAK","NIE")</f>
        <v>NIE</v>
      </c>
    </row>
    <row r="3815" customFormat="false" ht="15" hidden="false" customHeight="false" outlineLevel="0" collapsed="false">
      <c r="A3815" s="5" t="s">
        <v>743</v>
      </c>
      <c r="B3815" s="5" t="s">
        <v>100</v>
      </c>
      <c r="C3815" s="5" t="n">
        <v>2023</v>
      </c>
      <c r="D3815" s="5" t="s">
        <v>99</v>
      </c>
      <c r="E3815" s="5" t="s">
        <v>75</v>
      </c>
      <c r="F3815" s="5" t="s">
        <v>39</v>
      </c>
      <c r="G3815" s="6" t="n">
        <v>572</v>
      </c>
      <c r="H3815" s="6" t="n">
        <v>221</v>
      </c>
      <c r="I3815" s="7" t="n">
        <f aca="false">(G3815-H3815)/G3815</f>
        <v>0.613636363636364</v>
      </c>
      <c r="J3815" s="15" t="n">
        <v>0.479</v>
      </c>
      <c r="K3815" s="11" t="str">
        <f aca="false">IF(I3815&lt;J3815,"TAK","NIE")</f>
        <v>NIE</v>
      </c>
    </row>
    <row r="3816" customFormat="false" ht="15" hidden="false" customHeight="false" outlineLevel="0" collapsed="false">
      <c r="A3816" s="5" t="s">
        <v>744</v>
      </c>
      <c r="B3816" s="5" t="s">
        <v>100</v>
      </c>
      <c r="C3816" s="5" t="n">
        <v>2023</v>
      </c>
      <c r="D3816" s="5" t="s">
        <v>99</v>
      </c>
      <c r="E3816" s="5" t="s">
        <v>75</v>
      </c>
      <c r="F3816" s="5" t="s">
        <v>39</v>
      </c>
      <c r="G3816" s="6" t="n">
        <v>566</v>
      </c>
      <c r="H3816" s="6" t="n">
        <v>45</v>
      </c>
      <c r="I3816" s="7" t="n">
        <f aca="false">(G3816-H3816)/G3816</f>
        <v>0.920494699646643</v>
      </c>
      <c r="J3816" s="15" t="n">
        <v>0.479</v>
      </c>
      <c r="K3816" s="11" t="str">
        <f aca="false">IF(I3816&lt;J3816,"TAK","NIE")</f>
        <v>NIE</v>
      </c>
    </row>
    <row r="3817" customFormat="false" ht="15" hidden="false" customHeight="false" outlineLevel="0" collapsed="false">
      <c r="A3817" s="5" t="s">
        <v>745</v>
      </c>
      <c r="B3817" s="5" t="s">
        <v>100</v>
      </c>
      <c r="C3817" s="5" t="n">
        <v>2023</v>
      </c>
      <c r="D3817" s="5" t="s">
        <v>99</v>
      </c>
      <c r="E3817" s="5" t="s">
        <v>75</v>
      </c>
      <c r="F3817" s="5" t="s">
        <v>39</v>
      </c>
      <c r="G3817" s="6" t="n">
        <v>566</v>
      </c>
      <c r="H3817" s="6" t="n">
        <v>250</v>
      </c>
      <c r="I3817" s="7" t="n">
        <f aca="false">(G3817-H3817)/G3817</f>
        <v>0.558303886925795</v>
      </c>
      <c r="J3817" s="15" t="n">
        <v>0.479</v>
      </c>
      <c r="K3817" s="11" t="str">
        <f aca="false">IF(I3817&lt;J3817,"TAK","NIE")</f>
        <v>NIE</v>
      </c>
    </row>
    <row r="3818" customFormat="false" ht="15" hidden="false" customHeight="false" outlineLevel="0" collapsed="false">
      <c r="A3818" s="5" t="s">
        <v>746</v>
      </c>
      <c r="B3818" s="5" t="s">
        <v>100</v>
      </c>
      <c r="C3818" s="5" t="n">
        <v>2023</v>
      </c>
      <c r="D3818" s="5" t="s">
        <v>99</v>
      </c>
      <c r="E3818" s="5" t="s">
        <v>75</v>
      </c>
      <c r="F3818" s="5" t="s">
        <v>39</v>
      </c>
      <c r="G3818" s="6" t="n">
        <v>572</v>
      </c>
      <c r="H3818" s="6" t="n">
        <v>182</v>
      </c>
      <c r="I3818" s="7" t="n">
        <f aca="false">(G3818-H3818)/G3818</f>
        <v>0.681818181818182</v>
      </c>
      <c r="J3818" s="15" t="n">
        <v>0.479</v>
      </c>
      <c r="K3818" s="11" t="str">
        <f aca="false">IF(I3818&lt;J3818,"TAK","NIE")</f>
        <v>NIE</v>
      </c>
    </row>
    <row r="3819" customFormat="false" ht="15" hidden="false" customHeight="false" outlineLevel="0" collapsed="false">
      <c r="A3819" s="5" t="s">
        <v>747</v>
      </c>
      <c r="B3819" s="5" t="s">
        <v>100</v>
      </c>
      <c r="C3819" s="5" t="n">
        <v>2023</v>
      </c>
      <c r="D3819" s="5" t="s">
        <v>99</v>
      </c>
      <c r="E3819" s="5" t="s">
        <v>75</v>
      </c>
      <c r="F3819" s="5" t="s">
        <v>39</v>
      </c>
      <c r="G3819" s="6" t="n">
        <v>551</v>
      </c>
      <c r="H3819" s="6" t="n">
        <v>65</v>
      </c>
      <c r="I3819" s="7" t="n">
        <f aca="false">(G3819-H3819)/G3819</f>
        <v>0.882032667876588</v>
      </c>
      <c r="J3819" s="15" t="n">
        <v>0.479</v>
      </c>
      <c r="K3819" s="11" t="str">
        <f aca="false">IF(I3819&lt;J3819,"TAK","NIE")</f>
        <v>NIE</v>
      </c>
    </row>
    <row r="3820" customFormat="false" ht="15" hidden="false" customHeight="false" outlineLevel="0" collapsed="false">
      <c r="A3820" s="5" t="s">
        <v>748</v>
      </c>
      <c r="B3820" s="5" t="s">
        <v>100</v>
      </c>
      <c r="C3820" s="5" t="n">
        <v>2023</v>
      </c>
      <c r="D3820" s="5" t="s">
        <v>99</v>
      </c>
      <c r="E3820" s="5" t="s">
        <v>75</v>
      </c>
      <c r="F3820" s="5" t="s">
        <v>39</v>
      </c>
      <c r="G3820" s="6" t="n">
        <v>566</v>
      </c>
      <c r="H3820" s="6" t="n">
        <v>108</v>
      </c>
      <c r="I3820" s="7" t="n">
        <f aca="false">(G3820-H3820)/G3820</f>
        <v>0.809187279151943</v>
      </c>
      <c r="J3820" s="15" t="n">
        <v>0.479</v>
      </c>
      <c r="K3820" s="11" t="str">
        <f aca="false">IF(I3820&lt;J3820,"TAK","NIE")</f>
        <v>NIE</v>
      </c>
    </row>
    <row r="3821" customFormat="false" ht="15" hidden="false" customHeight="false" outlineLevel="0" collapsed="false">
      <c r="A3821" s="5" t="s">
        <v>749</v>
      </c>
      <c r="B3821" s="5" t="s">
        <v>100</v>
      </c>
      <c r="C3821" s="5" t="n">
        <v>2023</v>
      </c>
      <c r="D3821" s="5" t="s">
        <v>99</v>
      </c>
      <c r="E3821" s="5" t="s">
        <v>75</v>
      </c>
      <c r="F3821" s="5" t="s">
        <v>39</v>
      </c>
      <c r="G3821" s="6" t="n">
        <v>566</v>
      </c>
      <c r="H3821" s="6" t="n">
        <v>119</v>
      </c>
      <c r="I3821" s="7" t="n">
        <f aca="false">(G3821-H3821)/G3821</f>
        <v>0.789752650176678</v>
      </c>
      <c r="J3821" s="15" t="n">
        <v>0.479</v>
      </c>
      <c r="K3821" s="11" t="str">
        <f aca="false">IF(I3821&lt;J3821,"TAK","NIE")</f>
        <v>NIE</v>
      </c>
    </row>
    <row r="3822" customFormat="false" ht="15" hidden="false" customHeight="false" outlineLevel="0" collapsed="false">
      <c r="A3822" s="5" t="s">
        <v>750</v>
      </c>
      <c r="B3822" s="5" t="s">
        <v>100</v>
      </c>
      <c r="C3822" s="5" t="n">
        <v>2023</v>
      </c>
      <c r="D3822" s="5" t="s">
        <v>99</v>
      </c>
      <c r="E3822" s="5" t="s">
        <v>75</v>
      </c>
      <c r="F3822" s="5" t="s">
        <v>39</v>
      </c>
      <c r="G3822" s="6" t="n">
        <v>572</v>
      </c>
      <c r="H3822" s="6" t="n">
        <v>124</v>
      </c>
      <c r="I3822" s="7" t="n">
        <f aca="false">(G3822-H3822)/G3822</f>
        <v>0.783216783216783</v>
      </c>
      <c r="J3822" s="15" t="n">
        <v>0.479</v>
      </c>
      <c r="K3822" s="11" t="str">
        <f aca="false">IF(I3822&lt;J3822,"TAK","NIE")</f>
        <v>NIE</v>
      </c>
    </row>
    <row r="3823" customFormat="false" ht="15" hidden="false" customHeight="false" outlineLevel="0" collapsed="false">
      <c r="A3823" s="5" t="s">
        <v>751</v>
      </c>
      <c r="B3823" s="5" t="s">
        <v>100</v>
      </c>
      <c r="C3823" s="5" t="n">
        <v>2023</v>
      </c>
      <c r="D3823" s="5" t="s">
        <v>99</v>
      </c>
      <c r="E3823" s="5" t="s">
        <v>75</v>
      </c>
      <c r="F3823" s="5" t="s">
        <v>39</v>
      </c>
      <c r="G3823" s="6" t="n">
        <v>572</v>
      </c>
      <c r="H3823" s="6" t="n">
        <v>132</v>
      </c>
      <c r="I3823" s="7" t="n">
        <f aca="false">(G3823-H3823)/G3823</f>
        <v>0.769230769230769</v>
      </c>
      <c r="J3823" s="15" t="n">
        <v>0.479</v>
      </c>
      <c r="K3823" s="11" t="str">
        <f aca="false">IF(I3823&lt;J3823,"TAK","NIE")</f>
        <v>NIE</v>
      </c>
    </row>
    <row r="3824" customFormat="false" ht="15" hidden="false" customHeight="false" outlineLevel="0" collapsed="false">
      <c r="A3824" s="5" t="s">
        <v>752</v>
      </c>
      <c r="B3824" s="5" t="s">
        <v>100</v>
      </c>
      <c r="C3824" s="5" t="n">
        <v>2023</v>
      </c>
      <c r="D3824" s="5" t="s">
        <v>99</v>
      </c>
      <c r="E3824" s="5" t="s">
        <v>75</v>
      </c>
      <c r="F3824" s="5" t="s">
        <v>39</v>
      </c>
      <c r="G3824" s="6" t="n">
        <v>566</v>
      </c>
      <c r="H3824" s="6" t="n">
        <v>74</v>
      </c>
      <c r="I3824" s="7" t="n">
        <f aca="false">(G3824-H3824)/G3824</f>
        <v>0.869257950530035</v>
      </c>
      <c r="J3824" s="15" t="n">
        <v>0.479</v>
      </c>
      <c r="K3824" s="11" t="str">
        <f aca="false">IF(I3824&lt;J3824,"TAK","NIE")</f>
        <v>NIE</v>
      </c>
    </row>
    <row r="3825" customFormat="false" ht="15" hidden="false" customHeight="false" outlineLevel="0" collapsed="false">
      <c r="A3825" s="5" t="s">
        <v>753</v>
      </c>
      <c r="B3825" s="5" t="s">
        <v>100</v>
      </c>
      <c r="C3825" s="5" t="n">
        <v>2023</v>
      </c>
      <c r="D3825" s="5" t="s">
        <v>99</v>
      </c>
      <c r="E3825" s="5" t="s">
        <v>75</v>
      </c>
      <c r="F3825" s="5" t="s">
        <v>39</v>
      </c>
      <c r="G3825" s="6" t="n">
        <v>566</v>
      </c>
      <c r="H3825" s="6" t="n">
        <v>159</v>
      </c>
      <c r="I3825" s="7" t="n">
        <f aca="false">(G3825-H3825)/G3825</f>
        <v>0.719081272084806</v>
      </c>
      <c r="J3825" s="15" t="n">
        <v>0.479</v>
      </c>
      <c r="K3825" s="11" t="str">
        <f aca="false">IF(I3825&lt;J3825,"TAK","NIE")</f>
        <v>NIE</v>
      </c>
    </row>
    <row r="3826" customFormat="false" ht="15" hidden="false" customHeight="false" outlineLevel="0" collapsed="false">
      <c r="A3826" s="5" t="s">
        <v>754</v>
      </c>
      <c r="B3826" s="5" t="s">
        <v>100</v>
      </c>
      <c r="C3826" s="5" t="n">
        <v>2023</v>
      </c>
      <c r="D3826" s="5" t="s">
        <v>99</v>
      </c>
      <c r="E3826" s="5" t="s">
        <v>75</v>
      </c>
      <c r="F3826" s="5" t="s">
        <v>39</v>
      </c>
      <c r="G3826" s="6" t="n">
        <v>572</v>
      </c>
      <c r="H3826" s="6" t="n">
        <v>238</v>
      </c>
      <c r="I3826" s="7" t="n">
        <f aca="false">(G3826-H3826)/G3826</f>
        <v>0.583916083916084</v>
      </c>
      <c r="J3826" s="15" t="n">
        <v>0.479</v>
      </c>
      <c r="K3826" s="11" t="str">
        <f aca="false">IF(I3826&lt;J3826,"TAK","NIE")</f>
        <v>NIE</v>
      </c>
    </row>
    <row r="3827" customFormat="false" ht="15" hidden="false" customHeight="false" outlineLevel="0" collapsed="false">
      <c r="A3827" s="5" t="s">
        <v>755</v>
      </c>
      <c r="B3827" s="5" t="s">
        <v>100</v>
      </c>
      <c r="C3827" s="5" t="n">
        <v>2023</v>
      </c>
      <c r="D3827" s="5" t="s">
        <v>99</v>
      </c>
      <c r="E3827" s="5" t="s">
        <v>75</v>
      </c>
      <c r="F3827" s="5" t="s">
        <v>39</v>
      </c>
      <c r="G3827" s="6" t="n">
        <v>546</v>
      </c>
      <c r="H3827" s="6" t="n">
        <v>52</v>
      </c>
      <c r="I3827" s="7" t="n">
        <f aca="false">(G3827-H3827)/G3827</f>
        <v>0.904761904761905</v>
      </c>
      <c r="J3827" s="15" t="n">
        <v>0.479</v>
      </c>
      <c r="K3827" s="11" t="str">
        <f aca="false">IF(I3827&lt;J3827,"TAK","NIE")</f>
        <v>NIE</v>
      </c>
    </row>
    <row r="3828" customFormat="false" ht="15" hidden="false" customHeight="false" outlineLevel="0" collapsed="false">
      <c r="A3828" s="5" t="s">
        <v>756</v>
      </c>
      <c r="B3828" s="5" t="s">
        <v>100</v>
      </c>
      <c r="C3828" s="5" t="n">
        <v>2023</v>
      </c>
      <c r="D3828" s="5" t="s">
        <v>99</v>
      </c>
      <c r="E3828" s="5" t="s">
        <v>75</v>
      </c>
      <c r="F3828" s="5" t="s">
        <v>39</v>
      </c>
      <c r="G3828" s="6" t="n">
        <v>566</v>
      </c>
      <c r="H3828" s="6" t="n">
        <v>61</v>
      </c>
      <c r="I3828" s="7" t="n">
        <f aca="false">(G3828-H3828)/G3828</f>
        <v>0.892226148409894</v>
      </c>
      <c r="J3828" s="15" t="n">
        <v>0.479</v>
      </c>
      <c r="K3828" s="11" t="str">
        <f aca="false">IF(I3828&lt;J3828,"TAK","NIE")</f>
        <v>NIE</v>
      </c>
    </row>
    <row r="3829" customFormat="false" ht="15" hidden="false" customHeight="false" outlineLevel="0" collapsed="false">
      <c r="A3829" s="5" t="s">
        <v>757</v>
      </c>
      <c r="B3829" s="5" t="s">
        <v>100</v>
      </c>
      <c r="C3829" s="5" t="n">
        <v>2023</v>
      </c>
      <c r="D3829" s="5" t="s">
        <v>99</v>
      </c>
      <c r="E3829" s="5" t="s">
        <v>75</v>
      </c>
      <c r="F3829" s="5" t="s">
        <v>39</v>
      </c>
      <c r="G3829" s="6" t="n">
        <v>572</v>
      </c>
      <c r="H3829" s="6" t="n">
        <v>164</v>
      </c>
      <c r="I3829" s="7" t="n">
        <f aca="false">(G3829-H3829)/G3829</f>
        <v>0.713286713286713</v>
      </c>
      <c r="J3829" s="15" t="n">
        <v>0.479</v>
      </c>
      <c r="K3829" s="11" t="str">
        <f aca="false">IF(I3829&lt;J3829,"TAK","NIE")</f>
        <v>NIE</v>
      </c>
    </row>
    <row r="3830" customFormat="false" ht="15" hidden="false" customHeight="false" outlineLevel="0" collapsed="false">
      <c r="A3830" s="5" t="s">
        <v>758</v>
      </c>
      <c r="B3830" s="5" t="s">
        <v>100</v>
      </c>
      <c r="C3830" s="5" t="n">
        <v>2023</v>
      </c>
      <c r="D3830" s="5" t="s">
        <v>99</v>
      </c>
      <c r="E3830" s="5" t="s">
        <v>75</v>
      </c>
      <c r="F3830" s="5" t="s">
        <v>39</v>
      </c>
      <c r="G3830" s="6" t="n">
        <v>540</v>
      </c>
      <c r="H3830" s="6" t="n">
        <v>97</v>
      </c>
      <c r="I3830" s="7" t="n">
        <f aca="false">(G3830-H3830)/G3830</f>
        <v>0.82037037037037</v>
      </c>
      <c r="J3830" s="15" t="n">
        <v>0.479</v>
      </c>
      <c r="K3830" s="11" t="str">
        <f aca="false">IF(I3830&lt;J3830,"TAK","NIE")</f>
        <v>NIE</v>
      </c>
    </row>
    <row r="3831" customFormat="false" ht="15" hidden="false" customHeight="false" outlineLevel="0" collapsed="false">
      <c r="A3831" s="5" t="s">
        <v>759</v>
      </c>
      <c r="B3831" s="5" t="s">
        <v>100</v>
      </c>
      <c r="C3831" s="5" t="n">
        <v>2023</v>
      </c>
      <c r="D3831" s="5" t="s">
        <v>99</v>
      </c>
      <c r="E3831" s="5" t="s">
        <v>75</v>
      </c>
      <c r="F3831" s="5" t="s">
        <v>39</v>
      </c>
      <c r="G3831" s="6" t="n">
        <v>566</v>
      </c>
      <c r="H3831" s="6" t="n">
        <v>133</v>
      </c>
      <c r="I3831" s="7" t="n">
        <f aca="false">(G3831-H3831)/G3831</f>
        <v>0.765017667844523</v>
      </c>
      <c r="J3831" s="15" t="n">
        <v>0.479</v>
      </c>
      <c r="K3831" s="11" t="str">
        <f aca="false">IF(I3831&lt;J3831,"TAK","NIE")</f>
        <v>NIE</v>
      </c>
    </row>
    <row r="3832" customFormat="false" ht="15" hidden="false" customHeight="false" outlineLevel="0" collapsed="false">
      <c r="A3832" s="5" t="s">
        <v>760</v>
      </c>
      <c r="B3832" s="5" t="s">
        <v>100</v>
      </c>
      <c r="C3832" s="5" t="n">
        <v>2023</v>
      </c>
      <c r="D3832" s="5" t="s">
        <v>99</v>
      </c>
      <c r="E3832" s="5" t="s">
        <v>75</v>
      </c>
      <c r="F3832" s="5" t="s">
        <v>39</v>
      </c>
      <c r="G3832" s="6" t="n">
        <v>572</v>
      </c>
      <c r="H3832" s="6" t="n">
        <v>120</v>
      </c>
      <c r="I3832" s="7" t="n">
        <f aca="false">(G3832-H3832)/G3832</f>
        <v>0.79020979020979</v>
      </c>
      <c r="J3832" s="15" t="n">
        <v>0.479</v>
      </c>
      <c r="K3832" s="11" t="str">
        <f aca="false">IF(I3832&lt;J3832,"TAK","NIE")</f>
        <v>NIE</v>
      </c>
    </row>
    <row r="3833" customFormat="false" ht="15" hidden="false" customHeight="false" outlineLevel="0" collapsed="false">
      <c r="A3833" s="5" t="s">
        <v>761</v>
      </c>
      <c r="B3833" s="5" t="s">
        <v>100</v>
      </c>
      <c r="C3833" s="5" t="n">
        <v>2023</v>
      </c>
      <c r="D3833" s="5" t="s">
        <v>99</v>
      </c>
      <c r="E3833" s="5" t="s">
        <v>75</v>
      </c>
      <c r="F3833" s="5" t="s">
        <v>39</v>
      </c>
      <c r="G3833" s="6" t="n">
        <v>572</v>
      </c>
      <c r="H3833" s="6" t="n">
        <v>109</v>
      </c>
      <c r="I3833" s="7" t="n">
        <f aca="false">(G3833-H3833)/G3833</f>
        <v>0.80944055944056</v>
      </c>
      <c r="J3833" s="15" t="n">
        <v>0.479</v>
      </c>
      <c r="K3833" s="11" t="str">
        <f aca="false">IF(I3833&lt;J3833,"TAK","NIE")</f>
        <v>NIE</v>
      </c>
    </row>
    <row r="3834" customFormat="false" ht="15" hidden="false" customHeight="false" outlineLevel="0" collapsed="false">
      <c r="A3834" s="5" t="s">
        <v>762</v>
      </c>
      <c r="B3834" s="5" t="s">
        <v>100</v>
      </c>
      <c r="C3834" s="5" t="n">
        <v>2023</v>
      </c>
      <c r="D3834" s="5" t="s">
        <v>99</v>
      </c>
      <c r="E3834" s="5" t="s">
        <v>75</v>
      </c>
      <c r="F3834" s="5" t="s">
        <v>39</v>
      </c>
      <c r="G3834" s="6" t="n">
        <v>572</v>
      </c>
      <c r="H3834" s="6" t="n">
        <v>132</v>
      </c>
      <c r="I3834" s="7" t="n">
        <f aca="false">(G3834-H3834)/G3834</f>
        <v>0.769230769230769</v>
      </c>
      <c r="J3834" s="15" t="n">
        <v>0.479</v>
      </c>
      <c r="K3834" s="11" t="str">
        <f aca="false">IF(I3834&lt;J3834,"TAK","NIE")</f>
        <v>NIE</v>
      </c>
    </row>
    <row r="3835" customFormat="false" ht="15" hidden="false" customHeight="false" outlineLevel="0" collapsed="false">
      <c r="A3835" s="5" t="s">
        <v>763</v>
      </c>
      <c r="B3835" s="5" t="s">
        <v>100</v>
      </c>
      <c r="C3835" s="5" t="n">
        <v>2023</v>
      </c>
      <c r="D3835" s="5" t="s">
        <v>99</v>
      </c>
      <c r="E3835" s="5" t="s">
        <v>75</v>
      </c>
      <c r="F3835" s="5" t="s">
        <v>39</v>
      </c>
      <c r="G3835" s="6" t="n">
        <v>566</v>
      </c>
      <c r="H3835" s="6" t="n">
        <v>216</v>
      </c>
      <c r="I3835" s="7" t="n">
        <f aca="false">(G3835-H3835)/G3835</f>
        <v>0.618374558303887</v>
      </c>
      <c r="J3835" s="15" t="n">
        <v>0.479</v>
      </c>
      <c r="K3835" s="11" t="str">
        <f aca="false">IF(I3835&lt;J3835,"TAK","NIE")</f>
        <v>NIE</v>
      </c>
    </row>
    <row r="3836" customFormat="false" ht="15" hidden="false" customHeight="false" outlineLevel="0" collapsed="false">
      <c r="A3836" s="5" t="s">
        <v>767</v>
      </c>
      <c r="B3836" s="5" t="s">
        <v>100</v>
      </c>
      <c r="C3836" s="5" t="n">
        <v>2023</v>
      </c>
      <c r="D3836" s="5" t="s">
        <v>99</v>
      </c>
      <c r="E3836" s="5" t="s">
        <v>75</v>
      </c>
      <c r="F3836" s="5" t="s">
        <v>39</v>
      </c>
      <c r="G3836" s="6" t="n">
        <v>566</v>
      </c>
      <c r="H3836" s="6" t="n">
        <v>16</v>
      </c>
      <c r="I3836" s="7" t="n">
        <f aca="false">(G3836-H3836)/G3836</f>
        <v>0.971731448763251</v>
      </c>
      <c r="J3836" s="15" t="n">
        <v>0.479</v>
      </c>
      <c r="K3836" s="11" t="str">
        <f aca="false">IF(I3836&lt;J3836,"TAK","NIE")</f>
        <v>NIE</v>
      </c>
    </row>
    <row r="3837" customFormat="false" ht="15" hidden="false" customHeight="false" outlineLevel="0" collapsed="false">
      <c r="A3837" s="5" t="s">
        <v>764</v>
      </c>
      <c r="B3837" s="5" t="s">
        <v>100</v>
      </c>
      <c r="C3837" s="5" t="n">
        <v>2023</v>
      </c>
      <c r="D3837" s="5" t="s">
        <v>99</v>
      </c>
      <c r="E3837" s="5" t="s">
        <v>75</v>
      </c>
      <c r="F3837" s="5" t="s">
        <v>39</v>
      </c>
      <c r="G3837" s="6" t="n">
        <v>572</v>
      </c>
      <c r="H3837" s="6" t="n">
        <v>67</v>
      </c>
      <c r="I3837" s="7" t="n">
        <f aca="false">(G3837-H3837)/G3837</f>
        <v>0.882867132867133</v>
      </c>
      <c r="J3837" s="15" t="n">
        <v>0.479</v>
      </c>
      <c r="K3837" s="11" t="str">
        <f aca="false">IF(I3837&lt;J3837,"TAK","NIE")</f>
        <v>NIE</v>
      </c>
    </row>
    <row r="3838" customFormat="false" ht="15" hidden="false" customHeight="false" outlineLevel="0" collapsed="false">
      <c r="A3838" s="5" t="s">
        <v>765</v>
      </c>
      <c r="B3838" s="5" t="s">
        <v>100</v>
      </c>
      <c r="C3838" s="5" t="n">
        <v>2023</v>
      </c>
      <c r="D3838" s="5" t="s">
        <v>99</v>
      </c>
      <c r="E3838" s="5" t="s">
        <v>75</v>
      </c>
      <c r="F3838" s="5" t="s">
        <v>39</v>
      </c>
      <c r="G3838" s="6" t="n">
        <v>566</v>
      </c>
      <c r="H3838" s="6" t="n">
        <v>92</v>
      </c>
      <c r="I3838" s="7" t="n">
        <f aca="false">(G3838-H3838)/G3838</f>
        <v>0.837455830388693</v>
      </c>
      <c r="J3838" s="15" t="n">
        <v>0.479</v>
      </c>
      <c r="K3838" s="11" t="str">
        <f aca="false">IF(I3838&lt;J3838,"TAK","NIE")</f>
        <v>NIE</v>
      </c>
    </row>
    <row r="3839" customFormat="false" ht="15" hidden="false" customHeight="false" outlineLevel="0" collapsed="false">
      <c r="A3839" s="5" t="s">
        <v>766</v>
      </c>
      <c r="B3839" s="5" t="s">
        <v>100</v>
      </c>
      <c r="C3839" s="5" t="n">
        <v>2023</v>
      </c>
      <c r="D3839" s="5" t="s">
        <v>99</v>
      </c>
      <c r="E3839" s="5" t="s">
        <v>75</v>
      </c>
      <c r="F3839" s="5" t="s">
        <v>39</v>
      </c>
      <c r="G3839" s="6" t="n">
        <v>572</v>
      </c>
      <c r="H3839" s="6" t="n">
        <v>198</v>
      </c>
      <c r="I3839" s="7" t="n">
        <f aca="false">(G3839-H3839)/G3839</f>
        <v>0.653846153846154</v>
      </c>
      <c r="J3839" s="15" t="n">
        <v>0.479</v>
      </c>
      <c r="K3839" s="11" t="str">
        <f aca="false">IF(I3839&lt;J3839,"TAK","NIE")</f>
        <v>NIE</v>
      </c>
    </row>
    <row r="3840" customFormat="false" ht="15" hidden="false" customHeight="false" outlineLevel="0" collapsed="false">
      <c r="A3840" s="5" t="s">
        <v>743</v>
      </c>
      <c r="B3840" s="5" t="s">
        <v>100</v>
      </c>
      <c r="C3840" s="5" t="n">
        <v>2023</v>
      </c>
      <c r="D3840" s="5" t="s">
        <v>99</v>
      </c>
      <c r="E3840" s="5" t="s">
        <v>75</v>
      </c>
      <c r="F3840" s="5" t="s">
        <v>40</v>
      </c>
      <c r="G3840" s="6" t="n">
        <v>664</v>
      </c>
      <c r="H3840" s="6" t="n">
        <v>308</v>
      </c>
      <c r="I3840" s="7" t="n">
        <f aca="false">(G3840-H3840)/G3840</f>
        <v>0.536144578313253</v>
      </c>
      <c r="J3840" s="15" t="n">
        <v>0.3965</v>
      </c>
      <c r="K3840" s="11" t="str">
        <f aca="false">IF(I3840&lt;J3840,"TAK","NIE")</f>
        <v>NIE</v>
      </c>
    </row>
    <row r="3841" customFormat="false" ht="15" hidden="false" customHeight="false" outlineLevel="0" collapsed="false">
      <c r="A3841" s="5" t="s">
        <v>744</v>
      </c>
      <c r="B3841" s="5" t="s">
        <v>100</v>
      </c>
      <c r="C3841" s="5" t="n">
        <v>2023</v>
      </c>
      <c r="D3841" s="5" t="s">
        <v>99</v>
      </c>
      <c r="E3841" s="5" t="s">
        <v>75</v>
      </c>
      <c r="F3841" s="5" t="s">
        <v>40</v>
      </c>
      <c r="G3841" s="6" t="n">
        <v>661</v>
      </c>
      <c r="H3841" s="6" t="n">
        <v>176</v>
      </c>
      <c r="I3841" s="7" t="n">
        <f aca="false">(G3841-H3841)/G3841</f>
        <v>0.733736762481089</v>
      </c>
      <c r="J3841" s="15" t="n">
        <v>0.3965</v>
      </c>
      <c r="K3841" s="11" t="str">
        <f aca="false">IF(I3841&lt;J3841,"TAK","NIE")</f>
        <v>NIE</v>
      </c>
    </row>
    <row r="3842" customFormat="false" ht="15" hidden="false" customHeight="false" outlineLevel="0" collapsed="false">
      <c r="A3842" s="5" t="s">
        <v>745</v>
      </c>
      <c r="B3842" s="5" t="s">
        <v>100</v>
      </c>
      <c r="C3842" s="5" t="n">
        <v>2023</v>
      </c>
      <c r="D3842" s="5" t="s">
        <v>99</v>
      </c>
      <c r="E3842" s="5" t="s">
        <v>75</v>
      </c>
      <c r="F3842" s="5" t="s">
        <v>40</v>
      </c>
      <c r="G3842" s="6" t="n">
        <v>661</v>
      </c>
      <c r="H3842" s="6" t="n">
        <v>323</v>
      </c>
      <c r="I3842" s="7" t="n">
        <f aca="false">(G3842-H3842)/G3842</f>
        <v>0.511346444780635</v>
      </c>
      <c r="J3842" s="15" t="n">
        <v>0.3965</v>
      </c>
      <c r="K3842" s="11" t="str">
        <f aca="false">IF(I3842&lt;J3842,"TAK","NIE")</f>
        <v>NIE</v>
      </c>
    </row>
    <row r="3843" customFormat="false" ht="15" hidden="false" customHeight="false" outlineLevel="0" collapsed="false">
      <c r="A3843" s="5" t="s">
        <v>746</v>
      </c>
      <c r="B3843" s="5" t="s">
        <v>100</v>
      </c>
      <c r="C3843" s="5" t="n">
        <v>2023</v>
      </c>
      <c r="D3843" s="5" t="s">
        <v>99</v>
      </c>
      <c r="E3843" s="5" t="s">
        <v>75</v>
      </c>
      <c r="F3843" s="5" t="s">
        <v>40</v>
      </c>
      <c r="G3843" s="6" t="n">
        <v>664</v>
      </c>
      <c r="H3843" s="6" t="n">
        <v>266</v>
      </c>
      <c r="I3843" s="7" t="n">
        <f aca="false">(G3843-H3843)/G3843</f>
        <v>0.599397590361446</v>
      </c>
      <c r="J3843" s="15" t="n">
        <v>0.3965</v>
      </c>
      <c r="K3843" s="11" t="str">
        <f aca="false">IF(I3843&lt;J3843,"TAK","NIE")</f>
        <v>NIE</v>
      </c>
    </row>
    <row r="3844" customFormat="false" ht="15" hidden="false" customHeight="false" outlineLevel="0" collapsed="false">
      <c r="A3844" s="5" t="s">
        <v>747</v>
      </c>
      <c r="B3844" s="5" t="s">
        <v>100</v>
      </c>
      <c r="C3844" s="5" t="n">
        <v>2023</v>
      </c>
      <c r="D3844" s="5" t="s">
        <v>99</v>
      </c>
      <c r="E3844" s="5" t="s">
        <v>75</v>
      </c>
      <c r="F3844" s="5" t="s">
        <v>40</v>
      </c>
      <c r="G3844" s="6" t="n">
        <v>633</v>
      </c>
      <c r="H3844" s="6" t="n">
        <v>156</v>
      </c>
      <c r="I3844" s="7" t="n">
        <f aca="false">(G3844-H3844)/G3844</f>
        <v>0.753554502369668</v>
      </c>
      <c r="J3844" s="15" t="n">
        <v>0.3965</v>
      </c>
      <c r="K3844" s="11" t="str">
        <f aca="false">IF(I3844&lt;J3844,"TAK","NIE")</f>
        <v>NIE</v>
      </c>
    </row>
    <row r="3845" customFormat="false" ht="15" hidden="false" customHeight="false" outlineLevel="0" collapsed="false">
      <c r="A3845" s="5" t="s">
        <v>748</v>
      </c>
      <c r="B3845" s="5" t="s">
        <v>100</v>
      </c>
      <c r="C3845" s="5" t="n">
        <v>2023</v>
      </c>
      <c r="D3845" s="5" t="s">
        <v>99</v>
      </c>
      <c r="E3845" s="5" t="s">
        <v>75</v>
      </c>
      <c r="F3845" s="5" t="s">
        <v>40</v>
      </c>
      <c r="G3845" s="6" t="n">
        <v>661</v>
      </c>
      <c r="H3845" s="6" t="n">
        <v>194</v>
      </c>
      <c r="I3845" s="7" t="n">
        <f aca="false">(G3845-H3845)/G3845</f>
        <v>0.706505295007564</v>
      </c>
      <c r="J3845" s="15" t="n">
        <v>0.3965</v>
      </c>
      <c r="K3845" s="11" t="str">
        <f aca="false">IF(I3845&lt;J3845,"TAK","NIE")</f>
        <v>NIE</v>
      </c>
    </row>
    <row r="3846" customFormat="false" ht="15" hidden="false" customHeight="false" outlineLevel="0" collapsed="false">
      <c r="A3846" s="5" t="s">
        <v>749</v>
      </c>
      <c r="B3846" s="5" t="s">
        <v>100</v>
      </c>
      <c r="C3846" s="5" t="n">
        <v>2023</v>
      </c>
      <c r="D3846" s="5" t="s">
        <v>99</v>
      </c>
      <c r="E3846" s="5" t="s">
        <v>75</v>
      </c>
      <c r="F3846" s="5" t="s">
        <v>40</v>
      </c>
      <c r="G3846" s="6" t="n">
        <v>661</v>
      </c>
      <c r="H3846" s="6" t="n">
        <v>277</v>
      </c>
      <c r="I3846" s="7" t="n">
        <f aca="false">(G3846-H3846)/G3846</f>
        <v>0.580937972768533</v>
      </c>
      <c r="J3846" s="15" t="n">
        <v>0.3965</v>
      </c>
      <c r="K3846" s="11" t="str">
        <f aca="false">IF(I3846&lt;J3846,"TAK","NIE")</f>
        <v>NIE</v>
      </c>
    </row>
    <row r="3847" customFormat="false" ht="15" hidden="false" customHeight="false" outlineLevel="0" collapsed="false">
      <c r="A3847" s="5" t="s">
        <v>750</v>
      </c>
      <c r="B3847" s="5" t="s">
        <v>100</v>
      </c>
      <c r="C3847" s="5" t="n">
        <v>2023</v>
      </c>
      <c r="D3847" s="5" t="s">
        <v>99</v>
      </c>
      <c r="E3847" s="5" t="s">
        <v>75</v>
      </c>
      <c r="F3847" s="5" t="s">
        <v>40</v>
      </c>
      <c r="G3847" s="6" t="n">
        <v>664</v>
      </c>
      <c r="H3847" s="6" t="n">
        <v>256</v>
      </c>
      <c r="I3847" s="7" t="n">
        <f aca="false">(G3847-H3847)/G3847</f>
        <v>0.614457831325301</v>
      </c>
      <c r="J3847" s="15" t="n">
        <v>0.3965</v>
      </c>
      <c r="K3847" s="11" t="str">
        <f aca="false">IF(I3847&lt;J3847,"TAK","NIE")</f>
        <v>NIE</v>
      </c>
    </row>
    <row r="3848" customFormat="false" ht="15" hidden="false" customHeight="false" outlineLevel="0" collapsed="false">
      <c r="A3848" s="5" t="s">
        <v>751</v>
      </c>
      <c r="B3848" s="5" t="s">
        <v>100</v>
      </c>
      <c r="C3848" s="5" t="n">
        <v>2023</v>
      </c>
      <c r="D3848" s="5" t="s">
        <v>99</v>
      </c>
      <c r="E3848" s="5" t="s">
        <v>75</v>
      </c>
      <c r="F3848" s="5" t="s">
        <v>40</v>
      </c>
      <c r="G3848" s="6" t="n">
        <v>664</v>
      </c>
      <c r="H3848" s="6" t="n">
        <v>229</v>
      </c>
      <c r="I3848" s="7" t="n">
        <f aca="false">(G3848-H3848)/G3848</f>
        <v>0.655120481927711</v>
      </c>
      <c r="J3848" s="15" t="n">
        <v>0.3965</v>
      </c>
      <c r="K3848" s="11" t="str">
        <f aca="false">IF(I3848&lt;J3848,"TAK","NIE")</f>
        <v>NIE</v>
      </c>
    </row>
    <row r="3849" customFormat="false" ht="15" hidden="false" customHeight="false" outlineLevel="0" collapsed="false">
      <c r="A3849" s="5" t="s">
        <v>752</v>
      </c>
      <c r="B3849" s="5" t="s">
        <v>100</v>
      </c>
      <c r="C3849" s="5" t="n">
        <v>2023</v>
      </c>
      <c r="D3849" s="5" t="s">
        <v>99</v>
      </c>
      <c r="E3849" s="5" t="s">
        <v>75</v>
      </c>
      <c r="F3849" s="5" t="s">
        <v>40</v>
      </c>
      <c r="G3849" s="6" t="n">
        <v>661</v>
      </c>
      <c r="H3849" s="6" t="n">
        <v>202</v>
      </c>
      <c r="I3849" s="7" t="n">
        <f aca="false">(G3849-H3849)/G3849</f>
        <v>0.694402420574887</v>
      </c>
      <c r="J3849" s="15" t="n">
        <v>0.3965</v>
      </c>
      <c r="K3849" s="11" t="str">
        <f aca="false">IF(I3849&lt;J3849,"TAK","NIE")</f>
        <v>NIE</v>
      </c>
    </row>
    <row r="3850" customFormat="false" ht="15" hidden="false" customHeight="false" outlineLevel="0" collapsed="false">
      <c r="A3850" s="5" t="s">
        <v>753</v>
      </c>
      <c r="B3850" s="5" t="s">
        <v>100</v>
      </c>
      <c r="C3850" s="5" t="n">
        <v>2023</v>
      </c>
      <c r="D3850" s="5" t="s">
        <v>99</v>
      </c>
      <c r="E3850" s="5" t="s">
        <v>75</v>
      </c>
      <c r="F3850" s="5" t="s">
        <v>40</v>
      </c>
      <c r="G3850" s="6" t="n">
        <v>661</v>
      </c>
      <c r="H3850" s="6" t="n">
        <v>215</v>
      </c>
      <c r="I3850" s="7" t="n">
        <f aca="false">(G3850-H3850)/G3850</f>
        <v>0.674735249621785</v>
      </c>
      <c r="J3850" s="15" t="n">
        <v>0.3965</v>
      </c>
      <c r="K3850" s="11" t="str">
        <f aca="false">IF(I3850&lt;J3850,"TAK","NIE")</f>
        <v>NIE</v>
      </c>
    </row>
    <row r="3851" customFormat="false" ht="15" hidden="false" customHeight="false" outlineLevel="0" collapsed="false">
      <c r="A3851" s="5" t="s">
        <v>754</v>
      </c>
      <c r="B3851" s="5" t="s">
        <v>100</v>
      </c>
      <c r="C3851" s="5" t="n">
        <v>2023</v>
      </c>
      <c r="D3851" s="5" t="s">
        <v>99</v>
      </c>
      <c r="E3851" s="5" t="s">
        <v>75</v>
      </c>
      <c r="F3851" s="5" t="s">
        <v>40</v>
      </c>
      <c r="G3851" s="6" t="n">
        <v>664</v>
      </c>
      <c r="H3851" s="6" t="n">
        <v>448</v>
      </c>
      <c r="I3851" s="7" t="n">
        <f aca="false">(G3851-H3851)/G3851</f>
        <v>0.325301204819277</v>
      </c>
      <c r="J3851" s="15" t="n">
        <v>0.3965</v>
      </c>
      <c r="K3851" s="11" t="str">
        <f aca="false">IF(I3851&lt;J3851,"TAK","NIE")</f>
        <v>TAK</v>
      </c>
    </row>
    <row r="3852" customFormat="false" ht="15" hidden="false" customHeight="false" outlineLevel="0" collapsed="false">
      <c r="A3852" s="5" t="s">
        <v>755</v>
      </c>
      <c r="B3852" s="5" t="s">
        <v>100</v>
      </c>
      <c r="C3852" s="5" t="n">
        <v>2023</v>
      </c>
      <c r="D3852" s="5" t="s">
        <v>99</v>
      </c>
      <c r="E3852" s="5" t="s">
        <v>75</v>
      </c>
      <c r="F3852" s="5" t="s">
        <v>40</v>
      </c>
      <c r="G3852" s="6" t="n">
        <v>633</v>
      </c>
      <c r="H3852" s="6" t="n">
        <v>234</v>
      </c>
      <c r="I3852" s="7" t="n">
        <f aca="false">(G3852-H3852)/G3852</f>
        <v>0.630331753554502</v>
      </c>
      <c r="J3852" s="15" t="n">
        <v>0.3965</v>
      </c>
      <c r="K3852" s="11" t="str">
        <f aca="false">IF(I3852&lt;J3852,"TAK","NIE")</f>
        <v>NIE</v>
      </c>
    </row>
    <row r="3853" customFormat="false" ht="15" hidden="false" customHeight="false" outlineLevel="0" collapsed="false">
      <c r="A3853" s="5" t="s">
        <v>756</v>
      </c>
      <c r="B3853" s="5" t="s">
        <v>100</v>
      </c>
      <c r="C3853" s="5" t="n">
        <v>2023</v>
      </c>
      <c r="D3853" s="5" t="s">
        <v>99</v>
      </c>
      <c r="E3853" s="5" t="s">
        <v>75</v>
      </c>
      <c r="F3853" s="5" t="s">
        <v>40</v>
      </c>
      <c r="G3853" s="6" t="n">
        <v>661</v>
      </c>
      <c r="H3853" s="6" t="n">
        <v>141</v>
      </c>
      <c r="I3853" s="7" t="n">
        <f aca="false">(G3853-H3853)/G3853</f>
        <v>0.786686838124055</v>
      </c>
      <c r="J3853" s="15" t="n">
        <v>0.3965</v>
      </c>
      <c r="K3853" s="11" t="str">
        <f aca="false">IF(I3853&lt;J3853,"TAK","NIE")</f>
        <v>NIE</v>
      </c>
    </row>
    <row r="3854" customFormat="false" ht="15" hidden="false" customHeight="false" outlineLevel="0" collapsed="false">
      <c r="A3854" s="5" t="s">
        <v>757</v>
      </c>
      <c r="B3854" s="5" t="s">
        <v>100</v>
      </c>
      <c r="C3854" s="5" t="n">
        <v>2023</v>
      </c>
      <c r="D3854" s="5" t="s">
        <v>99</v>
      </c>
      <c r="E3854" s="5" t="s">
        <v>75</v>
      </c>
      <c r="F3854" s="5" t="s">
        <v>40</v>
      </c>
      <c r="G3854" s="6" t="n">
        <v>664</v>
      </c>
      <c r="H3854" s="6" t="n">
        <v>245</v>
      </c>
      <c r="I3854" s="7" t="n">
        <f aca="false">(G3854-H3854)/G3854</f>
        <v>0.631024096385542</v>
      </c>
      <c r="J3854" s="15" t="n">
        <v>0.3965</v>
      </c>
      <c r="K3854" s="11" t="str">
        <f aca="false">IF(I3854&lt;J3854,"TAK","NIE")</f>
        <v>NIE</v>
      </c>
    </row>
    <row r="3855" customFormat="false" ht="15" hidden="false" customHeight="false" outlineLevel="0" collapsed="false">
      <c r="A3855" s="5" t="s">
        <v>758</v>
      </c>
      <c r="B3855" s="5" t="s">
        <v>100</v>
      </c>
      <c r="C3855" s="5" t="n">
        <v>2023</v>
      </c>
      <c r="D3855" s="5" t="s">
        <v>99</v>
      </c>
      <c r="E3855" s="5" t="s">
        <v>75</v>
      </c>
      <c r="F3855" s="5" t="s">
        <v>40</v>
      </c>
      <c r="G3855" s="6" t="n">
        <v>630</v>
      </c>
      <c r="H3855" s="6" t="n">
        <v>195</v>
      </c>
      <c r="I3855" s="7" t="n">
        <f aca="false">(G3855-H3855)/G3855</f>
        <v>0.690476190476191</v>
      </c>
      <c r="J3855" s="15" t="n">
        <v>0.3965</v>
      </c>
      <c r="K3855" s="11" t="str">
        <f aca="false">IF(I3855&lt;J3855,"TAK","NIE")</f>
        <v>NIE</v>
      </c>
    </row>
    <row r="3856" customFormat="false" ht="15" hidden="false" customHeight="false" outlineLevel="0" collapsed="false">
      <c r="A3856" s="5" t="s">
        <v>759</v>
      </c>
      <c r="B3856" s="5" t="s">
        <v>100</v>
      </c>
      <c r="C3856" s="5" t="n">
        <v>2023</v>
      </c>
      <c r="D3856" s="5" t="s">
        <v>99</v>
      </c>
      <c r="E3856" s="5" t="s">
        <v>75</v>
      </c>
      <c r="F3856" s="5" t="s">
        <v>40</v>
      </c>
      <c r="G3856" s="6" t="n">
        <v>661</v>
      </c>
      <c r="H3856" s="6" t="n">
        <v>143</v>
      </c>
      <c r="I3856" s="7" t="n">
        <f aca="false">(G3856-H3856)/G3856</f>
        <v>0.783661119515885</v>
      </c>
      <c r="J3856" s="15" t="n">
        <v>0.3965</v>
      </c>
      <c r="K3856" s="11" t="str">
        <f aca="false">IF(I3856&lt;J3856,"TAK","NIE")</f>
        <v>NIE</v>
      </c>
    </row>
    <row r="3857" customFormat="false" ht="15" hidden="false" customHeight="false" outlineLevel="0" collapsed="false">
      <c r="A3857" s="5" t="s">
        <v>760</v>
      </c>
      <c r="B3857" s="5" t="s">
        <v>100</v>
      </c>
      <c r="C3857" s="5" t="n">
        <v>2023</v>
      </c>
      <c r="D3857" s="5" t="s">
        <v>99</v>
      </c>
      <c r="E3857" s="5" t="s">
        <v>75</v>
      </c>
      <c r="F3857" s="5" t="s">
        <v>40</v>
      </c>
      <c r="G3857" s="6" t="n">
        <v>664</v>
      </c>
      <c r="H3857" s="6" t="n">
        <v>150</v>
      </c>
      <c r="I3857" s="7" t="n">
        <f aca="false">(G3857-H3857)/G3857</f>
        <v>0.774096385542169</v>
      </c>
      <c r="J3857" s="15" t="n">
        <v>0.3965</v>
      </c>
      <c r="K3857" s="11" t="str">
        <f aca="false">IF(I3857&lt;J3857,"TAK","NIE")</f>
        <v>NIE</v>
      </c>
    </row>
    <row r="3858" customFormat="false" ht="15" hidden="false" customHeight="false" outlineLevel="0" collapsed="false">
      <c r="A3858" s="5" t="s">
        <v>761</v>
      </c>
      <c r="B3858" s="5" t="s">
        <v>100</v>
      </c>
      <c r="C3858" s="5" t="n">
        <v>2023</v>
      </c>
      <c r="D3858" s="5" t="s">
        <v>99</v>
      </c>
      <c r="E3858" s="5" t="s">
        <v>75</v>
      </c>
      <c r="F3858" s="5" t="s">
        <v>40</v>
      </c>
      <c r="G3858" s="6" t="n">
        <v>664</v>
      </c>
      <c r="H3858" s="6" t="n">
        <v>191</v>
      </c>
      <c r="I3858" s="7" t="n">
        <f aca="false">(G3858-H3858)/G3858</f>
        <v>0.712349397590361</v>
      </c>
      <c r="J3858" s="15" t="n">
        <v>0.3965</v>
      </c>
      <c r="K3858" s="11" t="str">
        <f aca="false">IF(I3858&lt;J3858,"TAK","NIE")</f>
        <v>NIE</v>
      </c>
    </row>
    <row r="3859" customFormat="false" ht="15" hidden="false" customHeight="false" outlineLevel="0" collapsed="false">
      <c r="A3859" s="5" t="s">
        <v>762</v>
      </c>
      <c r="B3859" s="5" t="s">
        <v>100</v>
      </c>
      <c r="C3859" s="5" t="n">
        <v>2023</v>
      </c>
      <c r="D3859" s="5" t="s">
        <v>99</v>
      </c>
      <c r="E3859" s="5" t="s">
        <v>75</v>
      </c>
      <c r="F3859" s="5" t="s">
        <v>40</v>
      </c>
      <c r="G3859" s="6" t="n">
        <v>664</v>
      </c>
      <c r="H3859" s="6" t="n">
        <v>221</v>
      </c>
      <c r="I3859" s="7" t="n">
        <f aca="false">(G3859-H3859)/G3859</f>
        <v>0.667168674698795</v>
      </c>
      <c r="J3859" s="15" t="n">
        <v>0.3965</v>
      </c>
      <c r="K3859" s="11" t="str">
        <f aca="false">IF(I3859&lt;J3859,"TAK","NIE")</f>
        <v>NIE</v>
      </c>
    </row>
    <row r="3860" customFormat="false" ht="15" hidden="false" customHeight="false" outlineLevel="0" collapsed="false">
      <c r="A3860" s="5" t="s">
        <v>763</v>
      </c>
      <c r="B3860" s="5" t="s">
        <v>100</v>
      </c>
      <c r="C3860" s="5" t="n">
        <v>2023</v>
      </c>
      <c r="D3860" s="5" t="s">
        <v>99</v>
      </c>
      <c r="E3860" s="5" t="s">
        <v>75</v>
      </c>
      <c r="F3860" s="5" t="s">
        <v>40</v>
      </c>
      <c r="G3860" s="6" t="n">
        <v>661</v>
      </c>
      <c r="H3860" s="6" t="n">
        <v>340</v>
      </c>
      <c r="I3860" s="7" t="n">
        <f aca="false">(G3860-H3860)/G3860</f>
        <v>0.485627836611195</v>
      </c>
      <c r="J3860" s="15" t="n">
        <v>0.3965</v>
      </c>
      <c r="K3860" s="11" t="str">
        <f aca="false">IF(I3860&lt;J3860,"TAK","NIE")</f>
        <v>NIE</v>
      </c>
    </row>
    <row r="3861" customFormat="false" ht="15" hidden="false" customHeight="false" outlineLevel="0" collapsed="false">
      <c r="A3861" s="5" t="s">
        <v>767</v>
      </c>
      <c r="B3861" s="5" t="s">
        <v>100</v>
      </c>
      <c r="C3861" s="5" t="n">
        <v>2023</v>
      </c>
      <c r="D3861" s="5" t="s">
        <v>99</v>
      </c>
      <c r="E3861" s="5" t="s">
        <v>75</v>
      </c>
      <c r="F3861" s="5" t="s">
        <v>40</v>
      </c>
      <c r="G3861" s="6" t="n">
        <v>661</v>
      </c>
      <c r="H3861" s="6" t="n">
        <v>142</v>
      </c>
      <c r="I3861" s="7" t="n">
        <f aca="false">(G3861-H3861)/G3861</f>
        <v>0.78517397881997</v>
      </c>
      <c r="J3861" s="15" t="n">
        <v>0.3965</v>
      </c>
      <c r="K3861" s="11" t="str">
        <f aca="false">IF(I3861&lt;J3861,"TAK","NIE")</f>
        <v>NIE</v>
      </c>
    </row>
    <row r="3862" customFormat="false" ht="15" hidden="false" customHeight="false" outlineLevel="0" collapsed="false">
      <c r="A3862" s="5" t="s">
        <v>764</v>
      </c>
      <c r="B3862" s="5" t="s">
        <v>100</v>
      </c>
      <c r="C3862" s="5" t="n">
        <v>2023</v>
      </c>
      <c r="D3862" s="5" t="s">
        <v>99</v>
      </c>
      <c r="E3862" s="5" t="s">
        <v>75</v>
      </c>
      <c r="F3862" s="5" t="s">
        <v>40</v>
      </c>
      <c r="G3862" s="6" t="n">
        <v>664</v>
      </c>
      <c r="H3862" s="6" t="n">
        <v>128</v>
      </c>
      <c r="I3862" s="7" t="n">
        <f aca="false">(G3862-H3862)/G3862</f>
        <v>0.807228915662651</v>
      </c>
      <c r="J3862" s="15" t="n">
        <v>0.3965</v>
      </c>
      <c r="K3862" s="11" t="str">
        <f aca="false">IF(I3862&lt;J3862,"TAK","NIE")</f>
        <v>NIE</v>
      </c>
    </row>
    <row r="3863" customFormat="false" ht="15" hidden="false" customHeight="false" outlineLevel="0" collapsed="false">
      <c r="A3863" s="5" t="s">
        <v>765</v>
      </c>
      <c r="B3863" s="5" t="s">
        <v>100</v>
      </c>
      <c r="C3863" s="5" t="n">
        <v>2023</v>
      </c>
      <c r="D3863" s="5" t="s">
        <v>99</v>
      </c>
      <c r="E3863" s="5" t="s">
        <v>75</v>
      </c>
      <c r="F3863" s="5" t="s">
        <v>40</v>
      </c>
      <c r="G3863" s="6" t="n">
        <v>661</v>
      </c>
      <c r="H3863" s="6" t="n">
        <v>221</v>
      </c>
      <c r="I3863" s="7" t="n">
        <f aca="false">(G3863-H3863)/G3863</f>
        <v>0.665658093797277</v>
      </c>
      <c r="J3863" s="15" t="n">
        <v>0.3965</v>
      </c>
      <c r="K3863" s="11" t="str">
        <f aca="false">IF(I3863&lt;J3863,"TAK","NIE")</f>
        <v>NIE</v>
      </c>
    </row>
    <row r="3864" customFormat="false" ht="15" hidden="false" customHeight="false" outlineLevel="0" collapsed="false">
      <c r="A3864" s="5" t="s">
        <v>766</v>
      </c>
      <c r="B3864" s="5" t="s">
        <v>100</v>
      </c>
      <c r="C3864" s="5" t="n">
        <v>2023</v>
      </c>
      <c r="D3864" s="5" t="s">
        <v>99</v>
      </c>
      <c r="E3864" s="5" t="s">
        <v>75</v>
      </c>
      <c r="F3864" s="5" t="s">
        <v>40</v>
      </c>
      <c r="G3864" s="6" t="n">
        <v>664</v>
      </c>
      <c r="H3864" s="6" t="n">
        <v>284</v>
      </c>
      <c r="I3864" s="7" t="n">
        <f aca="false">(G3864-H3864)/G3864</f>
        <v>0.572289156626506</v>
      </c>
      <c r="J3864" s="15" t="n">
        <v>0.3965</v>
      </c>
      <c r="K3864" s="11" t="str">
        <f aca="false">IF(I3864&lt;J3864,"TAK","NIE")</f>
        <v>NIE</v>
      </c>
    </row>
    <row r="3865" customFormat="false" ht="15" hidden="false" customHeight="false" outlineLevel="0" collapsed="false">
      <c r="A3865" s="5" t="s">
        <v>743</v>
      </c>
      <c r="B3865" s="5" t="s">
        <v>101</v>
      </c>
      <c r="C3865" s="5" t="n">
        <v>2023</v>
      </c>
      <c r="D3865" s="5" t="s">
        <v>99</v>
      </c>
      <c r="E3865" s="5" t="s">
        <v>89</v>
      </c>
      <c r="F3865" s="5" t="s">
        <v>39</v>
      </c>
      <c r="G3865" s="6" t="n">
        <v>542</v>
      </c>
      <c r="H3865" s="6" t="n">
        <v>201</v>
      </c>
      <c r="I3865" s="7" t="n">
        <f aca="false">(G3865-H3865)/G3865</f>
        <v>0.629151291512915</v>
      </c>
      <c r="J3865" s="15" t="n">
        <v>0.4195</v>
      </c>
      <c r="K3865" s="11" t="str">
        <f aca="false">IF(I3865&lt;J3865,"TAK","NIE")</f>
        <v>NIE</v>
      </c>
    </row>
    <row r="3866" customFormat="false" ht="15" hidden="false" customHeight="false" outlineLevel="0" collapsed="false">
      <c r="A3866" s="5" t="s">
        <v>744</v>
      </c>
      <c r="B3866" s="5" t="s">
        <v>101</v>
      </c>
      <c r="C3866" s="5" t="n">
        <v>2023</v>
      </c>
      <c r="D3866" s="5" t="s">
        <v>99</v>
      </c>
      <c r="E3866" s="5" t="s">
        <v>89</v>
      </c>
      <c r="F3866" s="5" t="s">
        <v>39</v>
      </c>
      <c r="G3866" s="6" t="n">
        <v>543</v>
      </c>
      <c r="H3866" s="6" t="n">
        <v>131</v>
      </c>
      <c r="I3866" s="7" t="n">
        <f aca="false">(G3866-H3866)/G3866</f>
        <v>0.758747697974217</v>
      </c>
      <c r="J3866" s="15" t="n">
        <v>0.4195</v>
      </c>
      <c r="K3866" s="11" t="str">
        <f aca="false">IF(I3866&lt;J3866,"TAK","NIE")</f>
        <v>NIE</v>
      </c>
    </row>
    <row r="3867" customFormat="false" ht="15" hidden="false" customHeight="false" outlineLevel="0" collapsed="false">
      <c r="A3867" s="5" t="s">
        <v>745</v>
      </c>
      <c r="B3867" s="5" t="s">
        <v>101</v>
      </c>
      <c r="C3867" s="5" t="n">
        <v>2023</v>
      </c>
      <c r="D3867" s="5" t="s">
        <v>99</v>
      </c>
      <c r="E3867" s="5" t="s">
        <v>89</v>
      </c>
      <c r="F3867" s="5" t="s">
        <v>39</v>
      </c>
      <c r="G3867" s="6" t="n">
        <v>535</v>
      </c>
      <c r="H3867" s="6" t="n">
        <v>225</v>
      </c>
      <c r="I3867" s="7" t="n">
        <f aca="false">(G3867-H3867)/G3867</f>
        <v>0.579439252336449</v>
      </c>
      <c r="J3867" s="15" t="n">
        <v>0.4195</v>
      </c>
      <c r="K3867" s="11" t="str">
        <f aca="false">IF(I3867&lt;J3867,"TAK","NIE")</f>
        <v>NIE</v>
      </c>
    </row>
    <row r="3868" customFormat="false" ht="15" hidden="false" customHeight="false" outlineLevel="0" collapsed="false">
      <c r="A3868" s="5" t="s">
        <v>746</v>
      </c>
      <c r="B3868" s="5" t="s">
        <v>101</v>
      </c>
      <c r="C3868" s="5" t="n">
        <v>2023</v>
      </c>
      <c r="D3868" s="5" t="s">
        <v>99</v>
      </c>
      <c r="E3868" s="5" t="s">
        <v>89</v>
      </c>
      <c r="F3868" s="5" t="s">
        <v>39</v>
      </c>
      <c r="G3868" s="6" t="n">
        <v>535</v>
      </c>
      <c r="H3868" s="6" t="n">
        <v>143</v>
      </c>
      <c r="I3868" s="7" t="n">
        <f aca="false">(G3868-H3868)/G3868</f>
        <v>0.732710280373832</v>
      </c>
      <c r="J3868" s="15" t="n">
        <v>0.4195</v>
      </c>
      <c r="K3868" s="11" t="str">
        <f aca="false">IF(I3868&lt;J3868,"TAK","NIE")</f>
        <v>NIE</v>
      </c>
    </row>
    <row r="3869" customFormat="false" ht="15" hidden="false" customHeight="false" outlineLevel="0" collapsed="false">
      <c r="A3869" s="5" t="s">
        <v>747</v>
      </c>
      <c r="B3869" s="5" t="s">
        <v>101</v>
      </c>
      <c r="C3869" s="5" t="n">
        <v>2023</v>
      </c>
      <c r="D3869" s="5" t="s">
        <v>99</v>
      </c>
      <c r="E3869" s="5" t="s">
        <v>89</v>
      </c>
      <c r="F3869" s="5" t="s">
        <v>39</v>
      </c>
      <c r="G3869" s="6" t="n">
        <v>528</v>
      </c>
      <c r="H3869" s="6" t="n">
        <v>107</v>
      </c>
      <c r="I3869" s="7" t="n">
        <f aca="false">(G3869-H3869)/G3869</f>
        <v>0.797348484848485</v>
      </c>
      <c r="J3869" s="15" t="n">
        <v>0.4195</v>
      </c>
      <c r="K3869" s="11" t="str">
        <f aca="false">IF(I3869&lt;J3869,"TAK","NIE")</f>
        <v>NIE</v>
      </c>
    </row>
    <row r="3870" customFormat="false" ht="15" hidden="false" customHeight="false" outlineLevel="0" collapsed="false">
      <c r="A3870" s="5" t="s">
        <v>748</v>
      </c>
      <c r="B3870" s="5" t="s">
        <v>101</v>
      </c>
      <c r="C3870" s="5" t="n">
        <v>2023</v>
      </c>
      <c r="D3870" s="5" t="s">
        <v>99</v>
      </c>
      <c r="E3870" s="5" t="s">
        <v>89</v>
      </c>
      <c r="F3870" s="5" t="s">
        <v>39</v>
      </c>
      <c r="G3870" s="6" t="n">
        <v>543</v>
      </c>
      <c r="H3870" s="6" t="n">
        <v>86</v>
      </c>
      <c r="I3870" s="7" t="n">
        <f aca="false">(G3870-H3870)/G3870</f>
        <v>0.841620626151013</v>
      </c>
      <c r="J3870" s="15" t="n">
        <v>0.4195</v>
      </c>
      <c r="K3870" s="11" t="str">
        <f aca="false">IF(I3870&lt;J3870,"TAK","NIE")</f>
        <v>NIE</v>
      </c>
    </row>
    <row r="3871" customFormat="false" ht="15" hidden="false" customHeight="false" outlineLevel="0" collapsed="false">
      <c r="A3871" s="5" t="s">
        <v>749</v>
      </c>
      <c r="B3871" s="5" t="s">
        <v>101</v>
      </c>
      <c r="C3871" s="5" t="n">
        <v>2023</v>
      </c>
      <c r="D3871" s="5" t="s">
        <v>99</v>
      </c>
      <c r="E3871" s="5" t="s">
        <v>89</v>
      </c>
      <c r="F3871" s="5" t="s">
        <v>39</v>
      </c>
      <c r="G3871" s="6" t="n">
        <v>536</v>
      </c>
      <c r="H3871" s="6" t="n">
        <v>153</v>
      </c>
      <c r="I3871" s="7" t="n">
        <f aca="false">(G3871-H3871)/G3871</f>
        <v>0.71455223880597</v>
      </c>
      <c r="J3871" s="15" t="n">
        <v>0.4195</v>
      </c>
      <c r="K3871" s="11" t="str">
        <f aca="false">IF(I3871&lt;J3871,"TAK","NIE")</f>
        <v>NIE</v>
      </c>
    </row>
    <row r="3872" customFormat="false" ht="15" hidden="false" customHeight="false" outlineLevel="0" collapsed="false">
      <c r="A3872" s="5" t="s">
        <v>750</v>
      </c>
      <c r="B3872" s="5" t="s">
        <v>101</v>
      </c>
      <c r="C3872" s="5" t="n">
        <v>2023</v>
      </c>
      <c r="D3872" s="5" t="s">
        <v>99</v>
      </c>
      <c r="E3872" s="5" t="s">
        <v>89</v>
      </c>
      <c r="F3872" s="5" t="s">
        <v>39</v>
      </c>
      <c r="G3872" s="6" t="n">
        <v>542</v>
      </c>
      <c r="H3872" s="6" t="n">
        <v>178</v>
      </c>
      <c r="I3872" s="7" t="n">
        <f aca="false">(G3872-H3872)/G3872</f>
        <v>0.671586715867159</v>
      </c>
      <c r="J3872" s="15" t="n">
        <v>0.4195</v>
      </c>
      <c r="K3872" s="11" t="str">
        <f aca="false">IF(I3872&lt;J3872,"TAK","NIE")</f>
        <v>NIE</v>
      </c>
    </row>
    <row r="3873" customFormat="false" ht="15" hidden="false" customHeight="false" outlineLevel="0" collapsed="false">
      <c r="A3873" s="5" t="s">
        <v>751</v>
      </c>
      <c r="B3873" s="5" t="s">
        <v>101</v>
      </c>
      <c r="C3873" s="5" t="n">
        <v>2023</v>
      </c>
      <c r="D3873" s="5" t="s">
        <v>99</v>
      </c>
      <c r="E3873" s="5" t="s">
        <v>89</v>
      </c>
      <c r="F3873" s="5" t="s">
        <v>39</v>
      </c>
      <c r="G3873" s="6" t="n">
        <v>542</v>
      </c>
      <c r="H3873" s="6" t="n">
        <v>100</v>
      </c>
      <c r="I3873" s="7" t="n">
        <f aca="false">(G3873-H3873)/G3873</f>
        <v>0.81549815498155</v>
      </c>
      <c r="J3873" s="15" t="n">
        <v>0.4195</v>
      </c>
      <c r="K3873" s="11" t="str">
        <f aca="false">IF(I3873&lt;J3873,"TAK","NIE")</f>
        <v>NIE</v>
      </c>
    </row>
    <row r="3874" customFormat="false" ht="15" hidden="false" customHeight="false" outlineLevel="0" collapsed="false">
      <c r="A3874" s="5" t="s">
        <v>752</v>
      </c>
      <c r="B3874" s="5" t="s">
        <v>101</v>
      </c>
      <c r="C3874" s="5" t="n">
        <v>2023</v>
      </c>
      <c r="D3874" s="5" t="s">
        <v>99</v>
      </c>
      <c r="E3874" s="5" t="s">
        <v>89</v>
      </c>
      <c r="F3874" s="5" t="s">
        <v>39</v>
      </c>
      <c r="G3874" s="6" t="n">
        <v>543</v>
      </c>
      <c r="H3874" s="6" t="n">
        <v>120</v>
      </c>
      <c r="I3874" s="7" t="n">
        <f aca="false">(G3874-H3874)/G3874</f>
        <v>0.779005524861879</v>
      </c>
      <c r="J3874" s="15" t="n">
        <v>0.4195</v>
      </c>
      <c r="K3874" s="11" t="str">
        <f aca="false">IF(I3874&lt;J3874,"TAK","NIE")</f>
        <v>NIE</v>
      </c>
    </row>
    <row r="3875" customFormat="false" ht="15" hidden="false" customHeight="false" outlineLevel="0" collapsed="false">
      <c r="A3875" s="5" t="s">
        <v>753</v>
      </c>
      <c r="B3875" s="5" t="s">
        <v>101</v>
      </c>
      <c r="C3875" s="5" t="n">
        <v>2023</v>
      </c>
      <c r="D3875" s="5" t="s">
        <v>99</v>
      </c>
      <c r="E3875" s="5" t="s">
        <v>89</v>
      </c>
      <c r="F3875" s="5" t="s">
        <v>39</v>
      </c>
      <c r="G3875" s="6" t="n">
        <v>543</v>
      </c>
      <c r="H3875" s="6" t="n">
        <v>233</v>
      </c>
      <c r="I3875" s="7" t="n">
        <f aca="false">(G3875-H3875)/G3875</f>
        <v>0.570902394106814</v>
      </c>
      <c r="J3875" s="15" t="n">
        <v>0.4195</v>
      </c>
      <c r="K3875" s="11" t="str">
        <f aca="false">IF(I3875&lt;J3875,"TAK","NIE")</f>
        <v>NIE</v>
      </c>
    </row>
    <row r="3876" customFormat="false" ht="15" hidden="false" customHeight="false" outlineLevel="0" collapsed="false">
      <c r="A3876" s="5" t="s">
        <v>754</v>
      </c>
      <c r="B3876" s="5" t="s">
        <v>101</v>
      </c>
      <c r="C3876" s="5" t="n">
        <v>2023</v>
      </c>
      <c r="D3876" s="5" t="s">
        <v>99</v>
      </c>
      <c r="E3876" s="5" t="s">
        <v>89</v>
      </c>
      <c r="F3876" s="5" t="s">
        <v>39</v>
      </c>
      <c r="G3876" s="6" t="n">
        <v>474</v>
      </c>
      <c r="H3876" s="6" t="n">
        <v>343</v>
      </c>
      <c r="I3876" s="7" t="n">
        <f aca="false">(G3876-H3876)/G3876</f>
        <v>0.276371308016878</v>
      </c>
      <c r="J3876" s="15" t="n">
        <v>0.4195</v>
      </c>
      <c r="K3876" s="11" t="str">
        <f aca="false">IF(I3876&lt;J3876,"TAK","NIE")</f>
        <v>TAK</v>
      </c>
    </row>
    <row r="3877" customFormat="false" ht="15" hidden="false" customHeight="false" outlineLevel="0" collapsed="false">
      <c r="A3877" s="5" t="s">
        <v>628</v>
      </c>
      <c r="B3877" s="5" t="s">
        <v>101</v>
      </c>
      <c r="C3877" s="5" t="n">
        <v>2023</v>
      </c>
      <c r="D3877" s="5" t="s">
        <v>99</v>
      </c>
      <c r="E3877" s="5" t="s">
        <v>89</v>
      </c>
      <c r="F3877" s="5" t="s">
        <v>39</v>
      </c>
      <c r="G3877" s="6" t="n">
        <v>274</v>
      </c>
      <c r="H3877" s="6" t="n">
        <v>231</v>
      </c>
      <c r="I3877" s="7" t="n">
        <f aca="false">(G3877-H3877)/G3877</f>
        <v>0.156934306569343</v>
      </c>
      <c r="J3877" s="15" t="n">
        <v>0.4195</v>
      </c>
      <c r="K3877" s="11" t="str">
        <f aca="false">IF(I3877&lt;J3877,"TAK","NIE")</f>
        <v>TAK</v>
      </c>
    </row>
    <row r="3878" customFormat="false" ht="15" hidden="false" customHeight="false" outlineLevel="0" collapsed="false">
      <c r="A3878" s="5" t="s">
        <v>756</v>
      </c>
      <c r="B3878" s="5" t="s">
        <v>101</v>
      </c>
      <c r="C3878" s="5" t="n">
        <v>2023</v>
      </c>
      <c r="D3878" s="5" t="s">
        <v>99</v>
      </c>
      <c r="E3878" s="5" t="s">
        <v>89</v>
      </c>
      <c r="F3878" s="5" t="s">
        <v>39</v>
      </c>
      <c r="G3878" s="6" t="n">
        <v>543</v>
      </c>
      <c r="H3878" s="6" t="n">
        <v>88</v>
      </c>
      <c r="I3878" s="7" t="n">
        <f aca="false">(G3878-H3878)/G3878</f>
        <v>0.837937384898711</v>
      </c>
      <c r="J3878" s="15" t="n">
        <v>0.4195</v>
      </c>
      <c r="K3878" s="11" t="str">
        <f aca="false">IF(I3878&lt;J3878,"TAK","NIE")</f>
        <v>NIE</v>
      </c>
    </row>
    <row r="3879" customFormat="false" ht="15" hidden="false" customHeight="false" outlineLevel="0" collapsed="false">
      <c r="A3879" s="5" t="s">
        <v>757</v>
      </c>
      <c r="B3879" s="5" t="s">
        <v>101</v>
      </c>
      <c r="C3879" s="5" t="n">
        <v>2023</v>
      </c>
      <c r="D3879" s="5" t="s">
        <v>99</v>
      </c>
      <c r="E3879" s="5" t="s">
        <v>89</v>
      </c>
      <c r="F3879" s="5" t="s">
        <v>39</v>
      </c>
      <c r="G3879" s="6" t="n">
        <v>534</v>
      </c>
      <c r="H3879" s="6" t="n">
        <v>189</v>
      </c>
      <c r="I3879" s="7" t="n">
        <f aca="false">(G3879-H3879)/G3879</f>
        <v>0.646067415730337</v>
      </c>
      <c r="J3879" s="15" t="n">
        <v>0.4195</v>
      </c>
      <c r="K3879" s="11" t="str">
        <f aca="false">IF(I3879&lt;J3879,"TAK","NIE")</f>
        <v>NIE</v>
      </c>
    </row>
    <row r="3880" customFormat="false" ht="15" hidden="false" customHeight="false" outlineLevel="0" collapsed="false">
      <c r="A3880" s="5" t="s">
        <v>758</v>
      </c>
      <c r="B3880" s="5" t="s">
        <v>101</v>
      </c>
      <c r="C3880" s="5" t="n">
        <v>2023</v>
      </c>
      <c r="D3880" s="5" t="s">
        <v>99</v>
      </c>
      <c r="E3880" s="5" t="s">
        <v>89</v>
      </c>
      <c r="F3880" s="5" t="s">
        <v>39</v>
      </c>
      <c r="G3880" s="6" t="n">
        <v>541</v>
      </c>
      <c r="H3880" s="6" t="n">
        <v>122</v>
      </c>
      <c r="I3880" s="7" t="n">
        <f aca="false">(G3880-H3880)/G3880</f>
        <v>0.77449168207024</v>
      </c>
      <c r="J3880" s="15" t="n">
        <v>0.4195</v>
      </c>
      <c r="K3880" s="11" t="str">
        <f aca="false">IF(I3880&lt;J3880,"TAK","NIE")</f>
        <v>NIE</v>
      </c>
    </row>
    <row r="3881" customFormat="false" ht="15" hidden="false" customHeight="false" outlineLevel="0" collapsed="false">
      <c r="A3881" s="5" t="s">
        <v>759</v>
      </c>
      <c r="B3881" s="5" t="s">
        <v>101</v>
      </c>
      <c r="C3881" s="5" t="n">
        <v>2023</v>
      </c>
      <c r="D3881" s="5" t="s">
        <v>99</v>
      </c>
      <c r="E3881" s="5" t="s">
        <v>89</v>
      </c>
      <c r="F3881" s="5" t="s">
        <v>39</v>
      </c>
      <c r="G3881" s="6" t="n">
        <v>543</v>
      </c>
      <c r="H3881" s="6" t="n">
        <v>155</v>
      </c>
      <c r="I3881" s="7" t="n">
        <f aca="false">(G3881-H3881)/G3881</f>
        <v>0.714548802946593</v>
      </c>
      <c r="J3881" s="15" t="n">
        <v>0.4195</v>
      </c>
      <c r="K3881" s="11" t="str">
        <f aca="false">IF(I3881&lt;J3881,"TAK","NIE")</f>
        <v>NIE</v>
      </c>
    </row>
    <row r="3882" customFormat="false" ht="15" hidden="false" customHeight="false" outlineLevel="0" collapsed="false">
      <c r="A3882" s="5" t="s">
        <v>760</v>
      </c>
      <c r="B3882" s="5" t="s">
        <v>101</v>
      </c>
      <c r="C3882" s="5" t="n">
        <v>2023</v>
      </c>
      <c r="D3882" s="5" t="s">
        <v>99</v>
      </c>
      <c r="E3882" s="5" t="s">
        <v>89</v>
      </c>
      <c r="F3882" s="5" t="s">
        <v>39</v>
      </c>
      <c r="G3882" s="6" t="n">
        <v>542</v>
      </c>
      <c r="H3882" s="6" t="n">
        <v>69</v>
      </c>
      <c r="I3882" s="7" t="n">
        <f aca="false">(G3882-H3882)/G3882</f>
        <v>0.872693726937269</v>
      </c>
      <c r="J3882" s="15" t="n">
        <v>0.4195</v>
      </c>
      <c r="K3882" s="11" t="str">
        <f aca="false">IF(I3882&lt;J3882,"TAK","NIE")</f>
        <v>NIE</v>
      </c>
    </row>
    <row r="3883" customFormat="false" ht="15" hidden="false" customHeight="false" outlineLevel="0" collapsed="false">
      <c r="A3883" s="5" t="s">
        <v>761</v>
      </c>
      <c r="B3883" s="5" t="s">
        <v>101</v>
      </c>
      <c r="C3883" s="5" t="n">
        <v>2023</v>
      </c>
      <c r="D3883" s="5" t="s">
        <v>99</v>
      </c>
      <c r="E3883" s="5" t="s">
        <v>89</v>
      </c>
      <c r="F3883" s="5" t="s">
        <v>39</v>
      </c>
      <c r="G3883" s="6" t="n">
        <v>542</v>
      </c>
      <c r="H3883" s="6" t="n">
        <v>128</v>
      </c>
      <c r="I3883" s="7" t="n">
        <f aca="false">(G3883-H3883)/G3883</f>
        <v>0.763837638376384</v>
      </c>
      <c r="J3883" s="15" t="n">
        <v>0.4195</v>
      </c>
      <c r="K3883" s="11" t="str">
        <f aca="false">IF(I3883&lt;J3883,"TAK","NIE")</f>
        <v>NIE</v>
      </c>
    </row>
    <row r="3884" customFormat="false" ht="15" hidden="false" customHeight="false" outlineLevel="0" collapsed="false">
      <c r="A3884" s="5" t="s">
        <v>762</v>
      </c>
      <c r="B3884" s="5" t="s">
        <v>101</v>
      </c>
      <c r="C3884" s="5" t="n">
        <v>2023</v>
      </c>
      <c r="D3884" s="5" t="s">
        <v>99</v>
      </c>
      <c r="E3884" s="5" t="s">
        <v>89</v>
      </c>
      <c r="F3884" s="5" t="s">
        <v>39</v>
      </c>
      <c r="G3884" s="6" t="n">
        <v>542</v>
      </c>
      <c r="H3884" s="6" t="n">
        <v>133</v>
      </c>
      <c r="I3884" s="7" t="n">
        <f aca="false">(G3884-H3884)/G3884</f>
        <v>0.754612546125461</v>
      </c>
      <c r="J3884" s="15" t="n">
        <v>0.4195</v>
      </c>
      <c r="K3884" s="11" t="str">
        <f aca="false">IF(I3884&lt;J3884,"TAK","NIE")</f>
        <v>NIE</v>
      </c>
    </row>
    <row r="3885" customFormat="false" ht="15" hidden="false" customHeight="false" outlineLevel="0" collapsed="false">
      <c r="A3885" s="5" t="s">
        <v>763</v>
      </c>
      <c r="B3885" s="5" t="s">
        <v>101</v>
      </c>
      <c r="C3885" s="5" t="n">
        <v>2023</v>
      </c>
      <c r="D3885" s="5" t="s">
        <v>99</v>
      </c>
      <c r="E3885" s="5" t="s">
        <v>89</v>
      </c>
      <c r="F3885" s="5" t="s">
        <v>39</v>
      </c>
      <c r="G3885" s="6" t="n">
        <v>536</v>
      </c>
      <c r="H3885" s="6" t="n">
        <v>214</v>
      </c>
      <c r="I3885" s="7" t="n">
        <f aca="false">(G3885-H3885)/G3885</f>
        <v>0.600746268656716</v>
      </c>
      <c r="J3885" s="15" t="n">
        <v>0.4195</v>
      </c>
      <c r="K3885" s="11" t="str">
        <f aca="false">IF(I3885&lt;J3885,"TAK","NIE")</f>
        <v>NIE</v>
      </c>
    </row>
    <row r="3886" customFormat="false" ht="15" hidden="false" customHeight="false" outlineLevel="0" collapsed="false">
      <c r="A3886" s="5" t="s">
        <v>767</v>
      </c>
      <c r="B3886" s="5" t="s">
        <v>101</v>
      </c>
      <c r="C3886" s="5" t="n">
        <v>2023</v>
      </c>
      <c r="D3886" s="5" t="s">
        <v>99</v>
      </c>
      <c r="E3886" s="5" t="s">
        <v>89</v>
      </c>
      <c r="F3886" s="5" t="s">
        <v>39</v>
      </c>
      <c r="G3886" s="6" t="n">
        <v>536</v>
      </c>
      <c r="H3886" s="6" t="n">
        <v>29</v>
      </c>
      <c r="I3886" s="7" t="n">
        <f aca="false">(G3886-H3886)/G3886</f>
        <v>0.94589552238806</v>
      </c>
      <c r="J3886" s="15" t="n">
        <v>0.4195</v>
      </c>
      <c r="K3886" s="11" t="str">
        <f aca="false">IF(I3886&lt;J3886,"TAK","NIE")</f>
        <v>NIE</v>
      </c>
    </row>
    <row r="3887" customFormat="false" ht="15" hidden="false" customHeight="false" outlineLevel="0" collapsed="false">
      <c r="A3887" s="5" t="s">
        <v>764</v>
      </c>
      <c r="B3887" s="5" t="s">
        <v>101</v>
      </c>
      <c r="C3887" s="5" t="n">
        <v>2023</v>
      </c>
      <c r="D3887" s="5" t="s">
        <v>99</v>
      </c>
      <c r="E3887" s="5" t="s">
        <v>89</v>
      </c>
      <c r="F3887" s="5" t="s">
        <v>39</v>
      </c>
      <c r="G3887" s="6" t="n">
        <v>542</v>
      </c>
      <c r="H3887" s="6" t="n">
        <v>64</v>
      </c>
      <c r="I3887" s="7" t="n">
        <f aca="false">(G3887-H3887)/G3887</f>
        <v>0.881918819188192</v>
      </c>
      <c r="J3887" s="15" t="n">
        <v>0.4195</v>
      </c>
      <c r="K3887" s="11" t="str">
        <f aca="false">IF(I3887&lt;J3887,"TAK","NIE")</f>
        <v>NIE</v>
      </c>
    </row>
    <row r="3888" customFormat="false" ht="15" hidden="false" customHeight="false" outlineLevel="0" collapsed="false">
      <c r="A3888" s="5" t="s">
        <v>765</v>
      </c>
      <c r="B3888" s="5" t="s">
        <v>101</v>
      </c>
      <c r="C3888" s="5" t="n">
        <v>2023</v>
      </c>
      <c r="D3888" s="5" t="s">
        <v>99</v>
      </c>
      <c r="E3888" s="5" t="s">
        <v>89</v>
      </c>
      <c r="F3888" s="5" t="s">
        <v>39</v>
      </c>
      <c r="G3888" s="6" t="n">
        <v>543</v>
      </c>
      <c r="H3888" s="6" t="n">
        <v>128</v>
      </c>
      <c r="I3888" s="7" t="n">
        <f aca="false">(G3888-H3888)/G3888</f>
        <v>0.76427255985267</v>
      </c>
      <c r="J3888" s="15" t="n">
        <v>0.4195</v>
      </c>
      <c r="K3888" s="11" t="str">
        <f aca="false">IF(I3888&lt;J3888,"TAK","NIE")</f>
        <v>NIE</v>
      </c>
    </row>
    <row r="3889" customFormat="false" ht="15" hidden="false" customHeight="false" outlineLevel="0" collapsed="false">
      <c r="A3889" s="5" t="s">
        <v>766</v>
      </c>
      <c r="B3889" s="5" t="s">
        <v>101</v>
      </c>
      <c r="C3889" s="5" t="n">
        <v>2023</v>
      </c>
      <c r="D3889" s="5" t="s">
        <v>99</v>
      </c>
      <c r="E3889" s="5" t="s">
        <v>89</v>
      </c>
      <c r="F3889" s="5" t="s">
        <v>39</v>
      </c>
      <c r="G3889" s="6" t="n">
        <v>542</v>
      </c>
      <c r="H3889" s="6" t="n">
        <v>143</v>
      </c>
      <c r="I3889" s="7" t="n">
        <f aca="false">(G3889-H3889)/G3889</f>
        <v>0.736162361623616</v>
      </c>
      <c r="J3889" s="15" t="n">
        <v>0.4195</v>
      </c>
      <c r="K3889" s="11" t="str">
        <f aca="false">IF(I3889&lt;J3889,"TAK","NIE")</f>
        <v>NIE</v>
      </c>
    </row>
    <row r="3890" customFormat="false" ht="15" hidden="false" customHeight="false" outlineLevel="0" collapsed="false">
      <c r="A3890" s="5" t="s">
        <v>743</v>
      </c>
      <c r="B3890" s="5" t="s">
        <v>101</v>
      </c>
      <c r="C3890" s="5" t="n">
        <v>2023</v>
      </c>
      <c r="D3890" s="5" t="s">
        <v>99</v>
      </c>
      <c r="E3890" s="5" t="s">
        <v>89</v>
      </c>
      <c r="F3890" s="5" t="s">
        <v>40</v>
      </c>
      <c r="G3890" s="6" t="n">
        <v>733</v>
      </c>
      <c r="H3890" s="6" t="n">
        <v>414</v>
      </c>
      <c r="I3890" s="7" t="n">
        <f aca="false">(G3890-H3890)/G3890</f>
        <v>0.435197817189632</v>
      </c>
      <c r="J3890" s="15" t="n">
        <v>0.3136</v>
      </c>
      <c r="K3890" s="11" t="str">
        <f aca="false">IF(I3890&lt;J3890,"TAK","NIE")</f>
        <v>NIE</v>
      </c>
    </row>
    <row r="3891" customFormat="false" ht="15" hidden="false" customHeight="false" outlineLevel="0" collapsed="false">
      <c r="A3891" s="5" t="s">
        <v>744</v>
      </c>
      <c r="B3891" s="5" t="s">
        <v>101</v>
      </c>
      <c r="C3891" s="5" t="n">
        <v>2023</v>
      </c>
      <c r="D3891" s="5" t="s">
        <v>99</v>
      </c>
      <c r="E3891" s="5" t="s">
        <v>89</v>
      </c>
      <c r="F3891" s="5" t="s">
        <v>40</v>
      </c>
      <c r="G3891" s="6" t="n">
        <v>736</v>
      </c>
      <c r="H3891" s="6" t="n">
        <v>370</v>
      </c>
      <c r="I3891" s="7" t="n">
        <f aca="false">(G3891-H3891)/G3891</f>
        <v>0.497282608695652</v>
      </c>
      <c r="J3891" s="15" t="n">
        <v>0.3136</v>
      </c>
      <c r="K3891" s="11" t="str">
        <f aca="false">IF(I3891&lt;J3891,"TAK","NIE")</f>
        <v>NIE</v>
      </c>
    </row>
    <row r="3892" customFormat="false" ht="15" hidden="false" customHeight="false" outlineLevel="0" collapsed="false">
      <c r="A3892" s="5" t="s">
        <v>745</v>
      </c>
      <c r="B3892" s="5" t="s">
        <v>101</v>
      </c>
      <c r="C3892" s="5" t="n">
        <v>2023</v>
      </c>
      <c r="D3892" s="5" t="s">
        <v>99</v>
      </c>
      <c r="E3892" s="5" t="s">
        <v>89</v>
      </c>
      <c r="F3892" s="5" t="s">
        <v>40</v>
      </c>
      <c r="G3892" s="6" t="n">
        <v>718</v>
      </c>
      <c r="H3892" s="6" t="n">
        <v>370</v>
      </c>
      <c r="I3892" s="7" t="n">
        <f aca="false">(G3892-H3892)/G3892</f>
        <v>0.484679665738162</v>
      </c>
      <c r="J3892" s="15" t="n">
        <v>0.3136</v>
      </c>
      <c r="K3892" s="11" t="str">
        <f aca="false">IF(I3892&lt;J3892,"TAK","NIE")</f>
        <v>NIE</v>
      </c>
    </row>
    <row r="3893" customFormat="false" ht="15" hidden="false" customHeight="false" outlineLevel="0" collapsed="false">
      <c r="A3893" s="5" t="s">
        <v>746</v>
      </c>
      <c r="B3893" s="5" t="s">
        <v>101</v>
      </c>
      <c r="C3893" s="5" t="n">
        <v>2023</v>
      </c>
      <c r="D3893" s="5" t="s">
        <v>99</v>
      </c>
      <c r="E3893" s="5" t="s">
        <v>89</v>
      </c>
      <c r="F3893" s="5" t="s">
        <v>40</v>
      </c>
      <c r="G3893" s="6" t="n">
        <v>723</v>
      </c>
      <c r="H3893" s="6" t="n">
        <v>353</v>
      </c>
      <c r="I3893" s="7" t="n">
        <f aca="false">(G3893-H3893)/G3893</f>
        <v>0.511756569847856</v>
      </c>
      <c r="J3893" s="15" t="n">
        <v>0.3136</v>
      </c>
      <c r="K3893" s="11" t="str">
        <f aca="false">IF(I3893&lt;J3893,"TAK","NIE")</f>
        <v>NIE</v>
      </c>
    </row>
    <row r="3894" customFormat="false" ht="15" hidden="false" customHeight="false" outlineLevel="0" collapsed="false">
      <c r="A3894" s="5" t="s">
        <v>747</v>
      </c>
      <c r="B3894" s="5" t="s">
        <v>101</v>
      </c>
      <c r="C3894" s="5" t="n">
        <v>2023</v>
      </c>
      <c r="D3894" s="5" t="s">
        <v>99</v>
      </c>
      <c r="E3894" s="5" t="s">
        <v>89</v>
      </c>
      <c r="F3894" s="5" t="s">
        <v>40</v>
      </c>
      <c r="G3894" s="6" t="n">
        <v>715</v>
      </c>
      <c r="H3894" s="6" t="n">
        <v>203</v>
      </c>
      <c r="I3894" s="7" t="n">
        <f aca="false">(G3894-H3894)/G3894</f>
        <v>0.716083916083916</v>
      </c>
      <c r="J3894" s="15" t="n">
        <v>0.3136</v>
      </c>
      <c r="K3894" s="11" t="str">
        <f aca="false">IF(I3894&lt;J3894,"TAK","NIE")</f>
        <v>NIE</v>
      </c>
    </row>
    <row r="3895" customFormat="false" ht="15" hidden="false" customHeight="false" outlineLevel="0" collapsed="false">
      <c r="A3895" s="5" t="s">
        <v>748</v>
      </c>
      <c r="B3895" s="5" t="s">
        <v>101</v>
      </c>
      <c r="C3895" s="5" t="n">
        <v>2023</v>
      </c>
      <c r="D3895" s="5" t="s">
        <v>99</v>
      </c>
      <c r="E3895" s="5" t="s">
        <v>89</v>
      </c>
      <c r="F3895" s="5" t="s">
        <v>40</v>
      </c>
      <c r="G3895" s="6" t="n">
        <v>736</v>
      </c>
      <c r="H3895" s="6" t="n">
        <v>313</v>
      </c>
      <c r="I3895" s="7" t="n">
        <f aca="false">(G3895-H3895)/G3895</f>
        <v>0.574728260869565</v>
      </c>
      <c r="J3895" s="15" t="n">
        <v>0.3136</v>
      </c>
      <c r="K3895" s="11" t="str">
        <f aca="false">IF(I3895&lt;J3895,"TAK","NIE")</f>
        <v>NIE</v>
      </c>
    </row>
    <row r="3896" customFormat="false" ht="15" hidden="false" customHeight="false" outlineLevel="0" collapsed="false">
      <c r="A3896" s="5" t="s">
        <v>749</v>
      </c>
      <c r="B3896" s="5" t="s">
        <v>101</v>
      </c>
      <c r="C3896" s="5" t="n">
        <v>2023</v>
      </c>
      <c r="D3896" s="5" t="s">
        <v>99</v>
      </c>
      <c r="E3896" s="5" t="s">
        <v>89</v>
      </c>
      <c r="F3896" s="5" t="s">
        <v>40</v>
      </c>
      <c r="G3896" s="6" t="n">
        <v>733</v>
      </c>
      <c r="H3896" s="6" t="n">
        <v>322</v>
      </c>
      <c r="I3896" s="7" t="n">
        <f aca="false">(G3896-H3896)/G3896</f>
        <v>0.560709413369714</v>
      </c>
      <c r="J3896" s="15" t="n">
        <v>0.3136</v>
      </c>
      <c r="K3896" s="11" t="str">
        <f aca="false">IF(I3896&lt;J3896,"TAK","NIE")</f>
        <v>NIE</v>
      </c>
    </row>
    <row r="3897" customFormat="false" ht="15" hidden="false" customHeight="false" outlineLevel="0" collapsed="false">
      <c r="A3897" s="5" t="s">
        <v>750</v>
      </c>
      <c r="B3897" s="5" t="s">
        <v>101</v>
      </c>
      <c r="C3897" s="5" t="n">
        <v>2023</v>
      </c>
      <c r="D3897" s="5" t="s">
        <v>99</v>
      </c>
      <c r="E3897" s="5" t="s">
        <v>89</v>
      </c>
      <c r="F3897" s="5" t="s">
        <v>40</v>
      </c>
      <c r="G3897" s="6" t="n">
        <v>733</v>
      </c>
      <c r="H3897" s="6" t="n">
        <v>266</v>
      </c>
      <c r="I3897" s="7" t="n">
        <f aca="false">(G3897-H3897)/G3897</f>
        <v>0.637107776261937</v>
      </c>
      <c r="J3897" s="15" t="n">
        <v>0.3136</v>
      </c>
      <c r="K3897" s="11" t="str">
        <f aca="false">IF(I3897&lt;J3897,"TAK","NIE")</f>
        <v>NIE</v>
      </c>
    </row>
    <row r="3898" customFormat="false" ht="15" hidden="false" customHeight="false" outlineLevel="0" collapsed="false">
      <c r="A3898" s="5" t="s">
        <v>751</v>
      </c>
      <c r="B3898" s="5" t="s">
        <v>101</v>
      </c>
      <c r="C3898" s="5" t="n">
        <v>2023</v>
      </c>
      <c r="D3898" s="5" t="s">
        <v>99</v>
      </c>
      <c r="E3898" s="5" t="s">
        <v>89</v>
      </c>
      <c r="F3898" s="5" t="s">
        <v>40</v>
      </c>
      <c r="G3898" s="6" t="n">
        <v>733</v>
      </c>
      <c r="H3898" s="6" t="n">
        <v>212</v>
      </c>
      <c r="I3898" s="7" t="n">
        <f aca="false">(G3898-H3898)/G3898</f>
        <v>0.710777626193724</v>
      </c>
      <c r="J3898" s="15" t="n">
        <v>0.3136</v>
      </c>
      <c r="K3898" s="11" t="str">
        <f aca="false">IF(I3898&lt;J3898,"TAK","NIE")</f>
        <v>NIE</v>
      </c>
    </row>
    <row r="3899" customFormat="false" ht="15" hidden="false" customHeight="false" outlineLevel="0" collapsed="false">
      <c r="A3899" s="5" t="s">
        <v>752</v>
      </c>
      <c r="B3899" s="5" t="s">
        <v>101</v>
      </c>
      <c r="C3899" s="5" t="n">
        <v>2023</v>
      </c>
      <c r="D3899" s="5" t="s">
        <v>99</v>
      </c>
      <c r="E3899" s="5" t="s">
        <v>89</v>
      </c>
      <c r="F3899" s="5" t="s">
        <v>40</v>
      </c>
      <c r="G3899" s="6" t="n">
        <v>736</v>
      </c>
      <c r="H3899" s="6" t="n">
        <v>327</v>
      </c>
      <c r="I3899" s="7" t="n">
        <f aca="false">(G3899-H3899)/G3899</f>
        <v>0.555706521739131</v>
      </c>
      <c r="J3899" s="15" t="n">
        <v>0.3136</v>
      </c>
      <c r="K3899" s="11" t="str">
        <f aca="false">IF(I3899&lt;J3899,"TAK","NIE")</f>
        <v>NIE</v>
      </c>
    </row>
    <row r="3900" customFormat="false" ht="15" hidden="false" customHeight="false" outlineLevel="0" collapsed="false">
      <c r="A3900" s="5" t="s">
        <v>753</v>
      </c>
      <c r="B3900" s="5" t="s">
        <v>101</v>
      </c>
      <c r="C3900" s="5" t="n">
        <v>2023</v>
      </c>
      <c r="D3900" s="5" t="s">
        <v>99</v>
      </c>
      <c r="E3900" s="5" t="s">
        <v>89</v>
      </c>
      <c r="F3900" s="5" t="s">
        <v>40</v>
      </c>
      <c r="G3900" s="6" t="n">
        <v>736</v>
      </c>
      <c r="H3900" s="6" t="n">
        <v>348</v>
      </c>
      <c r="I3900" s="7" t="n">
        <f aca="false">(G3900-H3900)/G3900</f>
        <v>0.527173913043478</v>
      </c>
      <c r="J3900" s="15" t="n">
        <v>0.3136</v>
      </c>
      <c r="K3900" s="11" t="str">
        <f aca="false">IF(I3900&lt;J3900,"TAK","NIE")</f>
        <v>NIE</v>
      </c>
    </row>
    <row r="3901" customFormat="false" ht="15" hidden="false" customHeight="false" outlineLevel="0" collapsed="false">
      <c r="A3901" s="5" t="s">
        <v>754</v>
      </c>
      <c r="B3901" s="5" t="s">
        <v>101</v>
      </c>
      <c r="C3901" s="5" t="n">
        <v>2023</v>
      </c>
      <c r="D3901" s="5" t="s">
        <v>99</v>
      </c>
      <c r="E3901" s="5" t="s">
        <v>89</v>
      </c>
      <c r="F3901" s="5" t="s">
        <v>40</v>
      </c>
      <c r="G3901" s="6" t="n">
        <v>494</v>
      </c>
      <c r="H3901" s="6" t="n">
        <v>443</v>
      </c>
      <c r="I3901" s="7" t="n">
        <f aca="false">(G3901-H3901)/G3901</f>
        <v>0.103238866396761</v>
      </c>
      <c r="J3901" s="15" t="n">
        <v>0.3136</v>
      </c>
      <c r="K3901" s="11" t="str">
        <f aca="false">IF(I3901&lt;J3901,"TAK","NIE")</f>
        <v>TAK</v>
      </c>
    </row>
    <row r="3902" customFormat="false" ht="15" hidden="false" customHeight="false" outlineLevel="0" collapsed="false">
      <c r="A3902" s="5" t="s">
        <v>756</v>
      </c>
      <c r="B3902" s="5" t="s">
        <v>101</v>
      </c>
      <c r="C3902" s="5" t="n">
        <v>2023</v>
      </c>
      <c r="D3902" s="5" t="s">
        <v>99</v>
      </c>
      <c r="E3902" s="5" t="s">
        <v>89</v>
      </c>
      <c r="F3902" s="5" t="s">
        <v>40</v>
      </c>
      <c r="G3902" s="6" t="n">
        <v>736</v>
      </c>
      <c r="H3902" s="6" t="n">
        <v>252</v>
      </c>
      <c r="I3902" s="7" t="n">
        <f aca="false">(G3902-H3902)/G3902</f>
        <v>0.657608695652174</v>
      </c>
      <c r="J3902" s="15" t="n">
        <v>0.3136</v>
      </c>
      <c r="K3902" s="11" t="str">
        <f aca="false">IF(I3902&lt;J3902,"TAK","NIE")</f>
        <v>NIE</v>
      </c>
    </row>
    <row r="3903" customFormat="false" ht="15" hidden="false" customHeight="false" outlineLevel="0" collapsed="false">
      <c r="A3903" s="5" t="s">
        <v>757</v>
      </c>
      <c r="B3903" s="5" t="s">
        <v>101</v>
      </c>
      <c r="C3903" s="5" t="n">
        <v>2023</v>
      </c>
      <c r="D3903" s="5" t="s">
        <v>99</v>
      </c>
      <c r="E3903" s="5" t="s">
        <v>89</v>
      </c>
      <c r="F3903" s="5" t="s">
        <v>40</v>
      </c>
      <c r="G3903" s="6" t="n">
        <v>715</v>
      </c>
      <c r="H3903" s="6" t="n">
        <v>305</v>
      </c>
      <c r="I3903" s="7" t="n">
        <f aca="false">(G3903-H3903)/G3903</f>
        <v>0.573426573426573</v>
      </c>
      <c r="J3903" s="15" t="n">
        <v>0.3136</v>
      </c>
      <c r="K3903" s="11" t="str">
        <f aca="false">IF(I3903&lt;J3903,"TAK","NIE")</f>
        <v>NIE</v>
      </c>
    </row>
    <row r="3904" customFormat="false" ht="15" hidden="false" customHeight="false" outlineLevel="0" collapsed="false">
      <c r="A3904" s="5" t="s">
        <v>758</v>
      </c>
      <c r="B3904" s="5" t="s">
        <v>101</v>
      </c>
      <c r="C3904" s="5" t="n">
        <v>2023</v>
      </c>
      <c r="D3904" s="5" t="s">
        <v>99</v>
      </c>
      <c r="E3904" s="5" t="s">
        <v>89</v>
      </c>
      <c r="F3904" s="5" t="s">
        <v>40</v>
      </c>
      <c r="G3904" s="6" t="n">
        <v>736</v>
      </c>
      <c r="H3904" s="6" t="n">
        <v>304</v>
      </c>
      <c r="I3904" s="7" t="n">
        <f aca="false">(G3904-H3904)/G3904</f>
        <v>0.586956521739131</v>
      </c>
      <c r="J3904" s="15" t="n">
        <v>0.3136</v>
      </c>
      <c r="K3904" s="11" t="str">
        <f aca="false">IF(I3904&lt;J3904,"TAK","NIE")</f>
        <v>NIE</v>
      </c>
    </row>
    <row r="3905" customFormat="false" ht="15" hidden="false" customHeight="false" outlineLevel="0" collapsed="false">
      <c r="A3905" s="5" t="s">
        <v>759</v>
      </c>
      <c r="B3905" s="5" t="s">
        <v>101</v>
      </c>
      <c r="C3905" s="5" t="n">
        <v>2023</v>
      </c>
      <c r="D3905" s="5" t="s">
        <v>99</v>
      </c>
      <c r="E3905" s="5" t="s">
        <v>89</v>
      </c>
      <c r="F3905" s="5" t="s">
        <v>40</v>
      </c>
      <c r="G3905" s="6" t="n">
        <v>736</v>
      </c>
      <c r="H3905" s="6" t="n">
        <v>229</v>
      </c>
      <c r="I3905" s="7" t="n">
        <f aca="false">(G3905-H3905)/G3905</f>
        <v>0.688858695652174</v>
      </c>
      <c r="J3905" s="15" t="n">
        <v>0.3136</v>
      </c>
      <c r="K3905" s="11" t="str">
        <f aca="false">IF(I3905&lt;J3905,"TAK","NIE")</f>
        <v>NIE</v>
      </c>
    </row>
    <row r="3906" customFormat="false" ht="15" hidden="false" customHeight="false" outlineLevel="0" collapsed="false">
      <c r="A3906" s="5" t="s">
        <v>760</v>
      </c>
      <c r="B3906" s="5" t="s">
        <v>101</v>
      </c>
      <c r="C3906" s="5" t="n">
        <v>2023</v>
      </c>
      <c r="D3906" s="5" t="s">
        <v>99</v>
      </c>
      <c r="E3906" s="5" t="s">
        <v>89</v>
      </c>
      <c r="F3906" s="5" t="s">
        <v>40</v>
      </c>
      <c r="G3906" s="6" t="n">
        <v>733</v>
      </c>
      <c r="H3906" s="6" t="n">
        <v>263</v>
      </c>
      <c r="I3906" s="7" t="n">
        <f aca="false">(G3906-H3906)/G3906</f>
        <v>0.641200545702592</v>
      </c>
      <c r="J3906" s="15" t="n">
        <v>0.3136</v>
      </c>
      <c r="K3906" s="11" t="str">
        <f aca="false">IF(I3906&lt;J3906,"TAK","NIE")</f>
        <v>NIE</v>
      </c>
    </row>
    <row r="3907" customFormat="false" ht="15" hidden="false" customHeight="false" outlineLevel="0" collapsed="false">
      <c r="A3907" s="5" t="s">
        <v>761</v>
      </c>
      <c r="B3907" s="5" t="s">
        <v>101</v>
      </c>
      <c r="C3907" s="5" t="n">
        <v>2023</v>
      </c>
      <c r="D3907" s="5" t="s">
        <v>99</v>
      </c>
      <c r="E3907" s="5" t="s">
        <v>89</v>
      </c>
      <c r="F3907" s="5" t="s">
        <v>40</v>
      </c>
      <c r="G3907" s="6" t="n">
        <v>733</v>
      </c>
      <c r="H3907" s="6" t="n">
        <v>313</v>
      </c>
      <c r="I3907" s="7" t="n">
        <f aca="false">(G3907-H3907)/G3907</f>
        <v>0.572987721691678</v>
      </c>
      <c r="J3907" s="15" t="n">
        <v>0.3136</v>
      </c>
      <c r="K3907" s="11" t="str">
        <f aca="false">IF(I3907&lt;J3907,"TAK","NIE")</f>
        <v>NIE</v>
      </c>
    </row>
    <row r="3908" customFormat="false" ht="15" hidden="false" customHeight="false" outlineLevel="0" collapsed="false">
      <c r="A3908" s="5" t="s">
        <v>762</v>
      </c>
      <c r="B3908" s="5" t="s">
        <v>101</v>
      </c>
      <c r="C3908" s="5" t="n">
        <v>2023</v>
      </c>
      <c r="D3908" s="5" t="s">
        <v>99</v>
      </c>
      <c r="E3908" s="5" t="s">
        <v>89</v>
      </c>
      <c r="F3908" s="5" t="s">
        <v>40</v>
      </c>
      <c r="G3908" s="6" t="n">
        <v>733</v>
      </c>
      <c r="H3908" s="6" t="n">
        <v>299</v>
      </c>
      <c r="I3908" s="7" t="n">
        <f aca="false">(G3908-H3908)/G3908</f>
        <v>0.592087312414734</v>
      </c>
      <c r="J3908" s="15" t="n">
        <v>0.3136</v>
      </c>
      <c r="K3908" s="11" t="str">
        <f aca="false">IF(I3908&lt;J3908,"TAK","NIE")</f>
        <v>NIE</v>
      </c>
    </row>
    <row r="3909" customFormat="false" ht="15" hidden="false" customHeight="false" outlineLevel="0" collapsed="false">
      <c r="A3909" s="5" t="s">
        <v>763</v>
      </c>
      <c r="B3909" s="5" t="s">
        <v>101</v>
      </c>
      <c r="C3909" s="5" t="n">
        <v>2023</v>
      </c>
      <c r="D3909" s="5" t="s">
        <v>99</v>
      </c>
      <c r="E3909" s="5" t="s">
        <v>89</v>
      </c>
      <c r="F3909" s="5" t="s">
        <v>40</v>
      </c>
      <c r="G3909" s="6" t="n">
        <v>733</v>
      </c>
      <c r="H3909" s="6" t="n">
        <v>466</v>
      </c>
      <c r="I3909" s="7" t="n">
        <f aca="false">(G3909-H3909)/G3909</f>
        <v>0.364256480218281</v>
      </c>
      <c r="J3909" s="15" t="n">
        <v>0.3136</v>
      </c>
      <c r="K3909" s="11" t="str">
        <f aca="false">IF(I3909&lt;J3909,"TAK","NIE")</f>
        <v>NIE</v>
      </c>
    </row>
    <row r="3910" customFormat="false" ht="15" hidden="false" customHeight="false" outlineLevel="0" collapsed="false">
      <c r="A3910" s="5" t="s">
        <v>767</v>
      </c>
      <c r="B3910" s="5" t="s">
        <v>101</v>
      </c>
      <c r="C3910" s="5" t="n">
        <v>2023</v>
      </c>
      <c r="D3910" s="5" t="s">
        <v>99</v>
      </c>
      <c r="E3910" s="5" t="s">
        <v>89</v>
      </c>
      <c r="F3910" s="5" t="s">
        <v>40</v>
      </c>
      <c r="G3910" s="6" t="n">
        <v>732</v>
      </c>
      <c r="H3910" s="6" t="n">
        <v>202</v>
      </c>
      <c r="I3910" s="7" t="n">
        <f aca="false">(G3910-H3910)/G3910</f>
        <v>0.724043715846995</v>
      </c>
      <c r="J3910" s="15" t="n">
        <v>0.3136</v>
      </c>
      <c r="K3910" s="11" t="str">
        <f aca="false">IF(I3910&lt;J3910,"TAK","NIE")</f>
        <v>NIE</v>
      </c>
    </row>
    <row r="3911" customFormat="false" ht="15" hidden="false" customHeight="false" outlineLevel="0" collapsed="false">
      <c r="A3911" s="5" t="s">
        <v>764</v>
      </c>
      <c r="B3911" s="5" t="s">
        <v>101</v>
      </c>
      <c r="C3911" s="5" t="n">
        <v>2023</v>
      </c>
      <c r="D3911" s="5" t="s">
        <v>99</v>
      </c>
      <c r="E3911" s="5" t="s">
        <v>89</v>
      </c>
      <c r="F3911" s="5" t="s">
        <v>40</v>
      </c>
      <c r="G3911" s="6" t="n">
        <v>733</v>
      </c>
      <c r="H3911" s="6" t="n">
        <v>295</v>
      </c>
      <c r="I3911" s="7" t="n">
        <f aca="false">(G3911-H3911)/G3911</f>
        <v>0.597544338335607</v>
      </c>
      <c r="J3911" s="15" t="n">
        <v>0.3136</v>
      </c>
      <c r="K3911" s="11" t="str">
        <f aca="false">IF(I3911&lt;J3911,"TAK","NIE")</f>
        <v>NIE</v>
      </c>
    </row>
    <row r="3912" customFormat="false" ht="15" hidden="false" customHeight="false" outlineLevel="0" collapsed="false">
      <c r="A3912" s="5" t="s">
        <v>765</v>
      </c>
      <c r="B3912" s="5" t="s">
        <v>101</v>
      </c>
      <c r="C3912" s="5" t="n">
        <v>2023</v>
      </c>
      <c r="D3912" s="5" t="s">
        <v>99</v>
      </c>
      <c r="E3912" s="5" t="s">
        <v>89</v>
      </c>
      <c r="F3912" s="5" t="s">
        <v>40</v>
      </c>
      <c r="G3912" s="6" t="n">
        <v>736</v>
      </c>
      <c r="H3912" s="6" t="n">
        <v>351</v>
      </c>
      <c r="I3912" s="7" t="n">
        <f aca="false">(G3912-H3912)/G3912</f>
        <v>0.523097826086957</v>
      </c>
      <c r="J3912" s="15" t="n">
        <v>0.3136</v>
      </c>
      <c r="K3912" s="11" t="str">
        <f aca="false">IF(I3912&lt;J3912,"TAK","NIE")</f>
        <v>NIE</v>
      </c>
    </row>
    <row r="3913" customFormat="false" ht="15" hidden="false" customHeight="false" outlineLevel="0" collapsed="false">
      <c r="A3913" s="5" t="s">
        <v>766</v>
      </c>
      <c r="B3913" s="5" t="s">
        <v>101</v>
      </c>
      <c r="C3913" s="5" t="n">
        <v>2023</v>
      </c>
      <c r="D3913" s="5" t="s">
        <v>99</v>
      </c>
      <c r="E3913" s="5" t="s">
        <v>89</v>
      </c>
      <c r="F3913" s="5" t="s">
        <v>40</v>
      </c>
      <c r="G3913" s="6" t="n">
        <v>733</v>
      </c>
      <c r="H3913" s="6" t="n">
        <v>441</v>
      </c>
      <c r="I3913" s="7" t="n">
        <f aca="false">(G3913-H3913)/G3913</f>
        <v>0.398362892223738</v>
      </c>
      <c r="J3913" s="15" t="n">
        <v>0.3136</v>
      </c>
      <c r="K3913" s="11" t="str">
        <f aca="false">IF(I3913&lt;J3913,"TAK","NIE")</f>
        <v>NIE</v>
      </c>
    </row>
    <row r="3914" customFormat="false" ht="15" hidden="false" customHeight="false" outlineLevel="0" collapsed="false">
      <c r="A3914" s="5" t="s">
        <v>768</v>
      </c>
      <c r="B3914" s="5" t="s">
        <v>102</v>
      </c>
      <c r="C3914" s="5" t="n">
        <v>2023</v>
      </c>
      <c r="D3914" s="5" t="s">
        <v>42</v>
      </c>
      <c r="E3914" s="5" t="s">
        <v>57</v>
      </c>
      <c r="F3914" s="5" t="s">
        <v>39</v>
      </c>
      <c r="G3914" s="6" t="n">
        <v>642</v>
      </c>
      <c r="H3914" s="6" t="n">
        <v>109</v>
      </c>
      <c r="I3914" s="7" t="n">
        <f aca="false">(G3914-H3914)/G3914</f>
        <v>0.830218068535826</v>
      </c>
      <c r="J3914" s="15" t="n">
        <v>0.673</v>
      </c>
      <c r="K3914" s="11" t="str">
        <f aca="false">IF(I3914&lt;J3914,"TAK","NIE")</f>
        <v>NIE</v>
      </c>
    </row>
    <row r="3915" customFormat="false" ht="15" hidden="false" customHeight="false" outlineLevel="0" collapsed="false">
      <c r="A3915" s="5" t="s">
        <v>769</v>
      </c>
      <c r="B3915" s="5" t="s">
        <v>102</v>
      </c>
      <c r="C3915" s="5" t="n">
        <v>2023</v>
      </c>
      <c r="D3915" s="5" t="s">
        <v>42</v>
      </c>
      <c r="E3915" s="5" t="s">
        <v>57</v>
      </c>
      <c r="F3915" s="5" t="s">
        <v>39</v>
      </c>
      <c r="G3915" s="6" t="n">
        <v>642</v>
      </c>
      <c r="H3915" s="6" t="n">
        <v>52</v>
      </c>
      <c r="I3915" s="7" t="n">
        <f aca="false">(G3915-H3915)/G3915</f>
        <v>0.919003115264798</v>
      </c>
      <c r="J3915" s="15" t="n">
        <v>0.673</v>
      </c>
      <c r="K3915" s="11" t="str">
        <f aca="false">IF(I3915&lt;J3915,"TAK","NIE")</f>
        <v>NIE</v>
      </c>
    </row>
    <row r="3916" customFormat="false" ht="15" hidden="false" customHeight="false" outlineLevel="0" collapsed="false">
      <c r="A3916" s="5" t="s">
        <v>770</v>
      </c>
      <c r="B3916" s="5" t="s">
        <v>102</v>
      </c>
      <c r="C3916" s="5" t="n">
        <v>2023</v>
      </c>
      <c r="D3916" s="5" t="s">
        <v>42</v>
      </c>
      <c r="E3916" s="5" t="s">
        <v>57</v>
      </c>
      <c r="F3916" s="5" t="s">
        <v>39</v>
      </c>
      <c r="G3916" s="6" t="n">
        <v>642</v>
      </c>
      <c r="H3916" s="6" t="n">
        <v>112</v>
      </c>
      <c r="I3916" s="7" t="n">
        <f aca="false">(G3916-H3916)/G3916</f>
        <v>0.825545171339564</v>
      </c>
      <c r="J3916" s="15" t="n">
        <v>0.673</v>
      </c>
      <c r="K3916" s="11" t="str">
        <f aca="false">IF(I3916&lt;J3916,"TAK","NIE")</f>
        <v>NIE</v>
      </c>
    </row>
    <row r="3917" customFormat="false" ht="15" hidden="false" customHeight="false" outlineLevel="0" collapsed="false">
      <c r="A3917" s="5" t="s">
        <v>771</v>
      </c>
      <c r="B3917" s="5" t="s">
        <v>102</v>
      </c>
      <c r="C3917" s="5" t="n">
        <v>2023</v>
      </c>
      <c r="D3917" s="5" t="s">
        <v>42</v>
      </c>
      <c r="E3917" s="5" t="s">
        <v>57</v>
      </c>
      <c r="F3917" s="5" t="s">
        <v>39</v>
      </c>
      <c r="G3917" s="6" t="n">
        <v>642</v>
      </c>
      <c r="H3917" s="6" t="n">
        <v>94</v>
      </c>
      <c r="I3917" s="7" t="n">
        <f aca="false">(G3917-H3917)/G3917</f>
        <v>0.853582554517134</v>
      </c>
      <c r="J3917" s="15" t="n">
        <v>0.673</v>
      </c>
      <c r="K3917" s="11" t="str">
        <f aca="false">IF(I3917&lt;J3917,"TAK","NIE")</f>
        <v>NIE</v>
      </c>
    </row>
    <row r="3918" customFormat="false" ht="15" hidden="false" customHeight="false" outlineLevel="0" collapsed="false">
      <c r="A3918" s="5" t="s">
        <v>772</v>
      </c>
      <c r="B3918" s="5" t="s">
        <v>102</v>
      </c>
      <c r="C3918" s="5" t="n">
        <v>2023</v>
      </c>
      <c r="D3918" s="5" t="s">
        <v>42</v>
      </c>
      <c r="E3918" s="5" t="s">
        <v>57</v>
      </c>
      <c r="F3918" s="5" t="s">
        <v>39</v>
      </c>
      <c r="G3918" s="6" t="n">
        <v>397</v>
      </c>
      <c r="H3918" s="6" t="n">
        <v>100</v>
      </c>
      <c r="I3918" s="7" t="n">
        <f aca="false">(G3918-H3918)/G3918</f>
        <v>0.748110831234257</v>
      </c>
      <c r="J3918" s="15" t="n">
        <v>0.673</v>
      </c>
      <c r="K3918" s="11" t="str">
        <f aca="false">IF(I3918&lt;J3918,"TAK","NIE")</f>
        <v>NIE</v>
      </c>
    </row>
    <row r="3919" customFormat="false" ht="15" hidden="false" customHeight="false" outlineLevel="0" collapsed="false">
      <c r="A3919" s="5" t="s">
        <v>773</v>
      </c>
      <c r="B3919" s="5" t="s">
        <v>102</v>
      </c>
      <c r="C3919" s="5" t="n">
        <v>2023</v>
      </c>
      <c r="D3919" s="5" t="s">
        <v>42</v>
      </c>
      <c r="E3919" s="5" t="s">
        <v>57</v>
      </c>
      <c r="F3919" s="5" t="s">
        <v>39</v>
      </c>
      <c r="G3919" s="6" t="n">
        <v>642</v>
      </c>
      <c r="H3919" s="6" t="n">
        <v>104</v>
      </c>
      <c r="I3919" s="7" t="n">
        <f aca="false">(G3919-H3919)/G3919</f>
        <v>0.838006230529595</v>
      </c>
      <c r="J3919" s="15" t="n">
        <v>0.673</v>
      </c>
      <c r="K3919" s="11" t="str">
        <f aca="false">IF(I3919&lt;J3919,"TAK","NIE")</f>
        <v>NIE</v>
      </c>
    </row>
    <row r="3920" customFormat="false" ht="15" hidden="false" customHeight="false" outlineLevel="0" collapsed="false">
      <c r="A3920" s="5" t="s">
        <v>774</v>
      </c>
      <c r="B3920" s="5" t="s">
        <v>102</v>
      </c>
      <c r="C3920" s="5" t="n">
        <v>2023</v>
      </c>
      <c r="D3920" s="5" t="s">
        <v>42</v>
      </c>
      <c r="E3920" s="5" t="s">
        <v>57</v>
      </c>
      <c r="F3920" s="5" t="s">
        <v>39</v>
      </c>
      <c r="G3920" s="6" t="n">
        <v>642</v>
      </c>
      <c r="H3920" s="6" t="n">
        <v>42</v>
      </c>
      <c r="I3920" s="7" t="n">
        <f aca="false">(G3920-H3920)/G3920</f>
        <v>0.934579439252336</v>
      </c>
      <c r="J3920" s="15" t="n">
        <v>0.673</v>
      </c>
      <c r="K3920" s="11" t="str">
        <f aca="false">IF(I3920&lt;J3920,"TAK","NIE")</f>
        <v>NIE</v>
      </c>
    </row>
    <row r="3921" customFormat="false" ht="15" hidden="false" customHeight="false" outlineLevel="0" collapsed="false">
      <c r="A3921" s="5" t="s">
        <v>775</v>
      </c>
      <c r="B3921" s="5" t="s">
        <v>102</v>
      </c>
      <c r="C3921" s="5" t="n">
        <v>2023</v>
      </c>
      <c r="D3921" s="5" t="s">
        <v>42</v>
      </c>
      <c r="E3921" s="5" t="s">
        <v>57</v>
      </c>
      <c r="F3921" s="5" t="s">
        <v>39</v>
      </c>
      <c r="G3921" s="6" t="n">
        <v>642</v>
      </c>
      <c r="H3921" s="6" t="n">
        <v>255</v>
      </c>
      <c r="I3921" s="7" t="n">
        <f aca="false">(G3921-H3921)/G3921</f>
        <v>0.602803738317757</v>
      </c>
      <c r="J3921" s="15" t="n">
        <v>0.673</v>
      </c>
      <c r="K3921" s="11" t="str">
        <f aca="false">IF(I3921&lt;J3921,"TAK","NIE")</f>
        <v>TAK</v>
      </c>
    </row>
    <row r="3922" customFormat="false" ht="15" hidden="false" customHeight="false" outlineLevel="0" collapsed="false">
      <c r="A3922" s="5" t="s">
        <v>776</v>
      </c>
      <c r="B3922" s="5" t="s">
        <v>102</v>
      </c>
      <c r="C3922" s="5" t="n">
        <v>2023</v>
      </c>
      <c r="D3922" s="5" t="s">
        <v>42</v>
      </c>
      <c r="E3922" s="5" t="s">
        <v>57</v>
      </c>
      <c r="F3922" s="5" t="s">
        <v>39</v>
      </c>
      <c r="G3922" s="6" t="n">
        <v>642</v>
      </c>
      <c r="H3922" s="6" t="n">
        <v>90</v>
      </c>
      <c r="I3922" s="7" t="n">
        <f aca="false">(G3922-H3922)/G3922</f>
        <v>0.85981308411215</v>
      </c>
      <c r="J3922" s="15" t="n">
        <v>0.673</v>
      </c>
      <c r="K3922" s="11" t="str">
        <f aca="false">IF(I3922&lt;J3922,"TAK","NIE")</f>
        <v>NIE</v>
      </c>
    </row>
    <row r="3923" customFormat="false" ht="15" hidden="false" customHeight="false" outlineLevel="0" collapsed="false">
      <c r="A3923" s="5" t="s">
        <v>777</v>
      </c>
      <c r="B3923" s="5" t="s">
        <v>102</v>
      </c>
      <c r="C3923" s="5" t="n">
        <v>2023</v>
      </c>
      <c r="D3923" s="5" t="s">
        <v>42</v>
      </c>
      <c r="E3923" s="5" t="s">
        <v>57</v>
      </c>
      <c r="F3923" s="5" t="s">
        <v>39</v>
      </c>
      <c r="G3923" s="6" t="n">
        <v>642</v>
      </c>
      <c r="H3923" s="6" t="n">
        <v>77</v>
      </c>
      <c r="I3923" s="7" t="n">
        <f aca="false">(G3923-H3923)/G3923</f>
        <v>0.88006230529595</v>
      </c>
      <c r="J3923" s="15" t="n">
        <v>0.673</v>
      </c>
      <c r="K3923" s="11" t="str">
        <f aca="false">IF(I3923&lt;J3923,"TAK","NIE")</f>
        <v>NIE</v>
      </c>
    </row>
    <row r="3924" customFormat="false" ht="15" hidden="false" customHeight="false" outlineLevel="0" collapsed="false">
      <c r="A3924" s="5" t="s">
        <v>778</v>
      </c>
      <c r="B3924" s="5" t="s">
        <v>102</v>
      </c>
      <c r="C3924" s="5" t="n">
        <v>2023</v>
      </c>
      <c r="D3924" s="5" t="s">
        <v>42</v>
      </c>
      <c r="E3924" s="5" t="s">
        <v>57</v>
      </c>
      <c r="F3924" s="5" t="s">
        <v>39</v>
      </c>
      <c r="G3924" s="6" t="n">
        <v>642</v>
      </c>
      <c r="H3924" s="6" t="n">
        <v>39</v>
      </c>
      <c r="I3924" s="7" t="n">
        <f aca="false">(G3924-H3924)/G3924</f>
        <v>0.939252336448598</v>
      </c>
      <c r="J3924" s="15" t="n">
        <v>0.673</v>
      </c>
      <c r="K3924" s="11" t="str">
        <f aca="false">IF(I3924&lt;J3924,"TAK","NIE")</f>
        <v>NIE</v>
      </c>
    </row>
    <row r="3925" customFormat="false" ht="15" hidden="false" customHeight="false" outlineLevel="0" collapsed="false">
      <c r="A3925" s="5" t="s">
        <v>779</v>
      </c>
      <c r="B3925" s="5" t="s">
        <v>102</v>
      </c>
      <c r="C3925" s="5" t="n">
        <v>2023</v>
      </c>
      <c r="D3925" s="5" t="s">
        <v>42</v>
      </c>
      <c r="E3925" s="5" t="s">
        <v>57</v>
      </c>
      <c r="F3925" s="5" t="s">
        <v>39</v>
      </c>
      <c r="G3925" s="6" t="n">
        <v>436</v>
      </c>
      <c r="H3925" s="6" t="n">
        <v>66</v>
      </c>
      <c r="I3925" s="7" t="n">
        <f aca="false">(G3925-H3925)/G3925</f>
        <v>0.848623853211009</v>
      </c>
      <c r="J3925" s="15" t="n">
        <v>0.673</v>
      </c>
      <c r="K3925" s="11" t="str">
        <f aca="false">IF(I3925&lt;J3925,"TAK","NIE")</f>
        <v>NIE</v>
      </c>
    </row>
    <row r="3926" customFormat="false" ht="15" hidden="false" customHeight="false" outlineLevel="0" collapsed="false">
      <c r="A3926" s="5" t="s">
        <v>780</v>
      </c>
      <c r="B3926" s="5" t="s">
        <v>102</v>
      </c>
      <c r="C3926" s="5" t="n">
        <v>2023</v>
      </c>
      <c r="D3926" s="5" t="s">
        <v>42</v>
      </c>
      <c r="E3926" s="5" t="s">
        <v>57</v>
      </c>
      <c r="F3926" s="5" t="s">
        <v>39</v>
      </c>
      <c r="G3926" s="6" t="n">
        <v>639</v>
      </c>
      <c r="H3926" s="6" t="n">
        <v>34</v>
      </c>
      <c r="I3926" s="7" t="n">
        <f aca="false">(G3926-H3926)/G3926</f>
        <v>0.94679186228482</v>
      </c>
      <c r="J3926" s="15" t="n">
        <v>0.673</v>
      </c>
      <c r="K3926" s="11" t="str">
        <f aca="false">IF(I3926&lt;J3926,"TAK","NIE")</f>
        <v>NIE</v>
      </c>
    </row>
    <row r="3927" customFormat="false" ht="15" hidden="false" customHeight="false" outlineLevel="0" collapsed="false">
      <c r="A3927" s="5" t="s">
        <v>781</v>
      </c>
      <c r="B3927" s="5" t="s">
        <v>102</v>
      </c>
      <c r="C3927" s="5" t="n">
        <v>2023</v>
      </c>
      <c r="D3927" s="5" t="s">
        <v>42</v>
      </c>
      <c r="E3927" s="5" t="s">
        <v>57</v>
      </c>
      <c r="F3927" s="5" t="s">
        <v>39</v>
      </c>
      <c r="G3927" s="6" t="n">
        <v>642</v>
      </c>
      <c r="H3927" s="6" t="n">
        <v>41</v>
      </c>
      <c r="I3927" s="7" t="n">
        <f aca="false">(G3927-H3927)/G3927</f>
        <v>0.93613707165109</v>
      </c>
      <c r="J3927" s="15" t="n">
        <v>0.673</v>
      </c>
      <c r="K3927" s="11" t="str">
        <f aca="false">IF(I3927&lt;J3927,"TAK","NIE")</f>
        <v>NIE</v>
      </c>
    </row>
    <row r="3928" customFormat="false" ht="15" hidden="false" customHeight="false" outlineLevel="0" collapsed="false">
      <c r="A3928" s="5" t="s">
        <v>782</v>
      </c>
      <c r="B3928" s="5" t="s">
        <v>102</v>
      </c>
      <c r="C3928" s="5" t="n">
        <v>2023</v>
      </c>
      <c r="D3928" s="5" t="s">
        <v>42</v>
      </c>
      <c r="E3928" s="5" t="s">
        <v>57</v>
      </c>
      <c r="F3928" s="5" t="s">
        <v>39</v>
      </c>
      <c r="G3928" s="6" t="n">
        <v>642</v>
      </c>
      <c r="H3928" s="6" t="n">
        <v>46</v>
      </c>
      <c r="I3928" s="7" t="n">
        <f aca="false">(G3928-H3928)/G3928</f>
        <v>0.928348909657321</v>
      </c>
      <c r="J3928" s="15" t="n">
        <v>0.673</v>
      </c>
      <c r="K3928" s="11" t="str">
        <f aca="false">IF(I3928&lt;J3928,"TAK","NIE")</f>
        <v>NIE</v>
      </c>
    </row>
    <row r="3929" customFormat="false" ht="15" hidden="false" customHeight="false" outlineLevel="0" collapsed="false">
      <c r="A3929" s="5" t="s">
        <v>783</v>
      </c>
      <c r="B3929" s="5" t="s">
        <v>102</v>
      </c>
      <c r="C3929" s="5" t="n">
        <v>2023</v>
      </c>
      <c r="D3929" s="5" t="s">
        <v>42</v>
      </c>
      <c r="E3929" s="5" t="s">
        <v>57</v>
      </c>
      <c r="F3929" s="5" t="s">
        <v>39</v>
      </c>
      <c r="G3929" s="6" t="n">
        <v>642</v>
      </c>
      <c r="H3929" s="6" t="n">
        <v>194</v>
      </c>
      <c r="I3929" s="7" t="n">
        <f aca="false">(G3929-H3929)/G3929</f>
        <v>0.697819314641745</v>
      </c>
      <c r="J3929" s="15" t="n">
        <v>0.673</v>
      </c>
      <c r="K3929" s="11" t="str">
        <f aca="false">IF(I3929&lt;J3929,"TAK","NIE")</f>
        <v>NIE</v>
      </c>
    </row>
    <row r="3930" customFormat="false" ht="15" hidden="false" customHeight="false" outlineLevel="0" collapsed="false">
      <c r="A3930" s="5" t="s">
        <v>784</v>
      </c>
      <c r="B3930" s="5" t="s">
        <v>102</v>
      </c>
      <c r="C3930" s="5" t="n">
        <v>2023</v>
      </c>
      <c r="D3930" s="5" t="s">
        <v>42</v>
      </c>
      <c r="E3930" s="5" t="s">
        <v>57</v>
      </c>
      <c r="F3930" s="5" t="s">
        <v>39</v>
      </c>
      <c r="G3930" s="6" t="n">
        <v>642</v>
      </c>
      <c r="H3930" s="6" t="n">
        <v>226</v>
      </c>
      <c r="I3930" s="7" t="n">
        <f aca="false">(G3930-H3930)/G3930</f>
        <v>0.64797507788162</v>
      </c>
      <c r="J3930" s="15" t="n">
        <v>0.673</v>
      </c>
      <c r="K3930" s="11" t="str">
        <f aca="false">IF(I3930&lt;J3930,"TAK","NIE")</f>
        <v>TAK</v>
      </c>
    </row>
    <row r="3931" customFormat="false" ht="15" hidden="false" customHeight="false" outlineLevel="0" collapsed="false">
      <c r="A3931" s="5" t="s">
        <v>785</v>
      </c>
      <c r="B3931" s="5" t="s">
        <v>102</v>
      </c>
      <c r="C3931" s="5" t="n">
        <v>2023</v>
      </c>
      <c r="D3931" s="5" t="s">
        <v>42</v>
      </c>
      <c r="E3931" s="5" t="s">
        <v>57</v>
      </c>
      <c r="F3931" s="5" t="s">
        <v>39</v>
      </c>
      <c r="G3931" s="6" t="n">
        <v>642</v>
      </c>
      <c r="H3931" s="6" t="n">
        <v>100</v>
      </c>
      <c r="I3931" s="7" t="n">
        <f aca="false">(G3931-H3931)/G3931</f>
        <v>0.844236760124611</v>
      </c>
      <c r="J3931" s="15" t="n">
        <v>0.673</v>
      </c>
      <c r="K3931" s="11" t="str">
        <f aca="false">IF(I3931&lt;J3931,"TAK","NIE")</f>
        <v>NIE</v>
      </c>
    </row>
    <row r="3932" customFormat="false" ht="15" hidden="false" customHeight="false" outlineLevel="0" collapsed="false">
      <c r="A3932" s="5" t="s">
        <v>786</v>
      </c>
      <c r="B3932" s="5" t="s">
        <v>102</v>
      </c>
      <c r="C3932" s="5" t="n">
        <v>2023</v>
      </c>
      <c r="D3932" s="5" t="s">
        <v>42</v>
      </c>
      <c r="E3932" s="5" t="s">
        <v>57</v>
      </c>
      <c r="F3932" s="5" t="s">
        <v>39</v>
      </c>
      <c r="G3932" s="6" t="n">
        <v>642</v>
      </c>
      <c r="H3932" s="6" t="n">
        <v>122</v>
      </c>
      <c r="I3932" s="7" t="n">
        <f aca="false">(G3932-H3932)/G3932</f>
        <v>0.809968847352025</v>
      </c>
      <c r="J3932" s="15" t="n">
        <v>0.673</v>
      </c>
      <c r="K3932" s="11" t="str">
        <f aca="false">IF(I3932&lt;J3932,"TAK","NIE")</f>
        <v>NIE</v>
      </c>
    </row>
    <row r="3933" customFormat="false" ht="15" hidden="false" customHeight="false" outlineLevel="0" collapsed="false">
      <c r="A3933" s="5" t="s">
        <v>787</v>
      </c>
      <c r="B3933" s="5" t="s">
        <v>102</v>
      </c>
      <c r="C3933" s="5" t="n">
        <v>2023</v>
      </c>
      <c r="D3933" s="5" t="s">
        <v>42</v>
      </c>
      <c r="E3933" s="5" t="s">
        <v>57</v>
      </c>
      <c r="F3933" s="5" t="s">
        <v>39</v>
      </c>
      <c r="G3933" s="6" t="n">
        <v>642</v>
      </c>
      <c r="H3933" s="6" t="n">
        <v>100</v>
      </c>
      <c r="I3933" s="7" t="n">
        <f aca="false">(G3933-H3933)/G3933</f>
        <v>0.844236760124611</v>
      </c>
      <c r="J3933" s="15" t="n">
        <v>0.673</v>
      </c>
      <c r="K3933" s="11" t="str">
        <f aca="false">IF(I3933&lt;J3933,"TAK","NIE")</f>
        <v>NIE</v>
      </c>
    </row>
    <row r="3934" customFormat="false" ht="15" hidden="false" customHeight="false" outlineLevel="0" collapsed="false">
      <c r="A3934" s="5" t="s">
        <v>788</v>
      </c>
      <c r="B3934" s="5" t="s">
        <v>102</v>
      </c>
      <c r="C3934" s="5" t="n">
        <v>2023</v>
      </c>
      <c r="D3934" s="5" t="s">
        <v>42</v>
      </c>
      <c r="E3934" s="5" t="s">
        <v>57</v>
      </c>
      <c r="F3934" s="5" t="s">
        <v>39</v>
      </c>
      <c r="G3934" s="6" t="n">
        <v>642</v>
      </c>
      <c r="H3934" s="6" t="n">
        <v>66</v>
      </c>
      <c r="I3934" s="7" t="n">
        <f aca="false">(G3934-H3934)/G3934</f>
        <v>0.897196261682243</v>
      </c>
      <c r="J3934" s="15" t="n">
        <v>0.673</v>
      </c>
      <c r="K3934" s="11" t="str">
        <f aca="false">IF(I3934&lt;J3934,"TAK","NIE")</f>
        <v>NIE</v>
      </c>
    </row>
    <row r="3935" customFormat="false" ht="15" hidden="false" customHeight="false" outlineLevel="0" collapsed="false">
      <c r="A3935" s="5" t="s">
        <v>789</v>
      </c>
      <c r="B3935" s="5" t="s">
        <v>102</v>
      </c>
      <c r="C3935" s="5" t="n">
        <v>2023</v>
      </c>
      <c r="D3935" s="5" t="s">
        <v>42</v>
      </c>
      <c r="E3935" s="5" t="s">
        <v>57</v>
      </c>
      <c r="F3935" s="5" t="s">
        <v>39</v>
      </c>
      <c r="G3935" s="6" t="n">
        <v>642</v>
      </c>
      <c r="H3935" s="6" t="n">
        <v>11</v>
      </c>
      <c r="I3935" s="7" t="n">
        <f aca="false">(G3935-H3935)/G3935</f>
        <v>0.982866043613707</v>
      </c>
      <c r="J3935" s="15" t="n">
        <v>0.673</v>
      </c>
      <c r="K3935" s="11" t="str">
        <f aca="false">IF(I3935&lt;J3935,"TAK","NIE")</f>
        <v>NIE</v>
      </c>
    </row>
    <row r="3936" customFormat="false" ht="15" hidden="false" customHeight="false" outlineLevel="0" collapsed="false">
      <c r="A3936" s="5" t="s">
        <v>790</v>
      </c>
      <c r="B3936" s="5" t="s">
        <v>102</v>
      </c>
      <c r="C3936" s="5" t="n">
        <v>2023</v>
      </c>
      <c r="D3936" s="5" t="s">
        <v>42</v>
      </c>
      <c r="E3936" s="5" t="s">
        <v>57</v>
      </c>
      <c r="F3936" s="5" t="s">
        <v>39</v>
      </c>
      <c r="G3936" s="6" t="n">
        <v>642</v>
      </c>
      <c r="H3936" s="6" t="n">
        <v>169</v>
      </c>
      <c r="I3936" s="7" t="n">
        <f aca="false">(G3936-H3936)/G3936</f>
        <v>0.736760124610592</v>
      </c>
      <c r="J3936" s="15" t="n">
        <v>0.673</v>
      </c>
      <c r="K3936" s="11" t="str">
        <f aca="false">IF(I3936&lt;J3936,"TAK","NIE")</f>
        <v>NIE</v>
      </c>
    </row>
    <row r="3937" customFormat="false" ht="15" hidden="false" customHeight="false" outlineLevel="0" collapsed="false">
      <c r="A3937" s="5" t="s">
        <v>791</v>
      </c>
      <c r="B3937" s="5" t="s">
        <v>102</v>
      </c>
      <c r="C3937" s="5" t="n">
        <v>2023</v>
      </c>
      <c r="D3937" s="5" t="s">
        <v>42</v>
      </c>
      <c r="E3937" s="5" t="s">
        <v>57</v>
      </c>
      <c r="F3937" s="5" t="s">
        <v>39</v>
      </c>
      <c r="G3937" s="6" t="n">
        <v>400</v>
      </c>
      <c r="H3937" s="6" t="n">
        <v>6</v>
      </c>
      <c r="I3937" s="7" t="n">
        <f aca="false">(G3937-H3937)/G3937</f>
        <v>0.985</v>
      </c>
      <c r="J3937" s="15" t="n">
        <v>0.673</v>
      </c>
      <c r="K3937" s="11" t="str">
        <f aca="false">IF(I3937&lt;J3937,"TAK","NIE")</f>
        <v>NIE</v>
      </c>
    </row>
    <row r="3938" customFormat="false" ht="15" hidden="false" customHeight="false" outlineLevel="0" collapsed="false">
      <c r="A3938" s="5" t="s">
        <v>792</v>
      </c>
      <c r="B3938" s="5" t="s">
        <v>102</v>
      </c>
      <c r="C3938" s="5" t="n">
        <v>2023</v>
      </c>
      <c r="D3938" s="5" t="s">
        <v>42</v>
      </c>
      <c r="E3938" s="5" t="s">
        <v>57</v>
      </c>
      <c r="F3938" s="5" t="s">
        <v>39</v>
      </c>
      <c r="G3938" s="6" t="n">
        <v>642</v>
      </c>
      <c r="H3938" s="6" t="n">
        <v>50</v>
      </c>
      <c r="I3938" s="7" t="n">
        <f aca="false">(G3938-H3938)/G3938</f>
        <v>0.922118380062305</v>
      </c>
      <c r="J3938" s="15" t="n">
        <v>0.673</v>
      </c>
      <c r="K3938" s="11" t="str">
        <f aca="false">IF(I3938&lt;J3938,"TAK","NIE")</f>
        <v>NIE</v>
      </c>
    </row>
    <row r="3939" customFormat="false" ht="15" hidden="false" customHeight="false" outlineLevel="0" collapsed="false">
      <c r="A3939" s="5" t="s">
        <v>793</v>
      </c>
      <c r="B3939" s="5" t="s">
        <v>102</v>
      </c>
      <c r="C3939" s="5" t="n">
        <v>2023</v>
      </c>
      <c r="D3939" s="5" t="s">
        <v>42</v>
      </c>
      <c r="E3939" s="5" t="s">
        <v>57</v>
      </c>
      <c r="F3939" s="5" t="s">
        <v>39</v>
      </c>
      <c r="G3939" s="6" t="n">
        <v>642</v>
      </c>
      <c r="H3939" s="6" t="n">
        <v>35</v>
      </c>
      <c r="I3939" s="7" t="n">
        <f aca="false">(G3939-H3939)/G3939</f>
        <v>0.945482866043614</v>
      </c>
      <c r="J3939" s="15" t="n">
        <v>0.673</v>
      </c>
      <c r="K3939" s="11" t="str">
        <f aca="false">IF(I3939&lt;J3939,"TAK","NIE")</f>
        <v>NIE</v>
      </c>
    </row>
    <row r="3940" customFormat="false" ht="15" hidden="false" customHeight="false" outlineLevel="0" collapsed="false">
      <c r="A3940" s="5" t="s">
        <v>794</v>
      </c>
      <c r="B3940" s="5" t="s">
        <v>102</v>
      </c>
      <c r="C3940" s="5" t="n">
        <v>2023</v>
      </c>
      <c r="D3940" s="5" t="s">
        <v>42</v>
      </c>
      <c r="E3940" s="5" t="s">
        <v>57</v>
      </c>
      <c r="F3940" s="5" t="s">
        <v>39</v>
      </c>
      <c r="G3940" s="6" t="n">
        <v>642</v>
      </c>
      <c r="H3940" s="6" t="n">
        <v>70</v>
      </c>
      <c r="I3940" s="7" t="n">
        <f aca="false">(G3940-H3940)/G3940</f>
        <v>0.890965732087227</v>
      </c>
      <c r="J3940" s="15" t="n">
        <v>0.673</v>
      </c>
      <c r="K3940" s="11" t="str">
        <f aca="false">IF(I3940&lt;J3940,"TAK","NIE")</f>
        <v>NIE</v>
      </c>
    </row>
    <row r="3941" customFormat="false" ht="15" hidden="false" customHeight="false" outlineLevel="0" collapsed="false">
      <c r="A3941" s="5" t="s">
        <v>795</v>
      </c>
      <c r="B3941" s="5" t="s">
        <v>102</v>
      </c>
      <c r="C3941" s="5" t="n">
        <v>2023</v>
      </c>
      <c r="D3941" s="5" t="s">
        <v>42</v>
      </c>
      <c r="E3941" s="5" t="s">
        <v>57</v>
      </c>
      <c r="F3941" s="5" t="s">
        <v>39</v>
      </c>
      <c r="G3941" s="6" t="n">
        <v>642</v>
      </c>
      <c r="H3941" s="6" t="n">
        <v>126</v>
      </c>
      <c r="I3941" s="7" t="n">
        <f aca="false">(G3941-H3941)/G3941</f>
        <v>0.803738317757009</v>
      </c>
      <c r="J3941" s="15" t="n">
        <v>0.673</v>
      </c>
      <c r="K3941" s="11" t="str">
        <f aca="false">IF(I3941&lt;J3941,"TAK","NIE")</f>
        <v>NIE</v>
      </c>
    </row>
    <row r="3942" customFormat="false" ht="15" hidden="false" customHeight="false" outlineLevel="0" collapsed="false">
      <c r="A3942" s="5" t="s">
        <v>796</v>
      </c>
      <c r="B3942" s="5" t="s">
        <v>102</v>
      </c>
      <c r="C3942" s="5" t="n">
        <v>2023</v>
      </c>
      <c r="D3942" s="5" t="s">
        <v>42</v>
      </c>
      <c r="E3942" s="5" t="s">
        <v>57</v>
      </c>
      <c r="F3942" s="5" t="s">
        <v>39</v>
      </c>
      <c r="G3942" s="6" t="n">
        <v>642</v>
      </c>
      <c r="H3942" s="6" t="n">
        <v>51</v>
      </c>
      <c r="I3942" s="7" t="n">
        <f aca="false">(G3942-H3942)/G3942</f>
        <v>0.920560747663551</v>
      </c>
      <c r="J3942" s="15" t="n">
        <v>0.673</v>
      </c>
      <c r="K3942" s="11" t="str">
        <f aca="false">IF(I3942&lt;J3942,"TAK","NIE")</f>
        <v>NIE</v>
      </c>
    </row>
    <row r="3943" customFormat="false" ht="15" hidden="false" customHeight="false" outlineLevel="0" collapsed="false">
      <c r="A3943" s="5" t="s">
        <v>768</v>
      </c>
      <c r="B3943" s="5" t="s">
        <v>102</v>
      </c>
      <c r="C3943" s="5" t="n">
        <v>2023</v>
      </c>
      <c r="D3943" s="5" t="s">
        <v>42</v>
      </c>
      <c r="E3943" s="5" t="s">
        <v>57</v>
      </c>
      <c r="F3943" s="5" t="s">
        <v>40</v>
      </c>
      <c r="G3943" s="6" t="n">
        <v>672</v>
      </c>
      <c r="H3943" s="6" t="n">
        <v>79</v>
      </c>
      <c r="I3943" s="7" t="n">
        <f aca="false">(G3943-H3943)/G3943</f>
        <v>0.882440476190476</v>
      </c>
      <c r="J3943" s="15" t="n">
        <v>0.5235</v>
      </c>
      <c r="K3943" s="11" t="str">
        <f aca="false">IF(I3943&lt;J3943,"TAK","NIE")</f>
        <v>NIE</v>
      </c>
    </row>
    <row r="3944" customFormat="false" ht="15" hidden="false" customHeight="false" outlineLevel="0" collapsed="false">
      <c r="A3944" s="5" t="s">
        <v>769</v>
      </c>
      <c r="B3944" s="5" t="s">
        <v>102</v>
      </c>
      <c r="C3944" s="5" t="n">
        <v>2023</v>
      </c>
      <c r="D3944" s="5" t="s">
        <v>42</v>
      </c>
      <c r="E3944" s="5" t="s">
        <v>57</v>
      </c>
      <c r="F3944" s="5" t="s">
        <v>40</v>
      </c>
      <c r="G3944" s="6" t="n">
        <v>674</v>
      </c>
      <c r="H3944" s="6" t="n">
        <v>52</v>
      </c>
      <c r="I3944" s="7" t="n">
        <f aca="false">(G3944-H3944)/G3944</f>
        <v>0.922848664688427</v>
      </c>
      <c r="J3944" s="15" t="n">
        <v>0.5235</v>
      </c>
      <c r="K3944" s="11" t="str">
        <f aca="false">IF(I3944&lt;J3944,"TAK","NIE")</f>
        <v>NIE</v>
      </c>
    </row>
    <row r="3945" customFormat="false" ht="15" hidden="false" customHeight="false" outlineLevel="0" collapsed="false">
      <c r="A3945" s="5" t="s">
        <v>770</v>
      </c>
      <c r="B3945" s="5" t="s">
        <v>102</v>
      </c>
      <c r="C3945" s="5" t="n">
        <v>2023</v>
      </c>
      <c r="D3945" s="5" t="s">
        <v>42</v>
      </c>
      <c r="E3945" s="5" t="s">
        <v>57</v>
      </c>
      <c r="F3945" s="5" t="s">
        <v>40</v>
      </c>
      <c r="G3945" s="6" t="n">
        <v>672</v>
      </c>
      <c r="H3945" s="6" t="n">
        <v>187</v>
      </c>
      <c r="I3945" s="7" t="n">
        <f aca="false">(G3945-H3945)/G3945</f>
        <v>0.721726190476191</v>
      </c>
      <c r="J3945" s="15" t="n">
        <v>0.5235</v>
      </c>
      <c r="K3945" s="11" t="str">
        <f aca="false">IF(I3945&lt;J3945,"TAK","NIE")</f>
        <v>NIE</v>
      </c>
    </row>
    <row r="3946" customFormat="false" ht="15" hidden="false" customHeight="false" outlineLevel="0" collapsed="false">
      <c r="A3946" s="5" t="s">
        <v>771</v>
      </c>
      <c r="B3946" s="5" t="s">
        <v>102</v>
      </c>
      <c r="C3946" s="5" t="n">
        <v>2023</v>
      </c>
      <c r="D3946" s="5" t="s">
        <v>42</v>
      </c>
      <c r="E3946" s="5" t="s">
        <v>57</v>
      </c>
      <c r="F3946" s="5" t="s">
        <v>40</v>
      </c>
      <c r="G3946" s="6" t="n">
        <v>672</v>
      </c>
      <c r="H3946" s="6" t="n">
        <v>84</v>
      </c>
      <c r="I3946" s="7" t="n">
        <f aca="false">(G3946-H3946)/G3946</f>
        <v>0.875</v>
      </c>
      <c r="J3946" s="15" t="n">
        <v>0.5235</v>
      </c>
      <c r="K3946" s="11" t="str">
        <f aca="false">IF(I3946&lt;J3946,"TAK","NIE")</f>
        <v>NIE</v>
      </c>
    </row>
    <row r="3947" customFormat="false" ht="15" hidden="false" customHeight="false" outlineLevel="0" collapsed="false">
      <c r="A3947" s="5" t="s">
        <v>772</v>
      </c>
      <c r="B3947" s="5" t="s">
        <v>102</v>
      </c>
      <c r="C3947" s="5" t="n">
        <v>2023</v>
      </c>
      <c r="D3947" s="5" t="s">
        <v>42</v>
      </c>
      <c r="E3947" s="5" t="s">
        <v>57</v>
      </c>
      <c r="F3947" s="5" t="s">
        <v>40</v>
      </c>
      <c r="G3947" s="6" t="n">
        <v>404</v>
      </c>
      <c r="H3947" s="6" t="n">
        <v>150</v>
      </c>
      <c r="I3947" s="7" t="n">
        <f aca="false">(G3947-H3947)/G3947</f>
        <v>0.628712871287129</v>
      </c>
      <c r="J3947" s="15" t="n">
        <v>0.5235</v>
      </c>
      <c r="K3947" s="11" t="str">
        <f aca="false">IF(I3947&lt;J3947,"TAK","NIE")</f>
        <v>NIE</v>
      </c>
    </row>
    <row r="3948" customFormat="false" ht="15" hidden="false" customHeight="false" outlineLevel="0" collapsed="false">
      <c r="A3948" s="5" t="s">
        <v>773</v>
      </c>
      <c r="B3948" s="5" t="s">
        <v>102</v>
      </c>
      <c r="C3948" s="5" t="n">
        <v>2023</v>
      </c>
      <c r="D3948" s="5" t="s">
        <v>42</v>
      </c>
      <c r="E3948" s="5" t="s">
        <v>57</v>
      </c>
      <c r="F3948" s="5" t="s">
        <v>40</v>
      </c>
      <c r="G3948" s="6" t="n">
        <v>673</v>
      </c>
      <c r="H3948" s="6" t="n">
        <v>169</v>
      </c>
      <c r="I3948" s="7" t="n">
        <f aca="false">(G3948-H3948)/G3948</f>
        <v>0.74888558692422</v>
      </c>
      <c r="J3948" s="15" t="n">
        <v>0.5235</v>
      </c>
      <c r="K3948" s="11" t="str">
        <f aca="false">IF(I3948&lt;J3948,"TAK","NIE")</f>
        <v>NIE</v>
      </c>
    </row>
    <row r="3949" customFormat="false" ht="15" hidden="false" customHeight="false" outlineLevel="0" collapsed="false">
      <c r="A3949" s="5" t="s">
        <v>774</v>
      </c>
      <c r="B3949" s="5" t="s">
        <v>102</v>
      </c>
      <c r="C3949" s="5" t="n">
        <v>2023</v>
      </c>
      <c r="D3949" s="5" t="s">
        <v>42</v>
      </c>
      <c r="E3949" s="5" t="s">
        <v>57</v>
      </c>
      <c r="F3949" s="5" t="s">
        <v>40</v>
      </c>
      <c r="G3949" s="6" t="n">
        <v>672</v>
      </c>
      <c r="H3949" s="6" t="n">
        <v>160</v>
      </c>
      <c r="I3949" s="7" t="n">
        <f aca="false">(G3949-H3949)/G3949</f>
        <v>0.761904761904762</v>
      </c>
      <c r="J3949" s="15" t="n">
        <v>0.5235</v>
      </c>
      <c r="K3949" s="11" t="str">
        <f aca="false">IF(I3949&lt;J3949,"TAK","NIE")</f>
        <v>NIE</v>
      </c>
    </row>
    <row r="3950" customFormat="false" ht="15" hidden="false" customHeight="false" outlineLevel="0" collapsed="false">
      <c r="A3950" s="5" t="s">
        <v>775</v>
      </c>
      <c r="B3950" s="5" t="s">
        <v>102</v>
      </c>
      <c r="C3950" s="5" t="n">
        <v>2023</v>
      </c>
      <c r="D3950" s="5" t="s">
        <v>42</v>
      </c>
      <c r="E3950" s="5" t="s">
        <v>57</v>
      </c>
      <c r="F3950" s="5" t="s">
        <v>40</v>
      </c>
      <c r="G3950" s="6" t="n">
        <v>672</v>
      </c>
      <c r="H3950" s="6" t="n">
        <v>277</v>
      </c>
      <c r="I3950" s="7" t="n">
        <f aca="false">(G3950-H3950)/G3950</f>
        <v>0.587797619047619</v>
      </c>
      <c r="J3950" s="15" t="n">
        <v>0.5235</v>
      </c>
      <c r="K3950" s="11" t="str">
        <f aca="false">IF(I3950&lt;J3950,"TAK","NIE")</f>
        <v>NIE</v>
      </c>
    </row>
    <row r="3951" customFormat="false" ht="15" hidden="false" customHeight="false" outlineLevel="0" collapsed="false">
      <c r="A3951" s="5" t="s">
        <v>776</v>
      </c>
      <c r="B3951" s="5" t="s">
        <v>102</v>
      </c>
      <c r="C3951" s="5" t="n">
        <v>2023</v>
      </c>
      <c r="D3951" s="5" t="s">
        <v>42</v>
      </c>
      <c r="E3951" s="5" t="s">
        <v>57</v>
      </c>
      <c r="F3951" s="5" t="s">
        <v>40</v>
      </c>
      <c r="G3951" s="6" t="n">
        <v>672</v>
      </c>
      <c r="H3951" s="6" t="n">
        <v>153</v>
      </c>
      <c r="I3951" s="7" t="n">
        <f aca="false">(G3951-H3951)/G3951</f>
        <v>0.772321428571429</v>
      </c>
      <c r="J3951" s="15" t="n">
        <v>0.5235</v>
      </c>
      <c r="K3951" s="11" t="str">
        <f aca="false">IF(I3951&lt;J3951,"TAK","NIE")</f>
        <v>NIE</v>
      </c>
    </row>
    <row r="3952" customFormat="false" ht="15" hidden="false" customHeight="false" outlineLevel="0" collapsed="false">
      <c r="A3952" s="5" t="s">
        <v>777</v>
      </c>
      <c r="B3952" s="5" t="s">
        <v>102</v>
      </c>
      <c r="C3952" s="5" t="n">
        <v>2023</v>
      </c>
      <c r="D3952" s="5" t="s">
        <v>42</v>
      </c>
      <c r="E3952" s="5" t="s">
        <v>57</v>
      </c>
      <c r="F3952" s="5" t="s">
        <v>40</v>
      </c>
      <c r="G3952" s="6" t="n">
        <v>672</v>
      </c>
      <c r="H3952" s="6" t="n">
        <v>85</v>
      </c>
      <c r="I3952" s="7" t="n">
        <f aca="false">(G3952-H3952)/G3952</f>
        <v>0.873511904761905</v>
      </c>
      <c r="J3952" s="15" t="n">
        <v>0.5235</v>
      </c>
      <c r="K3952" s="11" t="str">
        <f aca="false">IF(I3952&lt;J3952,"TAK","NIE")</f>
        <v>NIE</v>
      </c>
    </row>
    <row r="3953" customFormat="false" ht="15" hidden="false" customHeight="false" outlineLevel="0" collapsed="false">
      <c r="A3953" s="5" t="s">
        <v>778</v>
      </c>
      <c r="B3953" s="5" t="s">
        <v>102</v>
      </c>
      <c r="C3953" s="5" t="n">
        <v>2023</v>
      </c>
      <c r="D3953" s="5" t="s">
        <v>42</v>
      </c>
      <c r="E3953" s="5" t="s">
        <v>57</v>
      </c>
      <c r="F3953" s="5" t="s">
        <v>40</v>
      </c>
      <c r="G3953" s="6" t="n">
        <v>672</v>
      </c>
      <c r="H3953" s="6" t="n">
        <v>107</v>
      </c>
      <c r="I3953" s="7" t="n">
        <f aca="false">(G3953-H3953)/G3953</f>
        <v>0.84077380952381</v>
      </c>
      <c r="J3953" s="15" t="n">
        <v>0.5235</v>
      </c>
      <c r="K3953" s="11" t="str">
        <f aca="false">IF(I3953&lt;J3953,"TAK","NIE")</f>
        <v>NIE</v>
      </c>
    </row>
    <row r="3954" customFormat="false" ht="15" hidden="false" customHeight="false" outlineLevel="0" collapsed="false">
      <c r="A3954" s="5" t="s">
        <v>779</v>
      </c>
      <c r="B3954" s="5" t="s">
        <v>102</v>
      </c>
      <c r="C3954" s="5" t="n">
        <v>2023</v>
      </c>
      <c r="D3954" s="5" t="s">
        <v>42</v>
      </c>
      <c r="E3954" s="5" t="s">
        <v>57</v>
      </c>
      <c r="F3954" s="5" t="s">
        <v>40</v>
      </c>
      <c r="G3954" s="6" t="n">
        <v>674</v>
      </c>
      <c r="H3954" s="6" t="n">
        <v>184</v>
      </c>
      <c r="I3954" s="7" t="n">
        <f aca="false">(G3954-H3954)/G3954</f>
        <v>0.727002967359051</v>
      </c>
      <c r="J3954" s="15" t="n">
        <v>0.5235</v>
      </c>
      <c r="K3954" s="11" t="str">
        <f aca="false">IF(I3954&lt;J3954,"TAK","NIE")</f>
        <v>NIE</v>
      </c>
    </row>
    <row r="3955" customFormat="false" ht="15" hidden="false" customHeight="false" outlineLevel="0" collapsed="false">
      <c r="A3955" s="5" t="s">
        <v>780</v>
      </c>
      <c r="B3955" s="5" t="s">
        <v>102</v>
      </c>
      <c r="C3955" s="5" t="n">
        <v>2023</v>
      </c>
      <c r="D3955" s="5" t="s">
        <v>42</v>
      </c>
      <c r="E3955" s="5" t="s">
        <v>57</v>
      </c>
      <c r="F3955" s="5" t="s">
        <v>40</v>
      </c>
      <c r="G3955" s="6" t="n">
        <v>672</v>
      </c>
      <c r="H3955" s="6" t="n">
        <v>162</v>
      </c>
      <c r="I3955" s="7" t="n">
        <f aca="false">(G3955-H3955)/G3955</f>
        <v>0.758928571428571</v>
      </c>
      <c r="J3955" s="15" t="n">
        <v>0.5235</v>
      </c>
      <c r="K3955" s="11" t="str">
        <f aca="false">IF(I3955&lt;J3955,"TAK","NIE")</f>
        <v>NIE</v>
      </c>
    </row>
    <row r="3956" customFormat="false" ht="15" hidden="false" customHeight="false" outlineLevel="0" collapsed="false">
      <c r="A3956" s="5" t="s">
        <v>781</v>
      </c>
      <c r="B3956" s="5" t="s">
        <v>102</v>
      </c>
      <c r="C3956" s="5" t="n">
        <v>2023</v>
      </c>
      <c r="D3956" s="5" t="s">
        <v>42</v>
      </c>
      <c r="E3956" s="5" t="s">
        <v>57</v>
      </c>
      <c r="F3956" s="5" t="s">
        <v>40</v>
      </c>
      <c r="G3956" s="6" t="n">
        <v>672</v>
      </c>
      <c r="H3956" s="6" t="n">
        <v>108</v>
      </c>
      <c r="I3956" s="7" t="n">
        <f aca="false">(G3956-H3956)/G3956</f>
        <v>0.839285714285714</v>
      </c>
      <c r="J3956" s="15" t="n">
        <v>0.5235</v>
      </c>
      <c r="K3956" s="11" t="str">
        <f aca="false">IF(I3956&lt;J3956,"TAK","NIE")</f>
        <v>NIE</v>
      </c>
    </row>
    <row r="3957" customFormat="false" ht="15" hidden="false" customHeight="false" outlineLevel="0" collapsed="false">
      <c r="A3957" s="5" t="s">
        <v>782</v>
      </c>
      <c r="B3957" s="5" t="s">
        <v>102</v>
      </c>
      <c r="C3957" s="5" t="n">
        <v>2023</v>
      </c>
      <c r="D3957" s="5" t="s">
        <v>42</v>
      </c>
      <c r="E3957" s="5" t="s">
        <v>57</v>
      </c>
      <c r="F3957" s="5" t="s">
        <v>40</v>
      </c>
      <c r="G3957" s="6" t="n">
        <v>674</v>
      </c>
      <c r="H3957" s="6" t="n">
        <v>128</v>
      </c>
      <c r="I3957" s="7" t="n">
        <f aca="false">(G3957-H3957)/G3957</f>
        <v>0.810089020771513</v>
      </c>
      <c r="J3957" s="15" t="n">
        <v>0.5235</v>
      </c>
      <c r="K3957" s="11" t="str">
        <f aca="false">IF(I3957&lt;J3957,"TAK","NIE")</f>
        <v>NIE</v>
      </c>
    </row>
    <row r="3958" customFormat="false" ht="15" hidden="false" customHeight="false" outlineLevel="0" collapsed="false">
      <c r="A3958" s="5" t="s">
        <v>783</v>
      </c>
      <c r="B3958" s="5" t="s">
        <v>102</v>
      </c>
      <c r="C3958" s="5" t="n">
        <v>2023</v>
      </c>
      <c r="D3958" s="5" t="s">
        <v>42</v>
      </c>
      <c r="E3958" s="5" t="s">
        <v>57</v>
      </c>
      <c r="F3958" s="5" t="s">
        <v>40</v>
      </c>
      <c r="G3958" s="6" t="n">
        <v>674</v>
      </c>
      <c r="H3958" s="6" t="n">
        <v>264</v>
      </c>
      <c r="I3958" s="7" t="n">
        <f aca="false">(G3958-H3958)/G3958</f>
        <v>0.608308605341246</v>
      </c>
      <c r="J3958" s="15" t="n">
        <v>0.5235</v>
      </c>
      <c r="K3958" s="11" t="str">
        <f aca="false">IF(I3958&lt;J3958,"TAK","NIE")</f>
        <v>NIE</v>
      </c>
    </row>
    <row r="3959" customFormat="false" ht="15" hidden="false" customHeight="false" outlineLevel="0" collapsed="false">
      <c r="A3959" s="5" t="s">
        <v>784</v>
      </c>
      <c r="B3959" s="5" t="s">
        <v>102</v>
      </c>
      <c r="C3959" s="5" t="n">
        <v>2023</v>
      </c>
      <c r="D3959" s="5" t="s">
        <v>42</v>
      </c>
      <c r="E3959" s="5" t="s">
        <v>57</v>
      </c>
      <c r="F3959" s="5" t="s">
        <v>40</v>
      </c>
      <c r="G3959" s="6" t="n">
        <v>672</v>
      </c>
      <c r="H3959" s="6" t="n">
        <v>348</v>
      </c>
      <c r="I3959" s="7" t="n">
        <f aca="false">(G3959-H3959)/G3959</f>
        <v>0.482142857142857</v>
      </c>
      <c r="J3959" s="15" t="n">
        <v>0.5235</v>
      </c>
      <c r="K3959" s="11" t="str">
        <f aca="false">IF(I3959&lt;J3959,"TAK","NIE")</f>
        <v>TAK</v>
      </c>
    </row>
    <row r="3960" customFormat="false" ht="15" hidden="false" customHeight="false" outlineLevel="0" collapsed="false">
      <c r="A3960" s="5" t="s">
        <v>785</v>
      </c>
      <c r="B3960" s="5" t="s">
        <v>102</v>
      </c>
      <c r="C3960" s="5" t="n">
        <v>2023</v>
      </c>
      <c r="D3960" s="5" t="s">
        <v>42</v>
      </c>
      <c r="E3960" s="5" t="s">
        <v>57</v>
      </c>
      <c r="F3960" s="5" t="s">
        <v>40</v>
      </c>
      <c r="G3960" s="6" t="n">
        <v>674</v>
      </c>
      <c r="H3960" s="6" t="n">
        <v>245</v>
      </c>
      <c r="I3960" s="7" t="n">
        <f aca="false">(G3960-H3960)/G3960</f>
        <v>0.636498516320475</v>
      </c>
      <c r="J3960" s="15" t="n">
        <v>0.5235</v>
      </c>
      <c r="K3960" s="11" t="str">
        <f aca="false">IF(I3960&lt;J3960,"TAK","NIE")</f>
        <v>NIE</v>
      </c>
    </row>
    <row r="3961" customFormat="false" ht="15" hidden="false" customHeight="false" outlineLevel="0" collapsed="false">
      <c r="A3961" s="5" t="s">
        <v>786</v>
      </c>
      <c r="B3961" s="5" t="s">
        <v>102</v>
      </c>
      <c r="C3961" s="5" t="n">
        <v>2023</v>
      </c>
      <c r="D3961" s="5" t="s">
        <v>42</v>
      </c>
      <c r="E3961" s="5" t="s">
        <v>57</v>
      </c>
      <c r="F3961" s="5" t="s">
        <v>40</v>
      </c>
      <c r="G3961" s="6" t="n">
        <v>672</v>
      </c>
      <c r="H3961" s="6" t="n">
        <v>198</v>
      </c>
      <c r="I3961" s="7" t="n">
        <f aca="false">(G3961-H3961)/G3961</f>
        <v>0.705357142857143</v>
      </c>
      <c r="J3961" s="15" t="n">
        <v>0.5235</v>
      </c>
      <c r="K3961" s="11" t="str">
        <f aca="false">IF(I3961&lt;J3961,"TAK","NIE")</f>
        <v>NIE</v>
      </c>
    </row>
    <row r="3962" customFormat="false" ht="15" hidden="false" customHeight="false" outlineLevel="0" collapsed="false">
      <c r="A3962" s="5" t="s">
        <v>787</v>
      </c>
      <c r="B3962" s="5" t="s">
        <v>102</v>
      </c>
      <c r="C3962" s="5" t="n">
        <v>2023</v>
      </c>
      <c r="D3962" s="5" t="s">
        <v>42</v>
      </c>
      <c r="E3962" s="5" t="s">
        <v>57</v>
      </c>
      <c r="F3962" s="5" t="s">
        <v>40</v>
      </c>
      <c r="G3962" s="6" t="n">
        <v>674</v>
      </c>
      <c r="H3962" s="6" t="n">
        <v>92</v>
      </c>
      <c r="I3962" s="7" t="n">
        <f aca="false">(G3962-H3962)/G3962</f>
        <v>0.863501483679525</v>
      </c>
      <c r="J3962" s="15" t="n">
        <v>0.5235</v>
      </c>
      <c r="K3962" s="11" t="str">
        <f aca="false">IF(I3962&lt;J3962,"TAK","NIE")</f>
        <v>NIE</v>
      </c>
    </row>
    <row r="3963" customFormat="false" ht="15" hidden="false" customHeight="false" outlineLevel="0" collapsed="false">
      <c r="A3963" s="5" t="s">
        <v>788</v>
      </c>
      <c r="B3963" s="5" t="s">
        <v>102</v>
      </c>
      <c r="C3963" s="5" t="n">
        <v>2023</v>
      </c>
      <c r="D3963" s="5" t="s">
        <v>42</v>
      </c>
      <c r="E3963" s="5" t="s">
        <v>57</v>
      </c>
      <c r="F3963" s="5" t="s">
        <v>40</v>
      </c>
      <c r="G3963" s="6" t="n">
        <v>674</v>
      </c>
      <c r="H3963" s="6" t="n">
        <v>200</v>
      </c>
      <c r="I3963" s="7" t="n">
        <f aca="false">(G3963-H3963)/G3963</f>
        <v>0.70326409495549</v>
      </c>
      <c r="J3963" s="15" t="n">
        <v>0.5235</v>
      </c>
      <c r="K3963" s="11" t="str">
        <f aca="false">IF(I3963&lt;J3963,"TAK","NIE")</f>
        <v>NIE</v>
      </c>
    </row>
    <row r="3964" customFormat="false" ht="15" hidden="false" customHeight="false" outlineLevel="0" collapsed="false">
      <c r="A3964" s="5" t="s">
        <v>789</v>
      </c>
      <c r="B3964" s="5" t="s">
        <v>102</v>
      </c>
      <c r="C3964" s="5" t="n">
        <v>2023</v>
      </c>
      <c r="D3964" s="5" t="s">
        <v>42</v>
      </c>
      <c r="E3964" s="5" t="s">
        <v>57</v>
      </c>
      <c r="F3964" s="5" t="s">
        <v>40</v>
      </c>
      <c r="G3964" s="6" t="n">
        <v>674</v>
      </c>
      <c r="H3964" s="6" t="n">
        <v>107</v>
      </c>
      <c r="I3964" s="7" t="n">
        <f aca="false">(G3964-H3964)/G3964</f>
        <v>0.841246290801187</v>
      </c>
      <c r="J3964" s="15" t="n">
        <v>0.5235</v>
      </c>
      <c r="K3964" s="11" t="str">
        <f aca="false">IF(I3964&lt;J3964,"TAK","NIE")</f>
        <v>NIE</v>
      </c>
    </row>
    <row r="3965" customFormat="false" ht="15" hidden="false" customHeight="false" outlineLevel="0" collapsed="false">
      <c r="A3965" s="5" t="s">
        <v>790</v>
      </c>
      <c r="B3965" s="5" t="s">
        <v>102</v>
      </c>
      <c r="C3965" s="5" t="n">
        <v>2023</v>
      </c>
      <c r="D3965" s="5" t="s">
        <v>42</v>
      </c>
      <c r="E3965" s="5" t="s">
        <v>57</v>
      </c>
      <c r="F3965" s="5" t="s">
        <v>40</v>
      </c>
      <c r="G3965" s="6" t="n">
        <v>672</v>
      </c>
      <c r="H3965" s="6" t="n">
        <v>192</v>
      </c>
      <c r="I3965" s="7" t="n">
        <f aca="false">(G3965-H3965)/G3965</f>
        <v>0.714285714285714</v>
      </c>
      <c r="J3965" s="15" t="n">
        <v>0.5235</v>
      </c>
      <c r="K3965" s="11" t="str">
        <f aca="false">IF(I3965&lt;J3965,"TAK","NIE")</f>
        <v>NIE</v>
      </c>
    </row>
    <row r="3966" customFormat="false" ht="15" hidden="false" customHeight="false" outlineLevel="0" collapsed="false">
      <c r="A3966" s="5" t="s">
        <v>791</v>
      </c>
      <c r="B3966" s="5" t="s">
        <v>102</v>
      </c>
      <c r="C3966" s="5" t="n">
        <v>2023</v>
      </c>
      <c r="D3966" s="5" t="s">
        <v>42</v>
      </c>
      <c r="E3966" s="5" t="s">
        <v>57</v>
      </c>
      <c r="F3966" s="5" t="s">
        <v>40</v>
      </c>
      <c r="G3966" s="6" t="n">
        <v>404</v>
      </c>
      <c r="H3966" s="6" t="n">
        <v>22</v>
      </c>
      <c r="I3966" s="7" t="n">
        <f aca="false">(G3966-H3966)/G3966</f>
        <v>0.945544554455446</v>
      </c>
      <c r="J3966" s="15" t="n">
        <v>0.5235</v>
      </c>
      <c r="K3966" s="11" t="str">
        <f aca="false">IF(I3966&lt;J3966,"TAK","NIE")</f>
        <v>NIE</v>
      </c>
    </row>
    <row r="3967" customFormat="false" ht="15" hidden="false" customHeight="false" outlineLevel="0" collapsed="false">
      <c r="A3967" s="5" t="s">
        <v>792</v>
      </c>
      <c r="B3967" s="5" t="s">
        <v>102</v>
      </c>
      <c r="C3967" s="5" t="n">
        <v>2023</v>
      </c>
      <c r="D3967" s="5" t="s">
        <v>42</v>
      </c>
      <c r="E3967" s="5" t="s">
        <v>57</v>
      </c>
      <c r="F3967" s="5" t="s">
        <v>40</v>
      </c>
      <c r="G3967" s="6" t="n">
        <v>674</v>
      </c>
      <c r="H3967" s="6" t="n">
        <v>155</v>
      </c>
      <c r="I3967" s="7" t="n">
        <f aca="false">(G3967-H3967)/G3967</f>
        <v>0.770029673590504</v>
      </c>
      <c r="J3967" s="15" t="n">
        <v>0.5235</v>
      </c>
      <c r="K3967" s="11" t="str">
        <f aca="false">IF(I3967&lt;J3967,"TAK","NIE")</f>
        <v>NIE</v>
      </c>
    </row>
    <row r="3968" customFormat="false" ht="15" hidden="false" customHeight="false" outlineLevel="0" collapsed="false">
      <c r="A3968" s="5" t="s">
        <v>793</v>
      </c>
      <c r="B3968" s="5" t="s">
        <v>102</v>
      </c>
      <c r="C3968" s="5" t="n">
        <v>2023</v>
      </c>
      <c r="D3968" s="5" t="s">
        <v>42</v>
      </c>
      <c r="E3968" s="5" t="s">
        <v>57</v>
      </c>
      <c r="F3968" s="5" t="s">
        <v>40</v>
      </c>
      <c r="G3968" s="6" t="n">
        <v>674</v>
      </c>
      <c r="H3968" s="6" t="n">
        <v>110</v>
      </c>
      <c r="I3968" s="7" t="n">
        <f aca="false">(G3968-H3968)/G3968</f>
        <v>0.836795252225519</v>
      </c>
      <c r="J3968" s="15" t="n">
        <v>0.5235</v>
      </c>
      <c r="K3968" s="11" t="str">
        <f aca="false">IF(I3968&lt;J3968,"TAK","NIE")</f>
        <v>NIE</v>
      </c>
    </row>
    <row r="3969" customFormat="false" ht="15" hidden="false" customHeight="false" outlineLevel="0" collapsed="false">
      <c r="A3969" s="5" t="s">
        <v>794</v>
      </c>
      <c r="B3969" s="5" t="s">
        <v>102</v>
      </c>
      <c r="C3969" s="5" t="n">
        <v>2023</v>
      </c>
      <c r="D3969" s="5" t="s">
        <v>42</v>
      </c>
      <c r="E3969" s="5" t="s">
        <v>57</v>
      </c>
      <c r="F3969" s="5" t="s">
        <v>40</v>
      </c>
      <c r="G3969" s="6" t="n">
        <v>672</v>
      </c>
      <c r="H3969" s="6" t="n">
        <v>108</v>
      </c>
      <c r="I3969" s="7" t="n">
        <f aca="false">(G3969-H3969)/G3969</f>
        <v>0.839285714285714</v>
      </c>
      <c r="J3969" s="15" t="n">
        <v>0.5235</v>
      </c>
      <c r="K3969" s="11" t="str">
        <f aca="false">IF(I3969&lt;J3969,"TAK","NIE")</f>
        <v>NIE</v>
      </c>
    </row>
    <row r="3970" customFormat="false" ht="15" hidden="false" customHeight="false" outlineLevel="0" collapsed="false">
      <c r="A3970" s="5" t="s">
        <v>795</v>
      </c>
      <c r="B3970" s="5" t="s">
        <v>102</v>
      </c>
      <c r="C3970" s="5" t="n">
        <v>2023</v>
      </c>
      <c r="D3970" s="5" t="s">
        <v>42</v>
      </c>
      <c r="E3970" s="5" t="s">
        <v>57</v>
      </c>
      <c r="F3970" s="5" t="s">
        <v>40</v>
      </c>
      <c r="G3970" s="6" t="n">
        <v>674</v>
      </c>
      <c r="H3970" s="6" t="n">
        <v>143</v>
      </c>
      <c r="I3970" s="7" t="n">
        <f aca="false">(G3970-H3970)/G3970</f>
        <v>0.787833827893175</v>
      </c>
      <c r="J3970" s="15" t="n">
        <v>0.5235</v>
      </c>
      <c r="K3970" s="11" t="str">
        <f aca="false">IF(I3970&lt;J3970,"TAK","NIE")</f>
        <v>NIE</v>
      </c>
    </row>
    <row r="3971" customFormat="false" ht="15" hidden="false" customHeight="false" outlineLevel="0" collapsed="false">
      <c r="A3971" s="5" t="s">
        <v>796</v>
      </c>
      <c r="B3971" s="5" t="s">
        <v>102</v>
      </c>
      <c r="C3971" s="5" t="n">
        <v>2023</v>
      </c>
      <c r="D3971" s="5" t="s">
        <v>42</v>
      </c>
      <c r="E3971" s="5" t="s">
        <v>57</v>
      </c>
      <c r="F3971" s="5" t="s">
        <v>40</v>
      </c>
      <c r="G3971" s="6" t="n">
        <v>674</v>
      </c>
      <c r="H3971" s="6" t="n">
        <v>152</v>
      </c>
      <c r="I3971" s="7" t="n">
        <f aca="false">(G3971-H3971)/G3971</f>
        <v>0.774480712166172</v>
      </c>
      <c r="J3971" s="15" t="n">
        <v>0.5235</v>
      </c>
      <c r="K3971" s="11" t="str">
        <f aca="false">IF(I3971&lt;J3971,"TAK","NIE")</f>
        <v>NIE</v>
      </c>
    </row>
    <row r="3972" customFormat="false" ht="15" hidden="false" customHeight="false" outlineLevel="0" collapsed="false">
      <c r="A3972" s="5" t="s">
        <v>768</v>
      </c>
      <c r="B3972" s="5" t="s">
        <v>71</v>
      </c>
      <c r="C3972" s="5" t="n">
        <v>2023</v>
      </c>
      <c r="D3972" s="5" t="s">
        <v>42</v>
      </c>
      <c r="E3972" s="5" t="s">
        <v>75</v>
      </c>
      <c r="F3972" s="5" t="s">
        <v>39</v>
      </c>
      <c r="G3972" s="6" t="n">
        <v>581</v>
      </c>
      <c r="H3972" s="6" t="n">
        <v>105</v>
      </c>
      <c r="I3972" s="7" t="n">
        <f aca="false">(G3972-H3972)/G3972</f>
        <v>0.819277108433735</v>
      </c>
      <c r="J3972" s="15" t="n">
        <v>0.6615</v>
      </c>
      <c r="K3972" s="11" t="str">
        <f aca="false">IF(I3972&lt;J3972,"TAK","NIE")</f>
        <v>NIE</v>
      </c>
    </row>
    <row r="3973" customFormat="false" ht="15" hidden="false" customHeight="false" outlineLevel="0" collapsed="false">
      <c r="A3973" s="5" t="s">
        <v>769</v>
      </c>
      <c r="B3973" s="5" t="s">
        <v>71</v>
      </c>
      <c r="C3973" s="5" t="n">
        <v>2023</v>
      </c>
      <c r="D3973" s="5" t="s">
        <v>42</v>
      </c>
      <c r="E3973" s="5" t="s">
        <v>75</v>
      </c>
      <c r="F3973" s="5" t="s">
        <v>39</v>
      </c>
      <c r="G3973" s="6" t="n">
        <v>582</v>
      </c>
      <c r="H3973" s="6" t="n">
        <v>63</v>
      </c>
      <c r="I3973" s="7" t="n">
        <f aca="false">(G3973-H3973)/G3973</f>
        <v>0.891752577319588</v>
      </c>
      <c r="J3973" s="15" t="n">
        <v>0.6615</v>
      </c>
      <c r="K3973" s="11" t="str">
        <f aca="false">IF(I3973&lt;J3973,"TAK","NIE")</f>
        <v>NIE</v>
      </c>
    </row>
    <row r="3974" customFormat="false" ht="15" hidden="false" customHeight="false" outlineLevel="0" collapsed="false">
      <c r="A3974" s="5" t="s">
        <v>770</v>
      </c>
      <c r="B3974" s="5" t="s">
        <v>71</v>
      </c>
      <c r="C3974" s="5" t="n">
        <v>2023</v>
      </c>
      <c r="D3974" s="5" t="s">
        <v>42</v>
      </c>
      <c r="E3974" s="5" t="s">
        <v>75</v>
      </c>
      <c r="F3974" s="5" t="s">
        <v>39</v>
      </c>
      <c r="G3974" s="6" t="n">
        <v>581</v>
      </c>
      <c r="H3974" s="6" t="n">
        <v>102</v>
      </c>
      <c r="I3974" s="7" t="n">
        <f aca="false">(G3974-H3974)/G3974</f>
        <v>0.824440619621343</v>
      </c>
      <c r="J3974" s="15" t="n">
        <v>0.6615</v>
      </c>
      <c r="K3974" s="11" t="str">
        <f aca="false">IF(I3974&lt;J3974,"TAK","NIE")</f>
        <v>NIE</v>
      </c>
    </row>
    <row r="3975" customFormat="false" ht="15" hidden="false" customHeight="false" outlineLevel="0" collapsed="false">
      <c r="A3975" s="5" t="s">
        <v>648</v>
      </c>
      <c r="B3975" s="5" t="s">
        <v>71</v>
      </c>
      <c r="C3975" s="5" t="n">
        <v>2023</v>
      </c>
      <c r="D3975" s="5" t="s">
        <v>42</v>
      </c>
      <c r="E3975" s="5" t="s">
        <v>75</v>
      </c>
      <c r="F3975" s="5" t="s">
        <v>39</v>
      </c>
      <c r="G3975" s="6" t="n">
        <v>369</v>
      </c>
      <c r="H3975" s="6" t="n">
        <v>184</v>
      </c>
      <c r="I3975" s="7" t="n">
        <f aca="false">(G3975-H3975)/G3975</f>
        <v>0.501355013550136</v>
      </c>
      <c r="J3975" s="15" t="n">
        <v>0.6615</v>
      </c>
      <c r="K3975" s="11" t="str">
        <f aca="false">IF(I3975&lt;J3975,"TAK","NIE")</f>
        <v>TAK</v>
      </c>
    </row>
    <row r="3976" customFormat="false" ht="15" hidden="false" customHeight="false" outlineLevel="0" collapsed="false">
      <c r="A3976" s="5" t="s">
        <v>772</v>
      </c>
      <c r="B3976" s="5" t="s">
        <v>71</v>
      </c>
      <c r="C3976" s="5" t="n">
        <v>2023</v>
      </c>
      <c r="D3976" s="5" t="s">
        <v>42</v>
      </c>
      <c r="E3976" s="5" t="s">
        <v>75</v>
      </c>
      <c r="F3976" s="5" t="s">
        <v>39</v>
      </c>
      <c r="G3976" s="6" t="n">
        <v>573</v>
      </c>
      <c r="H3976" s="6" t="n">
        <v>151</v>
      </c>
      <c r="I3976" s="7" t="n">
        <f aca="false">(G3976-H3976)/G3976</f>
        <v>0.736474694589878</v>
      </c>
      <c r="J3976" s="15" t="n">
        <v>0.6615</v>
      </c>
      <c r="K3976" s="11" t="str">
        <f aca="false">IF(I3976&lt;J3976,"TAK","NIE")</f>
        <v>NIE</v>
      </c>
    </row>
    <row r="3977" customFormat="false" ht="15" hidden="false" customHeight="false" outlineLevel="0" collapsed="false">
      <c r="A3977" s="5" t="s">
        <v>773</v>
      </c>
      <c r="B3977" s="5" t="s">
        <v>71</v>
      </c>
      <c r="C3977" s="5" t="n">
        <v>2023</v>
      </c>
      <c r="D3977" s="5" t="s">
        <v>42</v>
      </c>
      <c r="E3977" s="5" t="s">
        <v>75</v>
      </c>
      <c r="F3977" s="5" t="s">
        <v>39</v>
      </c>
      <c r="G3977" s="6" t="n">
        <v>582</v>
      </c>
      <c r="H3977" s="6" t="n">
        <v>127</v>
      </c>
      <c r="I3977" s="7" t="n">
        <f aca="false">(G3977-H3977)/G3977</f>
        <v>0.781786941580756</v>
      </c>
      <c r="J3977" s="15" t="n">
        <v>0.6615</v>
      </c>
      <c r="K3977" s="11" t="str">
        <f aca="false">IF(I3977&lt;J3977,"TAK","NIE")</f>
        <v>NIE</v>
      </c>
    </row>
    <row r="3978" customFormat="false" ht="15" hidden="false" customHeight="false" outlineLevel="0" collapsed="false">
      <c r="A3978" s="5" t="s">
        <v>774</v>
      </c>
      <c r="B3978" s="5" t="s">
        <v>71</v>
      </c>
      <c r="C3978" s="5" t="n">
        <v>2023</v>
      </c>
      <c r="D3978" s="5" t="s">
        <v>42</v>
      </c>
      <c r="E3978" s="5" t="s">
        <v>75</v>
      </c>
      <c r="F3978" s="5" t="s">
        <v>39</v>
      </c>
      <c r="G3978" s="6" t="n">
        <v>581</v>
      </c>
      <c r="H3978" s="6" t="n">
        <v>82</v>
      </c>
      <c r="I3978" s="7" t="n">
        <f aca="false">(G3978-H3978)/G3978</f>
        <v>0.858864027538726</v>
      </c>
      <c r="J3978" s="15" t="n">
        <v>0.6615</v>
      </c>
      <c r="K3978" s="11" t="str">
        <f aca="false">IF(I3978&lt;J3978,"TAK","NIE")</f>
        <v>NIE</v>
      </c>
    </row>
    <row r="3979" customFormat="false" ht="15" hidden="false" customHeight="false" outlineLevel="0" collapsed="false">
      <c r="A3979" s="5" t="s">
        <v>775</v>
      </c>
      <c r="B3979" s="5" t="s">
        <v>71</v>
      </c>
      <c r="C3979" s="5" t="n">
        <v>2023</v>
      </c>
      <c r="D3979" s="5" t="s">
        <v>42</v>
      </c>
      <c r="E3979" s="5" t="s">
        <v>75</v>
      </c>
      <c r="F3979" s="5" t="s">
        <v>39</v>
      </c>
      <c r="G3979" s="6" t="n">
        <v>581</v>
      </c>
      <c r="H3979" s="6" t="n">
        <v>195</v>
      </c>
      <c r="I3979" s="7" t="n">
        <f aca="false">(G3979-H3979)/G3979</f>
        <v>0.664371772805508</v>
      </c>
      <c r="J3979" s="15" t="n">
        <v>0.6615</v>
      </c>
      <c r="K3979" s="11" t="str">
        <f aca="false">IF(I3979&lt;J3979,"TAK","NIE")</f>
        <v>NIE</v>
      </c>
    </row>
    <row r="3980" customFormat="false" ht="15" hidden="false" customHeight="false" outlineLevel="0" collapsed="false">
      <c r="A3980" s="5" t="s">
        <v>776</v>
      </c>
      <c r="B3980" s="5" t="s">
        <v>71</v>
      </c>
      <c r="C3980" s="5" t="n">
        <v>2023</v>
      </c>
      <c r="D3980" s="5" t="s">
        <v>42</v>
      </c>
      <c r="E3980" s="5" t="s">
        <v>75</v>
      </c>
      <c r="F3980" s="5" t="s">
        <v>39</v>
      </c>
      <c r="G3980" s="6" t="n">
        <v>581</v>
      </c>
      <c r="H3980" s="6" t="n">
        <v>99</v>
      </c>
      <c r="I3980" s="7" t="n">
        <f aca="false">(G3980-H3980)/G3980</f>
        <v>0.82960413080895</v>
      </c>
      <c r="J3980" s="15" t="n">
        <v>0.6615</v>
      </c>
      <c r="K3980" s="11" t="str">
        <f aca="false">IF(I3980&lt;J3980,"TAK","NIE")</f>
        <v>NIE</v>
      </c>
    </row>
    <row r="3981" customFormat="false" ht="15" hidden="false" customHeight="false" outlineLevel="0" collapsed="false">
      <c r="A3981" s="5" t="s">
        <v>777</v>
      </c>
      <c r="B3981" s="5" t="s">
        <v>71</v>
      </c>
      <c r="C3981" s="5" t="n">
        <v>2023</v>
      </c>
      <c r="D3981" s="5" t="s">
        <v>42</v>
      </c>
      <c r="E3981" s="5" t="s">
        <v>75</v>
      </c>
      <c r="F3981" s="5" t="s">
        <v>39</v>
      </c>
      <c r="G3981" s="6" t="n">
        <v>575</v>
      </c>
      <c r="H3981" s="6" t="n">
        <v>83</v>
      </c>
      <c r="I3981" s="7" t="n">
        <f aca="false">(G3981-H3981)/G3981</f>
        <v>0.855652173913044</v>
      </c>
      <c r="J3981" s="15" t="n">
        <v>0.6615</v>
      </c>
      <c r="K3981" s="11" t="str">
        <f aca="false">IF(I3981&lt;J3981,"TAK","NIE")</f>
        <v>NIE</v>
      </c>
    </row>
    <row r="3982" customFormat="false" ht="15" hidden="false" customHeight="false" outlineLevel="0" collapsed="false">
      <c r="A3982" s="5" t="s">
        <v>778</v>
      </c>
      <c r="B3982" s="5" t="s">
        <v>71</v>
      </c>
      <c r="C3982" s="5" t="n">
        <v>2023</v>
      </c>
      <c r="D3982" s="5" t="s">
        <v>42</v>
      </c>
      <c r="E3982" s="5" t="s">
        <v>75</v>
      </c>
      <c r="F3982" s="5" t="s">
        <v>39</v>
      </c>
      <c r="G3982" s="6" t="n">
        <v>581</v>
      </c>
      <c r="H3982" s="6" t="n">
        <v>56</v>
      </c>
      <c r="I3982" s="7" t="n">
        <f aca="false">(G3982-H3982)/G3982</f>
        <v>0.903614457831325</v>
      </c>
      <c r="J3982" s="15" t="n">
        <v>0.6615</v>
      </c>
      <c r="K3982" s="11" t="str">
        <f aca="false">IF(I3982&lt;J3982,"TAK","NIE")</f>
        <v>NIE</v>
      </c>
    </row>
    <row r="3983" customFormat="false" ht="15" hidden="false" customHeight="false" outlineLevel="0" collapsed="false">
      <c r="A3983" s="5" t="s">
        <v>779</v>
      </c>
      <c r="B3983" s="5" t="s">
        <v>71</v>
      </c>
      <c r="C3983" s="5" t="n">
        <v>2023</v>
      </c>
      <c r="D3983" s="5" t="s">
        <v>42</v>
      </c>
      <c r="E3983" s="5" t="s">
        <v>75</v>
      </c>
      <c r="F3983" s="5" t="s">
        <v>39</v>
      </c>
      <c r="G3983" s="6" t="n">
        <v>582</v>
      </c>
      <c r="H3983" s="6" t="n">
        <v>90</v>
      </c>
      <c r="I3983" s="7" t="n">
        <f aca="false">(G3983-H3983)/G3983</f>
        <v>0.845360824742268</v>
      </c>
      <c r="J3983" s="15" t="n">
        <v>0.6615</v>
      </c>
      <c r="K3983" s="11" t="str">
        <f aca="false">IF(I3983&lt;J3983,"TAK","NIE")</f>
        <v>NIE</v>
      </c>
    </row>
    <row r="3984" customFormat="false" ht="15" hidden="false" customHeight="false" outlineLevel="0" collapsed="false">
      <c r="A3984" s="5" t="s">
        <v>780</v>
      </c>
      <c r="B3984" s="5" t="s">
        <v>71</v>
      </c>
      <c r="C3984" s="5" t="n">
        <v>2023</v>
      </c>
      <c r="D3984" s="5" t="s">
        <v>42</v>
      </c>
      <c r="E3984" s="5" t="s">
        <v>75</v>
      </c>
      <c r="F3984" s="5" t="s">
        <v>39</v>
      </c>
      <c r="G3984" s="6" t="n">
        <v>581</v>
      </c>
      <c r="H3984" s="6" t="n">
        <v>48</v>
      </c>
      <c r="I3984" s="7" t="n">
        <f aca="false">(G3984-H3984)/G3984</f>
        <v>0.917383820998279</v>
      </c>
      <c r="J3984" s="15" t="n">
        <v>0.6615</v>
      </c>
      <c r="K3984" s="11" t="str">
        <f aca="false">IF(I3984&lt;J3984,"TAK","NIE")</f>
        <v>NIE</v>
      </c>
    </row>
    <row r="3985" customFormat="false" ht="15" hidden="false" customHeight="false" outlineLevel="0" collapsed="false">
      <c r="A3985" s="5" t="s">
        <v>781</v>
      </c>
      <c r="B3985" s="5" t="s">
        <v>71</v>
      </c>
      <c r="C3985" s="5" t="n">
        <v>2023</v>
      </c>
      <c r="D3985" s="5" t="s">
        <v>42</v>
      </c>
      <c r="E3985" s="5" t="s">
        <v>75</v>
      </c>
      <c r="F3985" s="5" t="s">
        <v>39</v>
      </c>
      <c r="G3985" s="6" t="n">
        <v>581</v>
      </c>
      <c r="H3985" s="6" t="n">
        <v>79</v>
      </c>
      <c r="I3985" s="7" t="n">
        <f aca="false">(G3985-H3985)/G3985</f>
        <v>0.864027538726334</v>
      </c>
      <c r="J3985" s="15" t="n">
        <v>0.6615</v>
      </c>
      <c r="K3985" s="11" t="str">
        <f aca="false">IF(I3985&lt;J3985,"TAK","NIE")</f>
        <v>NIE</v>
      </c>
    </row>
    <row r="3986" customFormat="false" ht="15" hidden="false" customHeight="false" outlineLevel="0" collapsed="false">
      <c r="A3986" s="5" t="s">
        <v>782</v>
      </c>
      <c r="B3986" s="5" t="s">
        <v>71</v>
      </c>
      <c r="C3986" s="5" t="n">
        <v>2023</v>
      </c>
      <c r="D3986" s="5" t="s">
        <v>42</v>
      </c>
      <c r="E3986" s="5" t="s">
        <v>75</v>
      </c>
      <c r="F3986" s="5" t="s">
        <v>39</v>
      </c>
      <c r="G3986" s="6" t="n">
        <v>582</v>
      </c>
      <c r="H3986" s="6" t="n">
        <v>73</v>
      </c>
      <c r="I3986" s="7" t="n">
        <f aca="false">(G3986-H3986)/G3986</f>
        <v>0.874570446735395</v>
      </c>
      <c r="J3986" s="15" t="n">
        <v>0.6615</v>
      </c>
      <c r="K3986" s="11" t="str">
        <f aca="false">IF(I3986&lt;J3986,"TAK","NIE")</f>
        <v>NIE</v>
      </c>
    </row>
    <row r="3987" customFormat="false" ht="15" hidden="false" customHeight="false" outlineLevel="0" collapsed="false">
      <c r="A3987" s="5" t="s">
        <v>783</v>
      </c>
      <c r="B3987" s="5" t="s">
        <v>71</v>
      </c>
      <c r="C3987" s="5" t="n">
        <v>2023</v>
      </c>
      <c r="D3987" s="5" t="s">
        <v>42</v>
      </c>
      <c r="E3987" s="5" t="s">
        <v>75</v>
      </c>
      <c r="F3987" s="5" t="s">
        <v>39</v>
      </c>
      <c r="G3987" s="6" t="n">
        <v>582</v>
      </c>
      <c r="H3987" s="6" t="n">
        <v>231</v>
      </c>
      <c r="I3987" s="7" t="n">
        <f aca="false">(G3987-H3987)/G3987</f>
        <v>0.603092783505155</v>
      </c>
      <c r="J3987" s="15" t="n">
        <v>0.6615</v>
      </c>
      <c r="K3987" s="11" t="str">
        <f aca="false">IF(I3987&lt;J3987,"TAK","NIE")</f>
        <v>TAK</v>
      </c>
    </row>
    <row r="3988" customFormat="false" ht="15" hidden="false" customHeight="false" outlineLevel="0" collapsed="false">
      <c r="A3988" s="5" t="s">
        <v>785</v>
      </c>
      <c r="B3988" s="5" t="s">
        <v>71</v>
      </c>
      <c r="C3988" s="5" t="n">
        <v>2023</v>
      </c>
      <c r="D3988" s="5" t="s">
        <v>42</v>
      </c>
      <c r="E3988" s="5" t="s">
        <v>75</v>
      </c>
      <c r="F3988" s="5" t="s">
        <v>39</v>
      </c>
      <c r="G3988" s="6" t="n">
        <v>582</v>
      </c>
      <c r="H3988" s="6" t="n">
        <v>225</v>
      </c>
      <c r="I3988" s="7" t="n">
        <f aca="false">(G3988-H3988)/G3988</f>
        <v>0.61340206185567</v>
      </c>
      <c r="J3988" s="15" t="n">
        <v>0.6615</v>
      </c>
      <c r="K3988" s="11" t="str">
        <f aca="false">IF(I3988&lt;J3988,"TAK","NIE")</f>
        <v>TAK</v>
      </c>
    </row>
    <row r="3989" customFormat="false" ht="15" hidden="false" customHeight="false" outlineLevel="0" collapsed="false">
      <c r="A3989" s="5" t="s">
        <v>787</v>
      </c>
      <c r="B3989" s="5" t="s">
        <v>71</v>
      </c>
      <c r="C3989" s="5" t="n">
        <v>2023</v>
      </c>
      <c r="D3989" s="5" t="s">
        <v>42</v>
      </c>
      <c r="E3989" s="5" t="s">
        <v>75</v>
      </c>
      <c r="F3989" s="5" t="s">
        <v>39</v>
      </c>
      <c r="G3989" s="6" t="n">
        <v>582</v>
      </c>
      <c r="H3989" s="6" t="n">
        <v>108</v>
      </c>
      <c r="I3989" s="7" t="n">
        <f aca="false">(G3989-H3989)/G3989</f>
        <v>0.814432989690722</v>
      </c>
      <c r="J3989" s="15" t="n">
        <v>0.6615</v>
      </c>
      <c r="K3989" s="11" t="str">
        <f aca="false">IF(I3989&lt;J3989,"TAK","NIE")</f>
        <v>NIE</v>
      </c>
    </row>
    <row r="3990" customFormat="false" ht="15" hidden="false" customHeight="false" outlineLevel="0" collapsed="false">
      <c r="A3990" s="5" t="s">
        <v>788</v>
      </c>
      <c r="B3990" s="5" t="s">
        <v>71</v>
      </c>
      <c r="C3990" s="5" t="n">
        <v>2023</v>
      </c>
      <c r="D3990" s="5" t="s">
        <v>42</v>
      </c>
      <c r="E3990" s="5" t="s">
        <v>75</v>
      </c>
      <c r="F3990" s="5" t="s">
        <v>39</v>
      </c>
      <c r="G3990" s="6" t="n">
        <v>582</v>
      </c>
      <c r="H3990" s="6" t="n">
        <v>112</v>
      </c>
      <c r="I3990" s="7" t="n">
        <f aca="false">(G3990-H3990)/G3990</f>
        <v>0.807560137457045</v>
      </c>
      <c r="J3990" s="15" t="n">
        <v>0.6615</v>
      </c>
      <c r="K3990" s="11" t="str">
        <f aca="false">IF(I3990&lt;J3990,"TAK","NIE")</f>
        <v>NIE</v>
      </c>
    </row>
    <row r="3991" customFormat="false" ht="15" hidden="false" customHeight="false" outlineLevel="0" collapsed="false">
      <c r="A3991" s="5" t="s">
        <v>789</v>
      </c>
      <c r="B3991" s="5" t="s">
        <v>71</v>
      </c>
      <c r="C3991" s="5" t="n">
        <v>2023</v>
      </c>
      <c r="D3991" s="5" t="s">
        <v>42</v>
      </c>
      <c r="E3991" s="5" t="s">
        <v>75</v>
      </c>
      <c r="F3991" s="5" t="s">
        <v>39</v>
      </c>
      <c r="G3991" s="6" t="n">
        <v>582</v>
      </c>
      <c r="H3991" s="6" t="n">
        <v>49</v>
      </c>
      <c r="I3991" s="7" t="n">
        <f aca="false">(G3991-H3991)/G3991</f>
        <v>0.915807560137457</v>
      </c>
      <c r="J3991" s="15" t="n">
        <v>0.6615</v>
      </c>
      <c r="K3991" s="11" t="str">
        <f aca="false">IF(I3991&lt;J3991,"TAK","NIE")</f>
        <v>NIE</v>
      </c>
    </row>
    <row r="3992" customFormat="false" ht="15" hidden="false" customHeight="false" outlineLevel="0" collapsed="false">
      <c r="A3992" s="5" t="s">
        <v>790</v>
      </c>
      <c r="B3992" s="5" t="s">
        <v>71</v>
      </c>
      <c r="C3992" s="5" t="n">
        <v>2023</v>
      </c>
      <c r="D3992" s="5" t="s">
        <v>42</v>
      </c>
      <c r="E3992" s="5" t="s">
        <v>75</v>
      </c>
      <c r="F3992" s="5" t="s">
        <v>39</v>
      </c>
      <c r="G3992" s="6" t="n">
        <v>581</v>
      </c>
      <c r="H3992" s="6" t="n">
        <v>133</v>
      </c>
      <c r="I3992" s="7" t="n">
        <f aca="false">(G3992-H3992)/G3992</f>
        <v>0.771084337349398</v>
      </c>
      <c r="J3992" s="15" t="n">
        <v>0.6615</v>
      </c>
      <c r="K3992" s="11" t="str">
        <f aca="false">IF(I3992&lt;J3992,"TAK","NIE")</f>
        <v>NIE</v>
      </c>
    </row>
    <row r="3993" customFormat="false" ht="15" hidden="false" customHeight="false" outlineLevel="0" collapsed="false">
      <c r="A3993" s="5" t="s">
        <v>791</v>
      </c>
      <c r="B3993" s="5" t="s">
        <v>71</v>
      </c>
      <c r="C3993" s="5" t="n">
        <v>2023</v>
      </c>
      <c r="D3993" s="5" t="s">
        <v>42</v>
      </c>
      <c r="E3993" s="5" t="s">
        <v>75</v>
      </c>
      <c r="F3993" s="5" t="s">
        <v>39</v>
      </c>
      <c r="G3993" s="6" t="n">
        <v>581</v>
      </c>
      <c r="H3993" s="6" t="n">
        <v>31</v>
      </c>
      <c r="I3993" s="7" t="n">
        <f aca="false">(G3993-H3993)/G3993</f>
        <v>0.946643717728055</v>
      </c>
      <c r="J3993" s="15" t="n">
        <v>0.6615</v>
      </c>
      <c r="K3993" s="11" t="str">
        <f aca="false">IF(I3993&lt;J3993,"TAK","NIE")</f>
        <v>NIE</v>
      </c>
    </row>
    <row r="3994" customFormat="false" ht="15" hidden="false" customHeight="false" outlineLevel="0" collapsed="false">
      <c r="A3994" s="5" t="s">
        <v>792</v>
      </c>
      <c r="B3994" s="5" t="s">
        <v>71</v>
      </c>
      <c r="C3994" s="5" t="n">
        <v>2023</v>
      </c>
      <c r="D3994" s="5" t="s">
        <v>42</v>
      </c>
      <c r="E3994" s="5" t="s">
        <v>75</v>
      </c>
      <c r="F3994" s="5" t="s">
        <v>39</v>
      </c>
      <c r="G3994" s="6" t="n">
        <v>582</v>
      </c>
      <c r="H3994" s="6" t="n">
        <v>58</v>
      </c>
      <c r="I3994" s="7" t="n">
        <f aca="false">(G3994-H3994)/G3994</f>
        <v>0.900343642611684</v>
      </c>
      <c r="J3994" s="15" t="n">
        <v>0.6615</v>
      </c>
      <c r="K3994" s="11" t="str">
        <f aca="false">IF(I3994&lt;J3994,"TAK","NIE")</f>
        <v>NIE</v>
      </c>
    </row>
    <row r="3995" customFormat="false" ht="15" hidden="false" customHeight="false" outlineLevel="0" collapsed="false">
      <c r="A3995" s="5" t="s">
        <v>793</v>
      </c>
      <c r="B3995" s="5" t="s">
        <v>71</v>
      </c>
      <c r="C3995" s="5" t="n">
        <v>2023</v>
      </c>
      <c r="D3995" s="5" t="s">
        <v>42</v>
      </c>
      <c r="E3995" s="5" t="s">
        <v>75</v>
      </c>
      <c r="F3995" s="5" t="s">
        <v>39</v>
      </c>
      <c r="G3995" s="6" t="n">
        <v>582</v>
      </c>
      <c r="H3995" s="6" t="n">
        <v>74</v>
      </c>
      <c r="I3995" s="7" t="n">
        <f aca="false">(G3995-H3995)/G3995</f>
        <v>0.872852233676976</v>
      </c>
      <c r="J3995" s="15" t="n">
        <v>0.6615</v>
      </c>
      <c r="K3995" s="11" t="str">
        <f aca="false">IF(I3995&lt;J3995,"TAK","NIE")</f>
        <v>NIE</v>
      </c>
    </row>
    <row r="3996" customFormat="false" ht="15" hidden="false" customHeight="false" outlineLevel="0" collapsed="false">
      <c r="A3996" s="5" t="s">
        <v>794</v>
      </c>
      <c r="B3996" s="5" t="s">
        <v>71</v>
      </c>
      <c r="C3996" s="5" t="n">
        <v>2023</v>
      </c>
      <c r="D3996" s="5" t="s">
        <v>42</v>
      </c>
      <c r="E3996" s="5" t="s">
        <v>75</v>
      </c>
      <c r="F3996" s="5" t="s">
        <v>39</v>
      </c>
      <c r="G3996" s="6" t="n">
        <v>575</v>
      </c>
      <c r="H3996" s="6" t="n">
        <v>74</v>
      </c>
      <c r="I3996" s="7" t="n">
        <f aca="false">(G3996-H3996)/G3996</f>
        <v>0.871304347826087</v>
      </c>
      <c r="J3996" s="15" t="n">
        <v>0.6615</v>
      </c>
      <c r="K3996" s="11" t="str">
        <f aca="false">IF(I3996&lt;J3996,"TAK","NIE")</f>
        <v>NIE</v>
      </c>
    </row>
    <row r="3997" customFormat="false" ht="15" hidden="false" customHeight="false" outlineLevel="0" collapsed="false">
      <c r="A3997" s="5" t="s">
        <v>795</v>
      </c>
      <c r="B3997" s="5" t="s">
        <v>71</v>
      </c>
      <c r="C3997" s="5" t="n">
        <v>2023</v>
      </c>
      <c r="D3997" s="5" t="s">
        <v>42</v>
      </c>
      <c r="E3997" s="5" t="s">
        <v>75</v>
      </c>
      <c r="F3997" s="5" t="s">
        <v>39</v>
      </c>
      <c r="G3997" s="6" t="n">
        <v>582</v>
      </c>
      <c r="H3997" s="6" t="n">
        <v>119</v>
      </c>
      <c r="I3997" s="7" t="n">
        <f aca="false">(G3997-H3997)/G3997</f>
        <v>0.79553264604811</v>
      </c>
      <c r="J3997" s="15" t="n">
        <v>0.6615</v>
      </c>
      <c r="K3997" s="11" t="str">
        <f aca="false">IF(I3997&lt;J3997,"TAK","NIE")</f>
        <v>NIE</v>
      </c>
    </row>
    <row r="3998" customFormat="false" ht="15" hidden="false" customHeight="false" outlineLevel="0" collapsed="false">
      <c r="A3998" s="5" t="s">
        <v>796</v>
      </c>
      <c r="B3998" s="5" t="s">
        <v>71</v>
      </c>
      <c r="C3998" s="5" t="n">
        <v>2023</v>
      </c>
      <c r="D3998" s="5" t="s">
        <v>42</v>
      </c>
      <c r="E3998" s="5" t="s">
        <v>75</v>
      </c>
      <c r="F3998" s="5" t="s">
        <v>39</v>
      </c>
      <c r="G3998" s="6" t="n">
        <v>582</v>
      </c>
      <c r="H3998" s="6" t="n">
        <v>118</v>
      </c>
      <c r="I3998" s="7" t="n">
        <f aca="false">(G3998-H3998)/G3998</f>
        <v>0.797250859106529</v>
      </c>
      <c r="J3998" s="15" t="n">
        <v>0.6615</v>
      </c>
      <c r="K3998" s="11" t="str">
        <f aca="false">IF(I3998&lt;J3998,"TAK","NIE")</f>
        <v>NIE</v>
      </c>
    </row>
    <row r="3999" customFormat="false" ht="15" hidden="false" customHeight="false" outlineLevel="0" collapsed="false">
      <c r="A3999" s="5" t="s">
        <v>768</v>
      </c>
      <c r="B3999" s="5" t="s">
        <v>71</v>
      </c>
      <c r="C3999" s="5" t="n">
        <v>2023</v>
      </c>
      <c r="D3999" s="5" t="s">
        <v>42</v>
      </c>
      <c r="E3999" s="5" t="s">
        <v>75</v>
      </c>
      <c r="F3999" s="5" t="s">
        <v>40</v>
      </c>
      <c r="G3999" s="6" t="n">
        <v>728</v>
      </c>
      <c r="H3999" s="6" t="n">
        <v>129</v>
      </c>
      <c r="I3999" s="7" t="n">
        <f aca="false">(G3999-H3999)/G3999</f>
        <v>0.822802197802198</v>
      </c>
      <c r="J3999" s="15" t="n">
        <v>0.5372</v>
      </c>
      <c r="K3999" s="11" t="str">
        <f aca="false">IF(I3999&lt;J3999,"TAK","NIE")</f>
        <v>NIE</v>
      </c>
    </row>
    <row r="4000" customFormat="false" ht="15" hidden="false" customHeight="false" outlineLevel="0" collapsed="false">
      <c r="A4000" s="5" t="s">
        <v>769</v>
      </c>
      <c r="B4000" s="5" t="s">
        <v>71</v>
      </c>
      <c r="C4000" s="5" t="n">
        <v>2023</v>
      </c>
      <c r="D4000" s="5" t="s">
        <v>42</v>
      </c>
      <c r="E4000" s="5" t="s">
        <v>75</v>
      </c>
      <c r="F4000" s="5" t="s">
        <v>40</v>
      </c>
      <c r="G4000" s="6" t="n">
        <v>728</v>
      </c>
      <c r="H4000" s="6" t="n">
        <v>106</v>
      </c>
      <c r="I4000" s="7" t="n">
        <f aca="false">(G4000-H4000)/G4000</f>
        <v>0.854395604395604</v>
      </c>
      <c r="J4000" s="15" t="n">
        <v>0.5372</v>
      </c>
      <c r="K4000" s="11" t="str">
        <f aca="false">IF(I4000&lt;J4000,"TAK","NIE")</f>
        <v>NIE</v>
      </c>
    </row>
    <row r="4001" customFormat="false" ht="15" hidden="false" customHeight="false" outlineLevel="0" collapsed="false">
      <c r="A4001" s="5" t="s">
        <v>770</v>
      </c>
      <c r="B4001" s="5" t="s">
        <v>71</v>
      </c>
      <c r="C4001" s="5" t="n">
        <v>2023</v>
      </c>
      <c r="D4001" s="5" t="s">
        <v>42</v>
      </c>
      <c r="E4001" s="5" t="s">
        <v>75</v>
      </c>
      <c r="F4001" s="5" t="s">
        <v>40</v>
      </c>
      <c r="G4001" s="6" t="n">
        <v>728</v>
      </c>
      <c r="H4001" s="6" t="n">
        <v>227</v>
      </c>
      <c r="I4001" s="7" t="n">
        <f aca="false">(G4001-H4001)/G4001</f>
        <v>0.688186813186813</v>
      </c>
      <c r="J4001" s="15" t="n">
        <v>0.5372</v>
      </c>
      <c r="K4001" s="11" t="str">
        <f aca="false">IF(I4001&lt;J4001,"TAK","NIE")</f>
        <v>NIE</v>
      </c>
    </row>
    <row r="4002" customFormat="false" ht="15" hidden="false" customHeight="false" outlineLevel="0" collapsed="false">
      <c r="A4002" s="5" t="s">
        <v>648</v>
      </c>
      <c r="B4002" s="5" t="s">
        <v>71</v>
      </c>
      <c r="C4002" s="5" t="n">
        <v>2023</v>
      </c>
      <c r="D4002" s="5" t="s">
        <v>42</v>
      </c>
      <c r="E4002" s="5" t="s">
        <v>75</v>
      </c>
      <c r="F4002" s="5" t="s">
        <v>40</v>
      </c>
      <c r="G4002" s="6" t="n">
        <v>460</v>
      </c>
      <c r="H4002" s="6" t="n">
        <v>311</v>
      </c>
      <c r="I4002" s="7" t="n">
        <f aca="false">(G4002-H4002)/G4002</f>
        <v>0.323913043478261</v>
      </c>
      <c r="J4002" s="15" t="n">
        <v>0.5372</v>
      </c>
      <c r="K4002" s="11" t="str">
        <f aca="false">IF(I4002&lt;J4002,"TAK","NIE")</f>
        <v>TAK</v>
      </c>
    </row>
    <row r="4003" customFormat="false" ht="15" hidden="false" customHeight="false" outlineLevel="0" collapsed="false">
      <c r="A4003" s="5" t="s">
        <v>772</v>
      </c>
      <c r="B4003" s="5" t="s">
        <v>71</v>
      </c>
      <c r="C4003" s="5" t="n">
        <v>2023</v>
      </c>
      <c r="D4003" s="5" t="s">
        <v>42</v>
      </c>
      <c r="E4003" s="5" t="s">
        <v>75</v>
      </c>
      <c r="F4003" s="5" t="s">
        <v>40</v>
      </c>
      <c r="G4003" s="6" t="n">
        <v>728</v>
      </c>
      <c r="H4003" s="6" t="n">
        <v>224</v>
      </c>
      <c r="I4003" s="7" t="n">
        <f aca="false">(G4003-H4003)/G4003</f>
        <v>0.692307692307692</v>
      </c>
      <c r="J4003" s="15" t="n">
        <v>0.5372</v>
      </c>
      <c r="K4003" s="11" t="str">
        <f aca="false">IF(I4003&lt;J4003,"TAK","NIE")</f>
        <v>NIE</v>
      </c>
    </row>
    <row r="4004" customFormat="false" ht="15" hidden="false" customHeight="false" outlineLevel="0" collapsed="false">
      <c r="A4004" s="5" t="s">
        <v>773</v>
      </c>
      <c r="B4004" s="5" t="s">
        <v>71</v>
      </c>
      <c r="C4004" s="5" t="n">
        <v>2023</v>
      </c>
      <c r="D4004" s="5" t="s">
        <v>42</v>
      </c>
      <c r="E4004" s="5" t="s">
        <v>75</v>
      </c>
      <c r="F4004" s="5" t="s">
        <v>40</v>
      </c>
      <c r="G4004" s="6" t="n">
        <v>728</v>
      </c>
      <c r="H4004" s="6" t="n">
        <v>226</v>
      </c>
      <c r="I4004" s="7" t="n">
        <f aca="false">(G4004-H4004)/G4004</f>
        <v>0.68956043956044</v>
      </c>
      <c r="J4004" s="15" t="n">
        <v>0.5372</v>
      </c>
      <c r="K4004" s="11" t="str">
        <f aca="false">IF(I4004&lt;J4004,"TAK","NIE")</f>
        <v>NIE</v>
      </c>
    </row>
    <row r="4005" customFormat="false" ht="15" hidden="false" customHeight="false" outlineLevel="0" collapsed="false">
      <c r="A4005" s="5" t="s">
        <v>774</v>
      </c>
      <c r="B4005" s="5" t="s">
        <v>71</v>
      </c>
      <c r="C4005" s="5" t="n">
        <v>2023</v>
      </c>
      <c r="D4005" s="5" t="s">
        <v>42</v>
      </c>
      <c r="E4005" s="5" t="s">
        <v>75</v>
      </c>
      <c r="F4005" s="5" t="s">
        <v>40</v>
      </c>
      <c r="G4005" s="6" t="n">
        <v>728</v>
      </c>
      <c r="H4005" s="6" t="n">
        <v>255</v>
      </c>
      <c r="I4005" s="7" t="n">
        <f aca="false">(G4005-H4005)/G4005</f>
        <v>0.649725274725275</v>
      </c>
      <c r="J4005" s="15" t="n">
        <v>0.5372</v>
      </c>
      <c r="K4005" s="11" t="str">
        <f aca="false">IF(I4005&lt;J4005,"TAK","NIE")</f>
        <v>NIE</v>
      </c>
    </row>
    <row r="4006" customFormat="false" ht="15" hidden="false" customHeight="false" outlineLevel="0" collapsed="false">
      <c r="A4006" s="5" t="s">
        <v>775</v>
      </c>
      <c r="B4006" s="5" t="s">
        <v>71</v>
      </c>
      <c r="C4006" s="5" t="n">
        <v>2023</v>
      </c>
      <c r="D4006" s="5" t="s">
        <v>42</v>
      </c>
      <c r="E4006" s="5" t="s">
        <v>75</v>
      </c>
      <c r="F4006" s="5" t="s">
        <v>40</v>
      </c>
      <c r="G4006" s="6" t="n">
        <v>728</v>
      </c>
      <c r="H4006" s="6" t="n">
        <v>220</v>
      </c>
      <c r="I4006" s="7" t="n">
        <f aca="false">(G4006-H4006)/G4006</f>
        <v>0.697802197802198</v>
      </c>
      <c r="J4006" s="15" t="n">
        <v>0.5372</v>
      </c>
      <c r="K4006" s="11" t="str">
        <f aca="false">IF(I4006&lt;J4006,"TAK","NIE")</f>
        <v>NIE</v>
      </c>
    </row>
    <row r="4007" customFormat="false" ht="15" hidden="false" customHeight="false" outlineLevel="0" collapsed="false">
      <c r="A4007" s="5" t="s">
        <v>776</v>
      </c>
      <c r="B4007" s="5" t="s">
        <v>71</v>
      </c>
      <c r="C4007" s="5" t="n">
        <v>2023</v>
      </c>
      <c r="D4007" s="5" t="s">
        <v>42</v>
      </c>
      <c r="E4007" s="5" t="s">
        <v>75</v>
      </c>
      <c r="F4007" s="5" t="s">
        <v>40</v>
      </c>
      <c r="G4007" s="6" t="n">
        <v>728</v>
      </c>
      <c r="H4007" s="6" t="n">
        <v>177</v>
      </c>
      <c r="I4007" s="7" t="n">
        <f aca="false">(G4007-H4007)/G4007</f>
        <v>0.756868131868132</v>
      </c>
      <c r="J4007" s="15" t="n">
        <v>0.5372</v>
      </c>
      <c r="K4007" s="11" t="str">
        <f aca="false">IF(I4007&lt;J4007,"TAK","NIE")</f>
        <v>NIE</v>
      </c>
    </row>
    <row r="4008" customFormat="false" ht="15" hidden="false" customHeight="false" outlineLevel="0" collapsed="false">
      <c r="A4008" s="5" t="s">
        <v>777</v>
      </c>
      <c r="B4008" s="5" t="s">
        <v>71</v>
      </c>
      <c r="C4008" s="5" t="n">
        <v>2023</v>
      </c>
      <c r="D4008" s="5" t="s">
        <v>42</v>
      </c>
      <c r="E4008" s="5" t="s">
        <v>75</v>
      </c>
      <c r="F4008" s="5" t="s">
        <v>40</v>
      </c>
      <c r="G4008" s="6" t="n">
        <v>728</v>
      </c>
      <c r="H4008" s="6" t="n">
        <v>129</v>
      </c>
      <c r="I4008" s="7" t="n">
        <f aca="false">(G4008-H4008)/G4008</f>
        <v>0.822802197802198</v>
      </c>
      <c r="J4008" s="15" t="n">
        <v>0.5372</v>
      </c>
      <c r="K4008" s="11" t="str">
        <f aca="false">IF(I4008&lt;J4008,"TAK","NIE")</f>
        <v>NIE</v>
      </c>
    </row>
    <row r="4009" customFormat="false" ht="15" hidden="false" customHeight="false" outlineLevel="0" collapsed="false">
      <c r="A4009" s="5" t="s">
        <v>778</v>
      </c>
      <c r="B4009" s="5" t="s">
        <v>71</v>
      </c>
      <c r="C4009" s="5" t="n">
        <v>2023</v>
      </c>
      <c r="D4009" s="5" t="s">
        <v>42</v>
      </c>
      <c r="E4009" s="5" t="s">
        <v>75</v>
      </c>
      <c r="F4009" s="5" t="s">
        <v>40</v>
      </c>
      <c r="G4009" s="6" t="n">
        <v>728</v>
      </c>
      <c r="H4009" s="6" t="n">
        <v>122</v>
      </c>
      <c r="I4009" s="7" t="n">
        <f aca="false">(G4009-H4009)/G4009</f>
        <v>0.832417582417583</v>
      </c>
      <c r="J4009" s="15" t="n">
        <v>0.5372</v>
      </c>
      <c r="K4009" s="11" t="str">
        <f aca="false">IF(I4009&lt;J4009,"TAK","NIE")</f>
        <v>NIE</v>
      </c>
    </row>
    <row r="4010" customFormat="false" ht="15" hidden="false" customHeight="false" outlineLevel="0" collapsed="false">
      <c r="A4010" s="5" t="s">
        <v>779</v>
      </c>
      <c r="B4010" s="5" t="s">
        <v>71</v>
      </c>
      <c r="C4010" s="5" t="n">
        <v>2023</v>
      </c>
      <c r="D4010" s="5" t="s">
        <v>42</v>
      </c>
      <c r="E4010" s="5" t="s">
        <v>75</v>
      </c>
      <c r="F4010" s="5" t="s">
        <v>40</v>
      </c>
      <c r="G4010" s="6" t="n">
        <v>728</v>
      </c>
      <c r="H4010" s="6" t="n">
        <v>189</v>
      </c>
      <c r="I4010" s="7" t="n">
        <f aca="false">(G4010-H4010)/G4010</f>
        <v>0.740384615384615</v>
      </c>
      <c r="J4010" s="15" t="n">
        <v>0.5372</v>
      </c>
      <c r="K4010" s="11" t="str">
        <f aca="false">IF(I4010&lt;J4010,"TAK","NIE")</f>
        <v>NIE</v>
      </c>
    </row>
    <row r="4011" customFormat="false" ht="15" hidden="false" customHeight="false" outlineLevel="0" collapsed="false">
      <c r="A4011" s="5" t="s">
        <v>780</v>
      </c>
      <c r="B4011" s="5" t="s">
        <v>71</v>
      </c>
      <c r="C4011" s="5" t="n">
        <v>2023</v>
      </c>
      <c r="D4011" s="5" t="s">
        <v>42</v>
      </c>
      <c r="E4011" s="5" t="s">
        <v>75</v>
      </c>
      <c r="F4011" s="5" t="s">
        <v>40</v>
      </c>
      <c r="G4011" s="6" t="n">
        <v>728</v>
      </c>
      <c r="H4011" s="6" t="n">
        <v>145</v>
      </c>
      <c r="I4011" s="7" t="n">
        <f aca="false">(G4011-H4011)/G4011</f>
        <v>0.800824175824176</v>
      </c>
      <c r="J4011" s="15" t="n">
        <v>0.5372</v>
      </c>
      <c r="K4011" s="11" t="str">
        <f aca="false">IF(I4011&lt;J4011,"TAK","NIE")</f>
        <v>NIE</v>
      </c>
    </row>
    <row r="4012" customFormat="false" ht="15" hidden="false" customHeight="false" outlineLevel="0" collapsed="false">
      <c r="A4012" s="5" t="s">
        <v>781</v>
      </c>
      <c r="B4012" s="5" t="s">
        <v>71</v>
      </c>
      <c r="C4012" s="5" t="n">
        <v>2023</v>
      </c>
      <c r="D4012" s="5" t="s">
        <v>42</v>
      </c>
      <c r="E4012" s="5" t="s">
        <v>75</v>
      </c>
      <c r="F4012" s="5" t="s">
        <v>40</v>
      </c>
      <c r="G4012" s="6" t="n">
        <v>728</v>
      </c>
      <c r="H4012" s="6" t="n">
        <v>203</v>
      </c>
      <c r="I4012" s="7" t="n">
        <f aca="false">(G4012-H4012)/G4012</f>
        <v>0.721153846153846</v>
      </c>
      <c r="J4012" s="15" t="n">
        <v>0.5372</v>
      </c>
      <c r="K4012" s="11" t="str">
        <f aca="false">IF(I4012&lt;J4012,"TAK","NIE")</f>
        <v>NIE</v>
      </c>
    </row>
    <row r="4013" customFormat="false" ht="15" hidden="false" customHeight="false" outlineLevel="0" collapsed="false">
      <c r="A4013" s="5" t="s">
        <v>782</v>
      </c>
      <c r="B4013" s="5" t="s">
        <v>71</v>
      </c>
      <c r="C4013" s="5" t="n">
        <v>2023</v>
      </c>
      <c r="D4013" s="5" t="s">
        <v>42</v>
      </c>
      <c r="E4013" s="5" t="s">
        <v>75</v>
      </c>
      <c r="F4013" s="5" t="s">
        <v>40</v>
      </c>
      <c r="G4013" s="6" t="n">
        <v>728</v>
      </c>
      <c r="H4013" s="6" t="n">
        <v>156</v>
      </c>
      <c r="I4013" s="7" t="n">
        <f aca="false">(G4013-H4013)/G4013</f>
        <v>0.785714285714286</v>
      </c>
      <c r="J4013" s="15" t="n">
        <v>0.5372</v>
      </c>
      <c r="K4013" s="11" t="str">
        <f aca="false">IF(I4013&lt;J4013,"TAK","NIE")</f>
        <v>NIE</v>
      </c>
    </row>
    <row r="4014" customFormat="false" ht="15" hidden="false" customHeight="false" outlineLevel="0" collapsed="false">
      <c r="A4014" s="5" t="s">
        <v>783</v>
      </c>
      <c r="B4014" s="5" t="s">
        <v>71</v>
      </c>
      <c r="C4014" s="5" t="n">
        <v>2023</v>
      </c>
      <c r="D4014" s="5" t="s">
        <v>42</v>
      </c>
      <c r="E4014" s="5" t="s">
        <v>75</v>
      </c>
      <c r="F4014" s="5" t="s">
        <v>40</v>
      </c>
      <c r="G4014" s="6" t="n">
        <v>728</v>
      </c>
      <c r="H4014" s="6" t="n">
        <v>258</v>
      </c>
      <c r="I4014" s="7" t="n">
        <f aca="false">(G4014-H4014)/G4014</f>
        <v>0.645604395604396</v>
      </c>
      <c r="J4014" s="15" t="n">
        <v>0.5372</v>
      </c>
      <c r="K4014" s="11" t="str">
        <f aca="false">IF(I4014&lt;J4014,"TAK","NIE")</f>
        <v>NIE</v>
      </c>
    </row>
    <row r="4015" customFormat="false" ht="15" hidden="false" customHeight="false" outlineLevel="0" collapsed="false">
      <c r="A4015" s="5" t="s">
        <v>785</v>
      </c>
      <c r="B4015" s="5" t="s">
        <v>71</v>
      </c>
      <c r="C4015" s="5" t="n">
        <v>2023</v>
      </c>
      <c r="D4015" s="5" t="s">
        <v>42</v>
      </c>
      <c r="E4015" s="5" t="s">
        <v>75</v>
      </c>
      <c r="F4015" s="5" t="s">
        <v>40</v>
      </c>
      <c r="G4015" s="6" t="n">
        <v>728</v>
      </c>
      <c r="H4015" s="6" t="n">
        <v>344</v>
      </c>
      <c r="I4015" s="7" t="n">
        <f aca="false">(G4015-H4015)/G4015</f>
        <v>0.527472527472528</v>
      </c>
      <c r="J4015" s="15" t="n">
        <v>0.5372</v>
      </c>
      <c r="K4015" s="11" t="str">
        <f aca="false">IF(I4015&lt;J4015,"TAK","NIE")</f>
        <v>TAK</v>
      </c>
    </row>
    <row r="4016" customFormat="false" ht="15" hidden="false" customHeight="false" outlineLevel="0" collapsed="false">
      <c r="A4016" s="5" t="s">
        <v>787</v>
      </c>
      <c r="B4016" s="5" t="s">
        <v>71</v>
      </c>
      <c r="C4016" s="5" t="n">
        <v>2023</v>
      </c>
      <c r="D4016" s="5" t="s">
        <v>42</v>
      </c>
      <c r="E4016" s="5" t="s">
        <v>75</v>
      </c>
      <c r="F4016" s="5" t="s">
        <v>40</v>
      </c>
      <c r="G4016" s="6" t="n">
        <v>728</v>
      </c>
      <c r="H4016" s="6" t="n">
        <v>167</v>
      </c>
      <c r="I4016" s="7" t="n">
        <f aca="false">(G4016-H4016)/G4016</f>
        <v>0.770604395604396</v>
      </c>
      <c r="J4016" s="15" t="n">
        <v>0.5372</v>
      </c>
      <c r="K4016" s="11" t="str">
        <f aca="false">IF(I4016&lt;J4016,"TAK","NIE")</f>
        <v>NIE</v>
      </c>
    </row>
    <row r="4017" customFormat="false" ht="15" hidden="false" customHeight="false" outlineLevel="0" collapsed="false">
      <c r="A4017" s="5" t="s">
        <v>788</v>
      </c>
      <c r="B4017" s="5" t="s">
        <v>71</v>
      </c>
      <c r="C4017" s="5" t="n">
        <v>2023</v>
      </c>
      <c r="D4017" s="5" t="s">
        <v>42</v>
      </c>
      <c r="E4017" s="5" t="s">
        <v>75</v>
      </c>
      <c r="F4017" s="5" t="s">
        <v>40</v>
      </c>
      <c r="G4017" s="6" t="n">
        <v>728</v>
      </c>
      <c r="H4017" s="6" t="n">
        <v>200</v>
      </c>
      <c r="I4017" s="7" t="n">
        <f aca="false">(G4017-H4017)/G4017</f>
        <v>0.725274725274725</v>
      </c>
      <c r="J4017" s="15" t="n">
        <v>0.5372</v>
      </c>
      <c r="K4017" s="11" t="str">
        <f aca="false">IF(I4017&lt;J4017,"TAK","NIE")</f>
        <v>NIE</v>
      </c>
    </row>
    <row r="4018" customFormat="false" ht="15" hidden="false" customHeight="false" outlineLevel="0" collapsed="false">
      <c r="A4018" s="5" t="s">
        <v>789</v>
      </c>
      <c r="B4018" s="5" t="s">
        <v>71</v>
      </c>
      <c r="C4018" s="5" t="n">
        <v>2023</v>
      </c>
      <c r="D4018" s="5" t="s">
        <v>42</v>
      </c>
      <c r="E4018" s="5" t="s">
        <v>75</v>
      </c>
      <c r="F4018" s="5" t="s">
        <v>40</v>
      </c>
      <c r="G4018" s="6" t="n">
        <v>728</v>
      </c>
      <c r="H4018" s="6" t="n">
        <v>180</v>
      </c>
      <c r="I4018" s="7" t="n">
        <f aca="false">(G4018-H4018)/G4018</f>
        <v>0.752747252747253</v>
      </c>
      <c r="J4018" s="15" t="n">
        <v>0.5372</v>
      </c>
      <c r="K4018" s="11" t="str">
        <f aca="false">IF(I4018&lt;J4018,"TAK","NIE")</f>
        <v>NIE</v>
      </c>
    </row>
    <row r="4019" customFormat="false" ht="15" hidden="false" customHeight="false" outlineLevel="0" collapsed="false">
      <c r="A4019" s="5" t="s">
        <v>790</v>
      </c>
      <c r="B4019" s="5" t="s">
        <v>71</v>
      </c>
      <c r="C4019" s="5" t="n">
        <v>2023</v>
      </c>
      <c r="D4019" s="5" t="s">
        <v>42</v>
      </c>
      <c r="E4019" s="5" t="s">
        <v>75</v>
      </c>
      <c r="F4019" s="5" t="s">
        <v>40</v>
      </c>
      <c r="G4019" s="6" t="n">
        <v>728</v>
      </c>
      <c r="H4019" s="6" t="n">
        <v>256</v>
      </c>
      <c r="I4019" s="7" t="n">
        <f aca="false">(G4019-H4019)/G4019</f>
        <v>0.648351648351648</v>
      </c>
      <c r="J4019" s="15" t="n">
        <v>0.5372</v>
      </c>
      <c r="K4019" s="11" t="str">
        <f aca="false">IF(I4019&lt;J4019,"TAK","NIE")</f>
        <v>NIE</v>
      </c>
    </row>
    <row r="4020" customFormat="false" ht="15" hidden="false" customHeight="false" outlineLevel="0" collapsed="false">
      <c r="A4020" s="5" t="s">
        <v>791</v>
      </c>
      <c r="B4020" s="5" t="s">
        <v>71</v>
      </c>
      <c r="C4020" s="5" t="n">
        <v>2023</v>
      </c>
      <c r="D4020" s="5" t="s">
        <v>42</v>
      </c>
      <c r="E4020" s="5" t="s">
        <v>75</v>
      </c>
      <c r="F4020" s="5" t="s">
        <v>40</v>
      </c>
      <c r="G4020" s="6" t="n">
        <v>728</v>
      </c>
      <c r="H4020" s="6" t="n">
        <v>69</v>
      </c>
      <c r="I4020" s="7" t="n">
        <f aca="false">(G4020-H4020)/G4020</f>
        <v>0.90521978021978</v>
      </c>
      <c r="J4020" s="15" t="n">
        <v>0.5372</v>
      </c>
      <c r="K4020" s="11" t="str">
        <f aca="false">IF(I4020&lt;J4020,"TAK","NIE")</f>
        <v>NIE</v>
      </c>
    </row>
    <row r="4021" customFormat="false" ht="15" hidden="false" customHeight="false" outlineLevel="0" collapsed="false">
      <c r="A4021" s="5" t="s">
        <v>792</v>
      </c>
      <c r="B4021" s="5" t="s">
        <v>71</v>
      </c>
      <c r="C4021" s="5" t="n">
        <v>2023</v>
      </c>
      <c r="D4021" s="5" t="s">
        <v>42</v>
      </c>
      <c r="E4021" s="5" t="s">
        <v>75</v>
      </c>
      <c r="F4021" s="5" t="s">
        <v>40</v>
      </c>
      <c r="G4021" s="6" t="n">
        <v>728</v>
      </c>
      <c r="H4021" s="6" t="n">
        <v>212</v>
      </c>
      <c r="I4021" s="7" t="n">
        <f aca="false">(G4021-H4021)/G4021</f>
        <v>0.708791208791209</v>
      </c>
      <c r="J4021" s="15" t="n">
        <v>0.5372</v>
      </c>
      <c r="K4021" s="11" t="str">
        <f aca="false">IF(I4021&lt;J4021,"TAK","NIE")</f>
        <v>NIE</v>
      </c>
    </row>
    <row r="4022" customFormat="false" ht="15" hidden="false" customHeight="false" outlineLevel="0" collapsed="false">
      <c r="A4022" s="5" t="s">
        <v>793</v>
      </c>
      <c r="B4022" s="5" t="s">
        <v>71</v>
      </c>
      <c r="C4022" s="5" t="n">
        <v>2023</v>
      </c>
      <c r="D4022" s="5" t="s">
        <v>42</v>
      </c>
      <c r="E4022" s="5" t="s">
        <v>75</v>
      </c>
      <c r="F4022" s="5" t="s">
        <v>40</v>
      </c>
      <c r="G4022" s="6" t="n">
        <v>728</v>
      </c>
      <c r="H4022" s="6" t="n">
        <v>202</v>
      </c>
      <c r="I4022" s="7" t="n">
        <f aca="false">(G4022-H4022)/G4022</f>
        <v>0.722527472527473</v>
      </c>
      <c r="J4022" s="15" t="n">
        <v>0.5372</v>
      </c>
      <c r="K4022" s="11" t="str">
        <f aca="false">IF(I4022&lt;J4022,"TAK","NIE")</f>
        <v>NIE</v>
      </c>
    </row>
    <row r="4023" customFormat="false" ht="15" hidden="false" customHeight="false" outlineLevel="0" collapsed="false">
      <c r="A4023" s="5" t="s">
        <v>794</v>
      </c>
      <c r="B4023" s="5" t="s">
        <v>71</v>
      </c>
      <c r="C4023" s="5" t="n">
        <v>2023</v>
      </c>
      <c r="D4023" s="5" t="s">
        <v>42</v>
      </c>
      <c r="E4023" s="5" t="s">
        <v>75</v>
      </c>
      <c r="F4023" s="5" t="s">
        <v>40</v>
      </c>
      <c r="G4023" s="6" t="n">
        <v>728</v>
      </c>
      <c r="H4023" s="6" t="n">
        <v>156</v>
      </c>
      <c r="I4023" s="7" t="n">
        <f aca="false">(G4023-H4023)/G4023</f>
        <v>0.785714285714286</v>
      </c>
      <c r="J4023" s="15" t="n">
        <v>0.5372</v>
      </c>
      <c r="K4023" s="11" t="str">
        <f aca="false">IF(I4023&lt;J4023,"TAK","NIE")</f>
        <v>NIE</v>
      </c>
    </row>
    <row r="4024" customFormat="false" ht="15" hidden="false" customHeight="false" outlineLevel="0" collapsed="false">
      <c r="A4024" s="5" t="s">
        <v>795</v>
      </c>
      <c r="B4024" s="5" t="s">
        <v>71</v>
      </c>
      <c r="C4024" s="5" t="n">
        <v>2023</v>
      </c>
      <c r="D4024" s="5" t="s">
        <v>42</v>
      </c>
      <c r="E4024" s="5" t="s">
        <v>75</v>
      </c>
      <c r="F4024" s="5" t="s">
        <v>40</v>
      </c>
      <c r="G4024" s="6" t="n">
        <v>728</v>
      </c>
      <c r="H4024" s="6" t="n">
        <v>131</v>
      </c>
      <c r="I4024" s="7" t="n">
        <f aca="false">(G4024-H4024)/G4024</f>
        <v>0.820054945054945</v>
      </c>
      <c r="J4024" s="15" t="n">
        <v>0.5372</v>
      </c>
      <c r="K4024" s="11" t="str">
        <f aca="false">IF(I4024&lt;J4024,"TAK","NIE")</f>
        <v>NIE</v>
      </c>
    </row>
    <row r="4025" customFormat="false" ht="15" hidden="false" customHeight="false" outlineLevel="0" collapsed="false">
      <c r="A4025" s="5" t="s">
        <v>796</v>
      </c>
      <c r="B4025" s="5" t="s">
        <v>71</v>
      </c>
      <c r="C4025" s="5" t="n">
        <v>2023</v>
      </c>
      <c r="D4025" s="5" t="s">
        <v>42</v>
      </c>
      <c r="E4025" s="5" t="s">
        <v>75</v>
      </c>
      <c r="F4025" s="5" t="s">
        <v>40</v>
      </c>
      <c r="G4025" s="6" t="n">
        <v>728</v>
      </c>
      <c r="H4025" s="6" t="n">
        <v>167</v>
      </c>
      <c r="I4025" s="7" t="n">
        <f aca="false">(G4025-H4025)/G4025</f>
        <v>0.770604395604396</v>
      </c>
      <c r="J4025" s="15" t="n">
        <v>0.5372</v>
      </c>
      <c r="K4025" s="11" t="str">
        <f aca="false">IF(I4025&lt;J4025,"TAK","NIE")</f>
        <v>NIE</v>
      </c>
    </row>
    <row r="4026" customFormat="false" ht="15" hidden="false" customHeight="false" outlineLevel="0" collapsed="false">
      <c r="A4026" s="5" t="s">
        <v>768</v>
      </c>
      <c r="B4026" s="5" t="s">
        <v>47</v>
      </c>
      <c r="C4026" s="5" t="n">
        <v>2023</v>
      </c>
      <c r="D4026" s="5" t="s">
        <v>42</v>
      </c>
      <c r="E4026" s="5" t="s">
        <v>89</v>
      </c>
      <c r="F4026" s="5" t="s">
        <v>39</v>
      </c>
      <c r="G4026" s="6" t="n">
        <v>552</v>
      </c>
      <c r="H4026" s="6" t="n">
        <v>96</v>
      </c>
      <c r="I4026" s="7" t="n">
        <f aca="false">(G4026-H4026)/G4026</f>
        <v>0.826086956521739</v>
      </c>
      <c r="J4026" s="15" t="n">
        <v>0.5197</v>
      </c>
      <c r="K4026" s="11" t="str">
        <f aca="false">IF(I4026&lt;J4026,"TAK","NIE")</f>
        <v>NIE</v>
      </c>
    </row>
    <row r="4027" customFormat="false" ht="15" hidden="false" customHeight="false" outlineLevel="0" collapsed="false">
      <c r="A4027" s="5" t="s">
        <v>769</v>
      </c>
      <c r="B4027" s="5" t="s">
        <v>47</v>
      </c>
      <c r="C4027" s="5" t="n">
        <v>2023</v>
      </c>
      <c r="D4027" s="5" t="s">
        <v>42</v>
      </c>
      <c r="E4027" s="5" t="s">
        <v>89</v>
      </c>
      <c r="F4027" s="5" t="s">
        <v>39</v>
      </c>
      <c r="G4027" s="6" t="n">
        <v>551</v>
      </c>
      <c r="H4027" s="6" t="n">
        <v>44</v>
      </c>
      <c r="I4027" s="7" t="n">
        <f aca="false">(G4027-H4027)/G4027</f>
        <v>0.920145190562614</v>
      </c>
      <c r="J4027" s="15" t="n">
        <v>0.5197</v>
      </c>
      <c r="K4027" s="11" t="str">
        <f aca="false">IF(I4027&lt;J4027,"TAK","NIE")</f>
        <v>NIE</v>
      </c>
    </row>
    <row r="4028" customFormat="false" ht="15" hidden="false" customHeight="false" outlineLevel="0" collapsed="false">
      <c r="A4028" s="5" t="s">
        <v>770</v>
      </c>
      <c r="B4028" s="5" t="s">
        <v>47</v>
      </c>
      <c r="C4028" s="5" t="n">
        <v>2023</v>
      </c>
      <c r="D4028" s="5" t="s">
        <v>42</v>
      </c>
      <c r="E4028" s="5" t="s">
        <v>89</v>
      </c>
      <c r="F4028" s="5" t="s">
        <v>39</v>
      </c>
      <c r="G4028" s="6" t="n">
        <v>552</v>
      </c>
      <c r="H4028" s="6" t="n">
        <v>213</v>
      </c>
      <c r="I4028" s="7" t="n">
        <f aca="false">(G4028-H4028)/G4028</f>
        <v>0.614130434782609</v>
      </c>
      <c r="J4028" s="15" t="n">
        <v>0.5197</v>
      </c>
      <c r="K4028" s="11" t="str">
        <f aca="false">IF(I4028&lt;J4028,"TAK","NIE")</f>
        <v>NIE</v>
      </c>
    </row>
    <row r="4029" customFormat="false" ht="15" hidden="false" customHeight="false" outlineLevel="0" collapsed="false">
      <c r="A4029" s="5" t="s">
        <v>772</v>
      </c>
      <c r="B4029" s="5" t="s">
        <v>47</v>
      </c>
      <c r="C4029" s="5" t="n">
        <v>2023</v>
      </c>
      <c r="D4029" s="5" t="s">
        <v>42</v>
      </c>
      <c r="E4029" s="5" t="s">
        <v>89</v>
      </c>
      <c r="F4029" s="5" t="s">
        <v>39</v>
      </c>
      <c r="G4029" s="6" t="n">
        <v>552</v>
      </c>
      <c r="H4029" s="6" t="n">
        <v>159</v>
      </c>
      <c r="I4029" s="7" t="n">
        <f aca="false">(G4029-H4029)/G4029</f>
        <v>0.711956521739131</v>
      </c>
      <c r="J4029" s="15" t="n">
        <v>0.5197</v>
      </c>
      <c r="K4029" s="11" t="str">
        <f aca="false">IF(I4029&lt;J4029,"TAK","NIE")</f>
        <v>NIE</v>
      </c>
    </row>
    <row r="4030" customFormat="false" ht="15" hidden="false" customHeight="false" outlineLevel="0" collapsed="false">
      <c r="A4030" s="5" t="s">
        <v>773</v>
      </c>
      <c r="B4030" s="5" t="s">
        <v>47</v>
      </c>
      <c r="C4030" s="5" t="n">
        <v>2023</v>
      </c>
      <c r="D4030" s="5" t="s">
        <v>42</v>
      </c>
      <c r="E4030" s="5" t="s">
        <v>89</v>
      </c>
      <c r="F4030" s="5" t="s">
        <v>39</v>
      </c>
      <c r="G4030" s="6" t="n">
        <v>551</v>
      </c>
      <c r="H4030" s="6" t="n">
        <v>216</v>
      </c>
      <c r="I4030" s="7" t="n">
        <f aca="false">(G4030-H4030)/G4030</f>
        <v>0.607985480943739</v>
      </c>
      <c r="J4030" s="15" t="n">
        <v>0.5197</v>
      </c>
      <c r="K4030" s="11" t="str">
        <f aca="false">IF(I4030&lt;J4030,"TAK","NIE")</f>
        <v>NIE</v>
      </c>
    </row>
    <row r="4031" customFormat="false" ht="15" hidden="false" customHeight="false" outlineLevel="0" collapsed="false">
      <c r="A4031" s="5" t="s">
        <v>774</v>
      </c>
      <c r="B4031" s="5" t="s">
        <v>47</v>
      </c>
      <c r="C4031" s="5" t="n">
        <v>2023</v>
      </c>
      <c r="D4031" s="5" t="s">
        <v>42</v>
      </c>
      <c r="E4031" s="5" t="s">
        <v>89</v>
      </c>
      <c r="F4031" s="5" t="s">
        <v>39</v>
      </c>
      <c r="G4031" s="6" t="n">
        <v>552</v>
      </c>
      <c r="H4031" s="6" t="n">
        <v>85</v>
      </c>
      <c r="I4031" s="7" t="n">
        <f aca="false">(G4031-H4031)/G4031</f>
        <v>0.846014492753623</v>
      </c>
      <c r="J4031" s="15" t="n">
        <v>0.5197</v>
      </c>
      <c r="K4031" s="11" t="str">
        <f aca="false">IF(I4031&lt;J4031,"TAK","NIE")</f>
        <v>NIE</v>
      </c>
    </row>
    <row r="4032" customFormat="false" ht="15" hidden="false" customHeight="false" outlineLevel="0" collapsed="false">
      <c r="A4032" s="5" t="s">
        <v>775</v>
      </c>
      <c r="B4032" s="5" t="s">
        <v>47</v>
      </c>
      <c r="C4032" s="5" t="n">
        <v>2023</v>
      </c>
      <c r="D4032" s="5" t="s">
        <v>42</v>
      </c>
      <c r="E4032" s="5" t="s">
        <v>89</v>
      </c>
      <c r="F4032" s="5" t="s">
        <v>39</v>
      </c>
      <c r="G4032" s="6" t="n">
        <v>552</v>
      </c>
      <c r="H4032" s="6" t="n">
        <v>151</v>
      </c>
      <c r="I4032" s="7" t="n">
        <f aca="false">(G4032-H4032)/G4032</f>
        <v>0.726449275362319</v>
      </c>
      <c r="J4032" s="15" t="n">
        <v>0.5197</v>
      </c>
      <c r="K4032" s="11" t="str">
        <f aca="false">IF(I4032&lt;J4032,"TAK","NIE")</f>
        <v>NIE</v>
      </c>
    </row>
    <row r="4033" customFormat="false" ht="15" hidden="false" customHeight="false" outlineLevel="0" collapsed="false">
      <c r="A4033" s="5" t="s">
        <v>776</v>
      </c>
      <c r="B4033" s="5" t="s">
        <v>47</v>
      </c>
      <c r="C4033" s="5" t="n">
        <v>2023</v>
      </c>
      <c r="D4033" s="5" t="s">
        <v>42</v>
      </c>
      <c r="E4033" s="5" t="s">
        <v>89</v>
      </c>
      <c r="F4033" s="5" t="s">
        <v>39</v>
      </c>
      <c r="G4033" s="6" t="n">
        <v>552</v>
      </c>
      <c r="H4033" s="6" t="n">
        <v>88</v>
      </c>
      <c r="I4033" s="7" t="n">
        <f aca="false">(G4033-H4033)/G4033</f>
        <v>0.840579710144928</v>
      </c>
      <c r="J4033" s="15" t="n">
        <v>0.5197</v>
      </c>
      <c r="K4033" s="11" t="str">
        <f aca="false">IF(I4033&lt;J4033,"TAK","NIE")</f>
        <v>NIE</v>
      </c>
    </row>
    <row r="4034" customFormat="false" ht="15" hidden="false" customHeight="false" outlineLevel="0" collapsed="false">
      <c r="A4034" s="5" t="s">
        <v>777</v>
      </c>
      <c r="B4034" s="5" t="s">
        <v>47</v>
      </c>
      <c r="C4034" s="5" t="n">
        <v>2023</v>
      </c>
      <c r="D4034" s="5" t="s">
        <v>42</v>
      </c>
      <c r="E4034" s="5" t="s">
        <v>89</v>
      </c>
      <c r="F4034" s="5" t="s">
        <v>39</v>
      </c>
      <c r="G4034" s="6" t="n">
        <v>552</v>
      </c>
      <c r="H4034" s="6" t="n">
        <v>76</v>
      </c>
      <c r="I4034" s="7" t="n">
        <f aca="false">(G4034-H4034)/G4034</f>
        <v>0.86231884057971</v>
      </c>
      <c r="J4034" s="15" t="n">
        <v>0.5197</v>
      </c>
      <c r="K4034" s="11" t="str">
        <f aca="false">IF(I4034&lt;J4034,"TAK","NIE")</f>
        <v>NIE</v>
      </c>
    </row>
    <row r="4035" customFormat="false" ht="15" hidden="false" customHeight="false" outlineLevel="0" collapsed="false">
      <c r="A4035" s="5" t="s">
        <v>778</v>
      </c>
      <c r="B4035" s="5" t="s">
        <v>47</v>
      </c>
      <c r="C4035" s="5" t="n">
        <v>2023</v>
      </c>
      <c r="D4035" s="5" t="s">
        <v>42</v>
      </c>
      <c r="E4035" s="5" t="s">
        <v>89</v>
      </c>
      <c r="F4035" s="5" t="s">
        <v>39</v>
      </c>
      <c r="G4035" s="6" t="n">
        <v>552</v>
      </c>
      <c r="H4035" s="6" t="n">
        <v>98</v>
      </c>
      <c r="I4035" s="7" t="n">
        <f aca="false">(G4035-H4035)/G4035</f>
        <v>0.822463768115942</v>
      </c>
      <c r="J4035" s="15" t="n">
        <v>0.5197</v>
      </c>
      <c r="K4035" s="11" t="str">
        <f aca="false">IF(I4035&lt;J4035,"TAK","NIE")</f>
        <v>NIE</v>
      </c>
    </row>
    <row r="4036" customFormat="false" ht="15" hidden="false" customHeight="false" outlineLevel="0" collapsed="false">
      <c r="A4036" s="5" t="s">
        <v>779</v>
      </c>
      <c r="B4036" s="5" t="s">
        <v>47</v>
      </c>
      <c r="C4036" s="5" t="n">
        <v>2023</v>
      </c>
      <c r="D4036" s="5" t="s">
        <v>42</v>
      </c>
      <c r="E4036" s="5" t="s">
        <v>89</v>
      </c>
      <c r="F4036" s="5" t="s">
        <v>39</v>
      </c>
      <c r="G4036" s="6" t="n">
        <v>551</v>
      </c>
      <c r="H4036" s="6" t="n">
        <v>106</v>
      </c>
      <c r="I4036" s="7" t="n">
        <f aca="false">(G4036-H4036)/G4036</f>
        <v>0.807622504537205</v>
      </c>
      <c r="J4036" s="15" t="n">
        <v>0.5197</v>
      </c>
      <c r="K4036" s="11" t="str">
        <f aca="false">IF(I4036&lt;J4036,"TAK","NIE")</f>
        <v>NIE</v>
      </c>
    </row>
    <row r="4037" customFormat="false" ht="15" hidden="false" customHeight="false" outlineLevel="0" collapsed="false">
      <c r="A4037" s="5" t="s">
        <v>780</v>
      </c>
      <c r="B4037" s="5" t="s">
        <v>47</v>
      </c>
      <c r="C4037" s="5" t="n">
        <v>2023</v>
      </c>
      <c r="D4037" s="5" t="s">
        <v>42</v>
      </c>
      <c r="E4037" s="5" t="s">
        <v>89</v>
      </c>
      <c r="F4037" s="5" t="s">
        <v>39</v>
      </c>
      <c r="G4037" s="6" t="n">
        <v>552</v>
      </c>
      <c r="H4037" s="6" t="n">
        <v>104</v>
      </c>
      <c r="I4037" s="7" t="n">
        <f aca="false">(G4037-H4037)/G4037</f>
        <v>0.811594202898551</v>
      </c>
      <c r="J4037" s="15" t="n">
        <v>0.5197</v>
      </c>
      <c r="K4037" s="11" t="str">
        <f aca="false">IF(I4037&lt;J4037,"TAK","NIE")</f>
        <v>NIE</v>
      </c>
    </row>
    <row r="4038" customFormat="false" ht="15" hidden="false" customHeight="false" outlineLevel="0" collapsed="false">
      <c r="A4038" s="5" t="s">
        <v>781</v>
      </c>
      <c r="B4038" s="5" t="s">
        <v>47</v>
      </c>
      <c r="C4038" s="5" t="n">
        <v>2023</v>
      </c>
      <c r="D4038" s="5" t="s">
        <v>42</v>
      </c>
      <c r="E4038" s="5" t="s">
        <v>89</v>
      </c>
      <c r="F4038" s="5" t="s">
        <v>39</v>
      </c>
      <c r="G4038" s="6" t="n">
        <v>552</v>
      </c>
      <c r="H4038" s="6" t="n">
        <v>98</v>
      </c>
      <c r="I4038" s="7" t="n">
        <f aca="false">(G4038-H4038)/G4038</f>
        <v>0.822463768115942</v>
      </c>
      <c r="J4038" s="15" t="n">
        <v>0.5197</v>
      </c>
      <c r="K4038" s="11" t="str">
        <f aca="false">IF(I4038&lt;J4038,"TAK","NIE")</f>
        <v>NIE</v>
      </c>
    </row>
    <row r="4039" customFormat="false" ht="15" hidden="false" customHeight="false" outlineLevel="0" collapsed="false">
      <c r="A4039" s="5" t="s">
        <v>782</v>
      </c>
      <c r="B4039" s="5" t="s">
        <v>47</v>
      </c>
      <c r="C4039" s="5" t="n">
        <v>2023</v>
      </c>
      <c r="D4039" s="5" t="s">
        <v>42</v>
      </c>
      <c r="E4039" s="5" t="s">
        <v>89</v>
      </c>
      <c r="F4039" s="5" t="s">
        <v>39</v>
      </c>
      <c r="G4039" s="6" t="n">
        <v>551</v>
      </c>
      <c r="H4039" s="6" t="n">
        <v>120</v>
      </c>
      <c r="I4039" s="7" t="n">
        <f aca="false">(G4039-H4039)/G4039</f>
        <v>0.782214156079855</v>
      </c>
      <c r="J4039" s="15" t="n">
        <v>0.5197</v>
      </c>
      <c r="K4039" s="11" t="str">
        <f aca="false">IF(I4039&lt;J4039,"TAK","NIE")</f>
        <v>NIE</v>
      </c>
    </row>
    <row r="4040" customFormat="false" ht="15" hidden="false" customHeight="false" outlineLevel="0" collapsed="false">
      <c r="A4040" s="5" t="s">
        <v>783</v>
      </c>
      <c r="B4040" s="5" t="s">
        <v>47</v>
      </c>
      <c r="C4040" s="5" t="n">
        <v>2023</v>
      </c>
      <c r="D4040" s="5" t="s">
        <v>42</v>
      </c>
      <c r="E4040" s="5" t="s">
        <v>89</v>
      </c>
      <c r="F4040" s="5" t="s">
        <v>39</v>
      </c>
      <c r="G4040" s="6" t="n">
        <v>551</v>
      </c>
      <c r="H4040" s="6" t="n">
        <v>167</v>
      </c>
      <c r="I4040" s="7" t="n">
        <f aca="false">(G4040-H4040)/G4040</f>
        <v>0.696914700544465</v>
      </c>
      <c r="J4040" s="15" t="n">
        <v>0.5197</v>
      </c>
      <c r="K4040" s="11" t="str">
        <f aca="false">IF(I4040&lt;J4040,"TAK","NIE")</f>
        <v>NIE</v>
      </c>
    </row>
    <row r="4041" customFormat="false" ht="15" hidden="false" customHeight="false" outlineLevel="0" collapsed="false">
      <c r="A4041" s="5" t="s">
        <v>785</v>
      </c>
      <c r="B4041" s="5" t="s">
        <v>47</v>
      </c>
      <c r="C4041" s="5" t="n">
        <v>2023</v>
      </c>
      <c r="D4041" s="5" t="s">
        <v>42</v>
      </c>
      <c r="E4041" s="5" t="s">
        <v>89</v>
      </c>
      <c r="F4041" s="5" t="s">
        <v>39</v>
      </c>
      <c r="G4041" s="6" t="n">
        <v>368</v>
      </c>
      <c r="H4041" s="6" t="n">
        <v>188</v>
      </c>
      <c r="I4041" s="7" t="n">
        <f aca="false">(G4041-H4041)/G4041</f>
        <v>0.489130434782609</v>
      </c>
      <c r="J4041" s="15" t="n">
        <v>0.5197</v>
      </c>
      <c r="K4041" s="11" t="str">
        <f aca="false">IF(I4041&lt;J4041,"TAK","NIE")</f>
        <v>TAK</v>
      </c>
    </row>
    <row r="4042" customFormat="false" ht="15" hidden="false" customHeight="false" outlineLevel="0" collapsed="false">
      <c r="A4042" s="5" t="s">
        <v>787</v>
      </c>
      <c r="B4042" s="5" t="s">
        <v>47</v>
      </c>
      <c r="C4042" s="5" t="n">
        <v>2023</v>
      </c>
      <c r="D4042" s="5" t="s">
        <v>42</v>
      </c>
      <c r="E4042" s="5" t="s">
        <v>89</v>
      </c>
      <c r="F4042" s="5" t="s">
        <v>39</v>
      </c>
      <c r="G4042" s="6" t="n">
        <v>551</v>
      </c>
      <c r="H4042" s="6" t="n">
        <v>107</v>
      </c>
      <c r="I4042" s="7" t="n">
        <f aca="false">(G4042-H4042)/G4042</f>
        <v>0.805807622504537</v>
      </c>
      <c r="J4042" s="15" t="n">
        <v>0.5197</v>
      </c>
      <c r="K4042" s="11" t="str">
        <f aca="false">IF(I4042&lt;J4042,"TAK","NIE")</f>
        <v>NIE</v>
      </c>
    </row>
    <row r="4043" customFormat="false" ht="15" hidden="false" customHeight="false" outlineLevel="0" collapsed="false">
      <c r="A4043" s="5" t="s">
        <v>788</v>
      </c>
      <c r="B4043" s="5" t="s">
        <v>47</v>
      </c>
      <c r="C4043" s="5" t="n">
        <v>2023</v>
      </c>
      <c r="D4043" s="5" t="s">
        <v>42</v>
      </c>
      <c r="E4043" s="5" t="s">
        <v>89</v>
      </c>
      <c r="F4043" s="5" t="s">
        <v>39</v>
      </c>
      <c r="G4043" s="6" t="n">
        <v>551</v>
      </c>
      <c r="H4043" s="6" t="n">
        <v>161</v>
      </c>
      <c r="I4043" s="7" t="n">
        <f aca="false">(G4043-H4043)/G4043</f>
        <v>0.707803992740472</v>
      </c>
      <c r="J4043" s="15" t="n">
        <v>0.5197</v>
      </c>
      <c r="K4043" s="11" t="str">
        <f aca="false">IF(I4043&lt;J4043,"TAK","NIE")</f>
        <v>NIE</v>
      </c>
    </row>
    <row r="4044" customFormat="false" ht="15" hidden="false" customHeight="false" outlineLevel="0" collapsed="false">
      <c r="A4044" s="5" t="s">
        <v>789</v>
      </c>
      <c r="B4044" s="5" t="s">
        <v>47</v>
      </c>
      <c r="C4044" s="5" t="n">
        <v>2023</v>
      </c>
      <c r="D4044" s="5" t="s">
        <v>42</v>
      </c>
      <c r="E4044" s="5" t="s">
        <v>89</v>
      </c>
      <c r="F4044" s="5" t="s">
        <v>39</v>
      </c>
      <c r="G4044" s="6" t="n">
        <v>551</v>
      </c>
      <c r="H4044" s="6" t="n">
        <v>83</v>
      </c>
      <c r="I4044" s="7" t="n">
        <f aca="false">(G4044-H4044)/G4044</f>
        <v>0.849364791288566</v>
      </c>
      <c r="J4044" s="15" t="n">
        <v>0.5197</v>
      </c>
      <c r="K4044" s="11" t="str">
        <f aca="false">IF(I4044&lt;J4044,"TAK","NIE")</f>
        <v>NIE</v>
      </c>
    </row>
    <row r="4045" customFormat="false" ht="15" hidden="false" customHeight="false" outlineLevel="0" collapsed="false">
      <c r="A4045" s="5" t="s">
        <v>790</v>
      </c>
      <c r="B4045" s="5" t="s">
        <v>47</v>
      </c>
      <c r="C4045" s="5" t="n">
        <v>2023</v>
      </c>
      <c r="D4045" s="5" t="s">
        <v>42</v>
      </c>
      <c r="E4045" s="5" t="s">
        <v>89</v>
      </c>
      <c r="F4045" s="5" t="s">
        <v>39</v>
      </c>
      <c r="G4045" s="6" t="n">
        <v>552</v>
      </c>
      <c r="H4045" s="6" t="n">
        <v>153</v>
      </c>
      <c r="I4045" s="7" t="n">
        <f aca="false">(G4045-H4045)/G4045</f>
        <v>0.722826086956522</v>
      </c>
      <c r="J4045" s="15" t="n">
        <v>0.5197</v>
      </c>
      <c r="K4045" s="11" t="str">
        <f aca="false">IF(I4045&lt;J4045,"TAK","NIE")</f>
        <v>NIE</v>
      </c>
    </row>
    <row r="4046" customFormat="false" ht="15" hidden="false" customHeight="false" outlineLevel="0" collapsed="false">
      <c r="A4046" s="5" t="s">
        <v>791</v>
      </c>
      <c r="B4046" s="5" t="s">
        <v>47</v>
      </c>
      <c r="C4046" s="5" t="n">
        <v>2023</v>
      </c>
      <c r="D4046" s="5" t="s">
        <v>42</v>
      </c>
      <c r="E4046" s="5" t="s">
        <v>89</v>
      </c>
      <c r="F4046" s="5" t="s">
        <v>39</v>
      </c>
      <c r="G4046" s="6" t="n">
        <v>552</v>
      </c>
      <c r="H4046" s="6" t="n">
        <v>22</v>
      </c>
      <c r="I4046" s="7" t="n">
        <f aca="false">(G4046-H4046)/G4046</f>
        <v>0.960144927536232</v>
      </c>
      <c r="J4046" s="15" t="n">
        <v>0.5197</v>
      </c>
      <c r="K4046" s="11" t="str">
        <f aca="false">IF(I4046&lt;J4046,"TAK","NIE")</f>
        <v>NIE</v>
      </c>
    </row>
    <row r="4047" customFormat="false" ht="15" hidden="false" customHeight="false" outlineLevel="0" collapsed="false">
      <c r="A4047" s="5" t="s">
        <v>792</v>
      </c>
      <c r="B4047" s="5" t="s">
        <v>47</v>
      </c>
      <c r="C4047" s="5" t="n">
        <v>2023</v>
      </c>
      <c r="D4047" s="5" t="s">
        <v>42</v>
      </c>
      <c r="E4047" s="5" t="s">
        <v>89</v>
      </c>
      <c r="F4047" s="5" t="s">
        <v>39</v>
      </c>
      <c r="G4047" s="6" t="n">
        <v>551</v>
      </c>
      <c r="H4047" s="6" t="n">
        <v>185</v>
      </c>
      <c r="I4047" s="7" t="n">
        <f aca="false">(G4047-H4047)/G4047</f>
        <v>0.664246823956443</v>
      </c>
      <c r="J4047" s="15" t="n">
        <v>0.5197</v>
      </c>
      <c r="K4047" s="11" t="str">
        <f aca="false">IF(I4047&lt;J4047,"TAK","NIE")</f>
        <v>NIE</v>
      </c>
    </row>
    <row r="4048" customFormat="false" ht="15" hidden="false" customHeight="false" outlineLevel="0" collapsed="false">
      <c r="A4048" s="5" t="s">
        <v>793</v>
      </c>
      <c r="B4048" s="5" t="s">
        <v>47</v>
      </c>
      <c r="C4048" s="5" t="n">
        <v>2023</v>
      </c>
      <c r="D4048" s="5" t="s">
        <v>42</v>
      </c>
      <c r="E4048" s="5" t="s">
        <v>89</v>
      </c>
      <c r="F4048" s="5" t="s">
        <v>39</v>
      </c>
      <c r="G4048" s="6" t="n">
        <v>551</v>
      </c>
      <c r="H4048" s="6" t="n">
        <v>72</v>
      </c>
      <c r="I4048" s="7" t="n">
        <f aca="false">(G4048-H4048)/G4048</f>
        <v>0.869328493647913</v>
      </c>
      <c r="J4048" s="15" t="n">
        <v>0.5197</v>
      </c>
      <c r="K4048" s="11" t="str">
        <f aca="false">IF(I4048&lt;J4048,"TAK","NIE")</f>
        <v>NIE</v>
      </c>
    </row>
    <row r="4049" customFormat="false" ht="15" hidden="false" customHeight="false" outlineLevel="0" collapsed="false">
      <c r="A4049" s="5" t="s">
        <v>794</v>
      </c>
      <c r="B4049" s="5" t="s">
        <v>47</v>
      </c>
      <c r="C4049" s="5" t="n">
        <v>2023</v>
      </c>
      <c r="D4049" s="5" t="s">
        <v>42</v>
      </c>
      <c r="E4049" s="5" t="s">
        <v>89</v>
      </c>
      <c r="F4049" s="5" t="s">
        <v>39</v>
      </c>
      <c r="G4049" s="6" t="n">
        <v>552</v>
      </c>
      <c r="H4049" s="6" t="n">
        <v>32</v>
      </c>
      <c r="I4049" s="7" t="n">
        <f aca="false">(G4049-H4049)/G4049</f>
        <v>0.942028985507246</v>
      </c>
      <c r="J4049" s="15" t="n">
        <v>0.5197</v>
      </c>
      <c r="K4049" s="11" t="str">
        <f aca="false">IF(I4049&lt;J4049,"TAK","NIE")</f>
        <v>NIE</v>
      </c>
    </row>
    <row r="4050" customFormat="false" ht="15" hidden="false" customHeight="false" outlineLevel="0" collapsed="false">
      <c r="A4050" s="5" t="s">
        <v>795</v>
      </c>
      <c r="B4050" s="5" t="s">
        <v>47</v>
      </c>
      <c r="C4050" s="5" t="n">
        <v>2023</v>
      </c>
      <c r="D4050" s="5" t="s">
        <v>42</v>
      </c>
      <c r="E4050" s="5" t="s">
        <v>89</v>
      </c>
      <c r="F4050" s="5" t="s">
        <v>39</v>
      </c>
      <c r="G4050" s="6" t="n">
        <v>551</v>
      </c>
      <c r="H4050" s="6" t="n">
        <v>129</v>
      </c>
      <c r="I4050" s="7" t="n">
        <f aca="false">(G4050-H4050)/G4050</f>
        <v>0.765880217785844</v>
      </c>
      <c r="J4050" s="15" t="n">
        <v>0.5197</v>
      </c>
      <c r="K4050" s="11" t="str">
        <f aca="false">IF(I4050&lt;J4050,"TAK","NIE")</f>
        <v>NIE</v>
      </c>
    </row>
    <row r="4051" customFormat="false" ht="15" hidden="false" customHeight="false" outlineLevel="0" collapsed="false">
      <c r="A4051" s="5" t="s">
        <v>796</v>
      </c>
      <c r="B4051" s="5" t="s">
        <v>47</v>
      </c>
      <c r="C4051" s="5" t="n">
        <v>2023</v>
      </c>
      <c r="D4051" s="5" t="s">
        <v>42</v>
      </c>
      <c r="E4051" s="5" t="s">
        <v>89</v>
      </c>
      <c r="F4051" s="5" t="s">
        <v>39</v>
      </c>
      <c r="G4051" s="6" t="n">
        <v>551</v>
      </c>
      <c r="H4051" s="6" t="n">
        <v>91</v>
      </c>
      <c r="I4051" s="7" t="n">
        <f aca="false">(G4051-H4051)/G4051</f>
        <v>0.834845735027223</v>
      </c>
      <c r="J4051" s="15" t="n">
        <v>0.5197</v>
      </c>
      <c r="K4051" s="11" t="str">
        <f aca="false">IF(I4051&lt;J4051,"TAK","NIE")</f>
        <v>NIE</v>
      </c>
    </row>
    <row r="4052" customFormat="false" ht="15" hidden="false" customHeight="false" outlineLevel="0" collapsed="false">
      <c r="A4052" s="5" t="s">
        <v>768</v>
      </c>
      <c r="B4052" s="5" t="s">
        <v>47</v>
      </c>
      <c r="C4052" s="5" t="n">
        <v>2023</v>
      </c>
      <c r="D4052" s="5" t="s">
        <v>42</v>
      </c>
      <c r="E4052" s="5" t="s">
        <v>89</v>
      </c>
      <c r="F4052" s="5" t="s">
        <v>40</v>
      </c>
      <c r="G4052" s="6" t="n">
        <v>666</v>
      </c>
      <c r="H4052" s="6" t="n">
        <v>199</v>
      </c>
      <c r="I4052" s="7" t="n">
        <f aca="false">(G4052-H4052)/G4052</f>
        <v>0.701201201201201</v>
      </c>
      <c r="J4052" s="15" t="n">
        <v>0.3125</v>
      </c>
      <c r="K4052" s="11" t="str">
        <f aca="false">IF(I4052&lt;J4052,"TAK","NIE")</f>
        <v>NIE</v>
      </c>
    </row>
    <row r="4053" customFormat="false" ht="15" hidden="false" customHeight="false" outlineLevel="0" collapsed="false">
      <c r="A4053" s="5" t="s">
        <v>769</v>
      </c>
      <c r="B4053" s="5" t="s">
        <v>47</v>
      </c>
      <c r="C4053" s="5" t="n">
        <v>2023</v>
      </c>
      <c r="D4053" s="5" t="s">
        <v>42</v>
      </c>
      <c r="E4053" s="5" t="s">
        <v>89</v>
      </c>
      <c r="F4053" s="5" t="s">
        <v>40</v>
      </c>
      <c r="G4053" s="6" t="n">
        <v>664</v>
      </c>
      <c r="H4053" s="6" t="n">
        <v>160</v>
      </c>
      <c r="I4053" s="7" t="n">
        <f aca="false">(G4053-H4053)/G4053</f>
        <v>0.759036144578313</v>
      </c>
      <c r="J4053" s="15" t="n">
        <v>0.3125</v>
      </c>
      <c r="K4053" s="11" t="str">
        <f aca="false">IF(I4053&lt;J4053,"TAK","NIE")</f>
        <v>NIE</v>
      </c>
    </row>
    <row r="4054" customFormat="false" ht="15" hidden="false" customHeight="false" outlineLevel="0" collapsed="false">
      <c r="A4054" s="5" t="s">
        <v>770</v>
      </c>
      <c r="B4054" s="5" t="s">
        <v>47</v>
      </c>
      <c r="C4054" s="5" t="n">
        <v>2023</v>
      </c>
      <c r="D4054" s="5" t="s">
        <v>42</v>
      </c>
      <c r="E4054" s="5" t="s">
        <v>89</v>
      </c>
      <c r="F4054" s="5" t="s">
        <v>40</v>
      </c>
      <c r="G4054" s="6" t="n">
        <v>666</v>
      </c>
      <c r="H4054" s="6" t="n">
        <v>366</v>
      </c>
      <c r="I4054" s="7" t="n">
        <f aca="false">(G4054-H4054)/G4054</f>
        <v>0.45045045045045</v>
      </c>
      <c r="J4054" s="15" t="n">
        <v>0.3125</v>
      </c>
      <c r="K4054" s="11" t="str">
        <f aca="false">IF(I4054&lt;J4054,"TAK","NIE")</f>
        <v>NIE</v>
      </c>
    </row>
    <row r="4055" customFormat="false" ht="15" hidden="false" customHeight="false" outlineLevel="0" collapsed="false">
      <c r="A4055" s="5" t="s">
        <v>772</v>
      </c>
      <c r="B4055" s="5" t="s">
        <v>47</v>
      </c>
      <c r="C4055" s="5" t="n">
        <v>2023</v>
      </c>
      <c r="D4055" s="5" t="s">
        <v>42</v>
      </c>
      <c r="E4055" s="5" t="s">
        <v>89</v>
      </c>
      <c r="F4055" s="5" t="s">
        <v>40</v>
      </c>
      <c r="G4055" s="6" t="n">
        <v>666</v>
      </c>
      <c r="H4055" s="6" t="n">
        <v>327</v>
      </c>
      <c r="I4055" s="7" t="n">
        <f aca="false">(G4055-H4055)/G4055</f>
        <v>0.509009009009009</v>
      </c>
      <c r="J4055" s="15" t="n">
        <v>0.3125</v>
      </c>
      <c r="K4055" s="11" t="str">
        <f aca="false">IF(I4055&lt;J4055,"TAK","NIE")</f>
        <v>NIE</v>
      </c>
    </row>
    <row r="4056" customFormat="false" ht="15" hidden="false" customHeight="false" outlineLevel="0" collapsed="false">
      <c r="A4056" s="5" t="s">
        <v>773</v>
      </c>
      <c r="B4056" s="5" t="s">
        <v>47</v>
      </c>
      <c r="C4056" s="5" t="n">
        <v>2023</v>
      </c>
      <c r="D4056" s="5" t="s">
        <v>42</v>
      </c>
      <c r="E4056" s="5" t="s">
        <v>89</v>
      </c>
      <c r="F4056" s="5" t="s">
        <v>40</v>
      </c>
      <c r="G4056" s="6" t="n">
        <v>664</v>
      </c>
      <c r="H4056" s="6" t="n">
        <v>338</v>
      </c>
      <c r="I4056" s="7" t="n">
        <f aca="false">(G4056-H4056)/G4056</f>
        <v>0.490963855421687</v>
      </c>
      <c r="J4056" s="15" t="n">
        <v>0.3125</v>
      </c>
      <c r="K4056" s="11" t="str">
        <f aca="false">IF(I4056&lt;J4056,"TAK","NIE")</f>
        <v>NIE</v>
      </c>
    </row>
    <row r="4057" customFormat="false" ht="15" hidden="false" customHeight="false" outlineLevel="0" collapsed="false">
      <c r="A4057" s="5" t="s">
        <v>774</v>
      </c>
      <c r="B4057" s="5" t="s">
        <v>47</v>
      </c>
      <c r="C4057" s="5" t="n">
        <v>2023</v>
      </c>
      <c r="D4057" s="5" t="s">
        <v>42</v>
      </c>
      <c r="E4057" s="5" t="s">
        <v>89</v>
      </c>
      <c r="F4057" s="5" t="s">
        <v>40</v>
      </c>
      <c r="G4057" s="6" t="n">
        <v>666</v>
      </c>
      <c r="H4057" s="6" t="n">
        <v>307</v>
      </c>
      <c r="I4057" s="7" t="n">
        <f aca="false">(G4057-H4057)/G4057</f>
        <v>0.539039039039039</v>
      </c>
      <c r="J4057" s="15" t="n">
        <v>0.3125</v>
      </c>
      <c r="K4057" s="11" t="str">
        <f aca="false">IF(I4057&lt;J4057,"TAK","NIE")</f>
        <v>NIE</v>
      </c>
    </row>
    <row r="4058" customFormat="false" ht="15" hidden="false" customHeight="false" outlineLevel="0" collapsed="false">
      <c r="A4058" s="5" t="s">
        <v>775</v>
      </c>
      <c r="B4058" s="5" t="s">
        <v>47</v>
      </c>
      <c r="C4058" s="5" t="n">
        <v>2023</v>
      </c>
      <c r="D4058" s="5" t="s">
        <v>42</v>
      </c>
      <c r="E4058" s="5" t="s">
        <v>89</v>
      </c>
      <c r="F4058" s="5" t="s">
        <v>40</v>
      </c>
      <c r="G4058" s="6" t="n">
        <v>666</v>
      </c>
      <c r="H4058" s="6" t="n">
        <v>269</v>
      </c>
      <c r="I4058" s="7" t="n">
        <f aca="false">(G4058-H4058)/G4058</f>
        <v>0.596096096096096</v>
      </c>
      <c r="J4058" s="15" t="n">
        <v>0.3125</v>
      </c>
      <c r="K4058" s="11" t="str">
        <f aca="false">IF(I4058&lt;J4058,"TAK","NIE")</f>
        <v>NIE</v>
      </c>
    </row>
    <row r="4059" customFormat="false" ht="15" hidden="false" customHeight="false" outlineLevel="0" collapsed="false">
      <c r="A4059" s="5" t="s">
        <v>776</v>
      </c>
      <c r="B4059" s="5" t="s">
        <v>47</v>
      </c>
      <c r="C4059" s="5" t="n">
        <v>2023</v>
      </c>
      <c r="D4059" s="5" t="s">
        <v>42</v>
      </c>
      <c r="E4059" s="5" t="s">
        <v>89</v>
      </c>
      <c r="F4059" s="5" t="s">
        <v>40</v>
      </c>
      <c r="G4059" s="6" t="n">
        <v>666</v>
      </c>
      <c r="H4059" s="6" t="n">
        <v>128</v>
      </c>
      <c r="I4059" s="7" t="n">
        <f aca="false">(G4059-H4059)/G4059</f>
        <v>0.807807807807808</v>
      </c>
      <c r="J4059" s="15" t="n">
        <v>0.3125</v>
      </c>
      <c r="K4059" s="11" t="str">
        <f aca="false">IF(I4059&lt;J4059,"TAK","NIE")</f>
        <v>NIE</v>
      </c>
    </row>
    <row r="4060" customFormat="false" ht="15" hidden="false" customHeight="false" outlineLevel="0" collapsed="false">
      <c r="A4060" s="5" t="s">
        <v>777</v>
      </c>
      <c r="B4060" s="5" t="s">
        <v>47</v>
      </c>
      <c r="C4060" s="5" t="n">
        <v>2023</v>
      </c>
      <c r="D4060" s="5" t="s">
        <v>42</v>
      </c>
      <c r="E4060" s="5" t="s">
        <v>89</v>
      </c>
      <c r="F4060" s="5" t="s">
        <v>40</v>
      </c>
      <c r="G4060" s="6" t="n">
        <v>666</v>
      </c>
      <c r="H4060" s="6" t="n">
        <v>128</v>
      </c>
      <c r="I4060" s="7" t="n">
        <f aca="false">(G4060-H4060)/G4060</f>
        <v>0.807807807807808</v>
      </c>
      <c r="J4060" s="15" t="n">
        <v>0.3125</v>
      </c>
      <c r="K4060" s="11" t="str">
        <f aca="false">IF(I4060&lt;J4060,"TAK","NIE")</f>
        <v>NIE</v>
      </c>
    </row>
    <row r="4061" customFormat="false" ht="15" hidden="false" customHeight="false" outlineLevel="0" collapsed="false">
      <c r="A4061" s="5" t="s">
        <v>778</v>
      </c>
      <c r="B4061" s="5" t="s">
        <v>47</v>
      </c>
      <c r="C4061" s="5" t="n">
        <v>2023</v>
      </c>
      <c r="D4061" s="5" t="s">
        <v>42</v>
      </c>
      <c r="E4061" s="5" t="s">
        <v>89</v>
      </c>
      <c r="F4061" s="5" t="s">
        <v>40</v>
      </c>
      <c r="G4061" s="6" t="n">
        <v>666</v>
      </c>
      <c r="H4061" s="6" t="n">
        <v>190</v>
      </c>
      <c r="I4061" s="7" t="n">
        <f aca="false">(G4061-H4061)/G4061</f>
        <v>0.714714714714715</v>
      </c>
      <c r="J4061" s="15" t="n">
        <v>0.3125</v>
      </c>
      <c r="K4061" s="11" t="str">
        <f aca="false">IF(I4061&lt;J4061,"TAK","NIE")</f>
        <v>NIE</v>
      </c>
    </row>
    <row r="4062" customFormat="false" ht="15" hidden="false" customHeight="false" outlineLevel="0" collapsed="false">
      <c r="A4062" s="5" t="s">
        <v>779</v>
      </c>
      <c r="B4062" s="5" t="s">
        <v>47</v>
      </c>
      <c r="C4062" s="5" t="n">
        <v>2023</v>
      </c>
      <c r="D4062" s="5" t="s">
        <v>42</v>
      </c>
      <c r="E4062" s="5" t="s">
        <v>89</v>
      </c>
      <c r="F4062" s="5" t="s">
        <v>40</v>
      </c>
      <c r="G4062" s="6" t="n">
        <v>664</v>
      </c>
      <c r="H4062" s="6" t="n">
        <v>331</v>
      </c>
      <c r="I4062" s="7" t="n">
        <f aca="false">(G4062-H4062)/G4062</f>
        <v>0.501506024096386</v>
      </c>
      <c r="J4062" s="15" t="n">
        <v>0.3125</v>
      </c>
      <c r="K4062" s="11" t="str">
        <f aca="false">IF(I4062&lt;J4062,"TAK","NIE")</f>
        <v>NIE</v>
      </c>
    </row>
    <row r="4063" customFormat="false" ht="15" hidden="false" customHeight="false" outlineLevel="0" collapsed="false">
      <c r="A4063" s="5" t="s">
        <v>780</v>
      </c>
      <c r="B4063" s="5" t="s">
        <v>47</v>
      </c>
      <c r="C4063" s="5" t="n">
        <v>2023</v>
      </c>
      <c r="D4063" s="5" t="s">
        <v>42</v>
      </c>
      <c r="E4063" s="5" t="s">
        <v>89</v>
      </c>
      <c r="F4063" s="5" t="s">
        <v>40</v>
      </c>
      <c r="G4063" s="6" t="n">
        <v>666</v>
      </c>
      <c r="H4063" s="6" t="n">
        <v>200</v>
      </c>
      <c r="I4063" s="7" t="n">
        <f aca="false">(G4063-H4063)/G4063</f>
        <v>0.6996996996997</v>
      </c>
      <c r="J4063" s="15" t="n">
        <v>0.3125</v>
      </c>
      <c r="K4063" s="11" t="str">
        <f aca="false">IF(I4063&lt;J4063,"TAK","NIE")</f>
        <v>NIE</v>
      </c>
    </row>
    <row r="4064" customFormat="false" ht="15" hidden="false" customHeight="false" outlineLevel="0" collapsed="false">
      <c r="A4064" s="5" t="s">
        <v>781</v>
      </c>
      <c r="B4064" s="5" t="s">
        <v>47</v>
      </c>
      <c r="C4064" s="5" t="n">
        <v>2023</v>
      </c>
      <c r="D4064" s="5" t="s">
        <v>42</v>
      </c>
      <c r="E4064" s="5" t="s">
        <v>89</v>
      </c>
      <c r="F4064" s="5" t="s">
        <v>40</v>
      </c>
      <c r="G4064" s="6" t="n">
        <v>666</v>
      </c>
      <c r="H4064" s="6" t="n">
        <v>210</v>
      </c>
      <c r="I4064" s="7" t="n">
        <f aca="false">(G4064-H4064)/G4064</f>
        <v>0.684684684684685</v>
      </c>
      <c r="J4064" s="15" t="n">
        <v>0.3125</v>
      </c>
      <c r="K4064" s="11" t="str">
        <f aca="false">IF(I4064&lt;J4064,"TAK","NIE")</f>
        <v>NIE</v>
      </c>
    </row>
    <row r="4065" customFormat="false" ht="15" hidden="false" customHeight="false" outlineLevel="0" collapsed="false">
      <c r="A4065" s="5" t="s">
        <v>782</v>
      </c>
      <c r="B4065" s="5" t="s">
        <v>47</v>
      </c>
      <c r="C4065" s="5" t="n">
        <v>2023</v>
      </c>
      <c r="D4065" s="5" t="s">
        <v>42</v>
      </c>
      <c r="E4065" s="5" t="s">
        <v>89</v>
      </c>
      <c r="F4065" s="5" t="s">
        <v>40</v>
      </c>
      <c r="G4065" s="6" t="n">
        <v>664</v>
      </c>
      <c r="H4065" s="6" t="n">
        <v>278</v>
      </c>
      <c r="I4065" s="7" t="n">
        <f aca="false">(G4065-H4065)/G4065</f>
        <v>0.581325301204819</v>
      </c>
      <c r="J4065" s="15" t="n">
        <v>0.3125</v>
      </c>
      <c r="K4065" s="11" t="str">
        <f aca="false">IF(I4065&lt;J4065,"TAK","NIE")</f>
        <v>NIE</v>
      </c>
    </row>
    <row r="4066" customFormat="false" ht="15" hidden="false" customHeight="false" outlineLevel="0" collapsed="false">
      <c r="A4066" s="5" t="s">
        <v>783</v>
      </c>
      <c r="B4066" s="5" t="s">
        <v>47</v>
      </c>
      <c r="C4066" s="5" t="n">
        <v>2023</v>
      </c>
      <c r="D4066" s="5" t="s">
        <v>42</v>
      </c>
      <c r="E4066" s="5" t="s">
        <v>89</v>
      </c>
      <c r="F4066" s="5" t="s">
        <v>40</v>
      </c>
      <c r="G4066" s="6" t="n">
        <v>664</v>
      </c>
      <c r="H4066" s="6" t="n">
        <v>323</v>
      </c>
      <c r="I4066" s="7" t="n">
        <f aca="false">(G4066-H4066)/G4066</f>
        <v>0.51355421686747</v>
      </c>
      <c r="J4066" s="15" t="n">
        <v>0.3125</v>
      </c>
      <c r="K4066" s="11" t="str">
        <f aca="false">IF(I4066&lt;J4066,"TAK","NIE")</f>
        <v>NIE</v>
      </c>
    </row>
    <row r="4067" customFormat="false" ht="15" hidden="false" customHeight="false" outlineLevel="0" collapsed="false">
      <c r="A4067" s="5" t="s">
        <v>787</v>
      </c>
      <c r="B4067" s="5" t="s">
        <v>47</v>
      </c>
      <c r="C4067" s="5" t="n">
        <v>2023</v>
      </c>
      <c r="D4067" s="5" t="s">
        <v>42</v>
      </c>
      <c r="E4067" s="5" t="s">
        <v>89</v>
      </c>
      <c r="F4067" s="5" t="s">
        <v>40</v>
      </c>
      <c r="G4067" s="6" t="n">
        <v>664</v>
      </c>
      <c r="H4067" s="6" t="n">
        <v>214</v>
      </c>
      <c r="I4067" s="7" t="n">
        <f aca="false">(G4067-H4067)/G4067</f>
        <v>0.677710843373494</v>
      </c>
      <c r="J4067" s="15" t="n">
        <v>0.3125</v>
      </c>
      <c r="K4067" s="11" t="str">
        <f aca="false">IF(I4067&lt;J4067,"TAK","NIE")</f>
        <v>NIE</v>
      </c>
    </row>
    <row r="4068" customFormat="false" ht="15" hidden="false" customHeight="false" outlineLevel="0" collapsed="false">
      <c r="A4068" s="5" t="s">
        <v>788</v>
      </c>
      <c r="B4068" s="5" t="s">
        <v>47</v>
      </c>
      <c r="C4068" s="5" t="n">
        <v>2023</v>
      </c>
      <c r="D4068" s="5" t="s">
        <v>42</v>
      </c>
      <c r="E4068" s="5" t="s">
        <v>89</v>
      </c>
      <c r="F4068" s="5" t="s">
        <v>40</v>
      </c>
      <c r="G4068" s="6" t="n">
        <v>664</v>
      </c>
      <c r="H4068" s="6" t="n">
        <v>279</v>
      </c>
      <c r="I4068" s="7" t="n">
        <f aca="false">(G4068-H4068)/G4068</f>
        <v>0.579819277108434</v>
      </c>
      <c r="J4068" s="15" t="n">
        <v>0.3125</v>
      </c>
      <c r="K4068" s="11" t="str">
        <f aca="false">IF(I4068&lt;J4068,"TAK","NIE")</f>
        <v>NIE</v>
      </c>
    </row>
    <row r="4069" customFormat="false" ht="15" hidden="false" customHeight="false" outlineLevel="0" collapsed="false">
      <c r="A4069" s="5" t="s">
        <v>789</v>
      </c>
      <c r="B4069" s="5" t="s">
        <v>47</v>
      </c>
      <c r="C4069" s="5" t="n">
        <v>2023</v>
      </c>
      <c r="D4069" s="5" t="s">
        <v>42</v>
      </c>
      <c r="E4069" s="5" t="s">
        <v>89</v>
      </c>
      <c r="F4069" s="5" t="s">
        <v>40</v>
      </c>
      <c r="G4069" s="6" t="n">
        <v>664</v>
      </c>
      <c r="H4069" s="6" t="n">
        <v>180</v>
      </c>
      <c r="I4069" s="7" t="n">
        <f aca="false">(G4069-H4069)/G4069</f>
        <v>0.728915662650602</v>
      </c>
      <c r="J4069" s="15" t="n">
        <v>0.3125</v>
      </c>
      <c r="K4069" s="11" t="str">
        <f aca="false">IF(I4069&lt;J4069,"TAK","NIE")</f>
        <v>NIE</v>
      </c>
    </row>
    <row r="4070" customFormat="false" ht="15" hidden="false" customHeight="false" outlineLevel="0" collapsed="false">
      <c r="A4070" s="5" t="s">
        <v>790</v>
      </c>
      <c r="B4070" s="5" t="s">
        <v>47</v>
      </c>
      <c r="C4070" s="5" t="n">
        <v>2023</v>
      </c>
      <c r="D4070" s="5" t="s">
        <v>42</v>
      </c>
      <c r="E4070" s="5" t="s">
        <v>89</v>
      </c>
      <c r="F4070" s="5" t="s">
        <v>40</v>
      </c>
      <c r="G4070" s="6" t="n">
        <v>666</v>
      </c>
      <c r="H4070" s="6" t="n">
        <v>297</v>
      </c>
      <c r="I4070" s="7" t="n">
        <f aca="false">(G4070-H4070)/G4070</f>
        <v>0.554054054054054</v>
      </c>
      <c r="J4070" s="15" t="n">
        <v>0.3125</v>
      </c>
      <c r="K4070" s="11" t="str">
        <f aca="false">IF(I4070&lt;J4070,"TAK","NIE")</f>
        <v>NIE</v>
      </c>
    </row>
    <row r="4071" customFormat="false" ht="15" hidden="false" customHeight="false" outlineLevel="0" collapsed="false">
      <c r="A4071" s="5" t="s">
        <v>791</v>
      </c>
      <c r="B4071" s="5" t="s">
        <v>47</v>
      </c>
      <c r="C4071" s="5" t="n">
        <v>2023</v>
      </c>
      <c r="D4071" s="5" t="s">
        <v>42</v>
      </c>
      <c r="E4071" s="5" t="s">
        <v>89</v>
      </c>
      <c r="F4071" s="5" t="s">
        <v>40</v>
      </c>
      <c r="G4071" s="6" t="n">
        <v>666</v>
      </c>
      <c r="H4071" s="6" t="n">
        <v>92</v>
      </c>
      <c r="I4071" s="7" t="n">
        <f aca="false">(G4071-H4071)/G4071</f>
        <v>0.861861861861862</v>
      </c>
      <c r="J4071" s="15" t="n">
        <v>0.3125</v>
      </c>
      <c r="K4071" s="11" t="str">
        <f aca="false">IF(I4071&lt;J4071,"TAK","NIE")</f>
        <v>NIE</v>
      </c>
    </row>
    <row r="4072" customFormat="false" ht="15" hidden="false" customHeight="false" outlineLevel="0" collapsed="false">
      <c r="A4072" s="5" t="s">
        <v>792</v>
      </c>
      <c r="B4072" s="5" t="s">
        <v>47</v>
      </c>
      <c r="C4072" s="5" t="n">
        <v>2023</v>
      </c>
      <c r="D4072" s="5" t="s">
        <v>42</v>
      </c>
      <c r="E4072" s="5" t="s">
        <v>89</v>
      </c>
      <c r="F4072" s="5" t="s">
        <v>40</v>
      </c>
      <c r="G4072" s="6" t="n">
        <v>664</v>
      </c>
      <c r="H4072" s="6" t="n">
        <v>280</v>
      </c>
      <c r="I4072" s="7" t="n">
        <f aca="false">(G4072-H4072)/G4072</f>
        <v>0.578313253012048</v>
      </c>
      <c r="J4072" s="15" t="n">
        <v>0.3125</v>
      </c>
      <c r="K4072" s="11" t="str">
        <f aca="false">IF(I4072&lt;J4072,"TAK","NIE")</f>
        <v>NIE</v>
      </c>
    </row>
    <row r="4073" customFormat="false" ht="15" hidden="false" customHeight="false" outlineLevel="0" collapsed="false">
      <c r="A4073" s="5" t="s">
        <v>793</v>
      </c>
      <c r="B4073" s="5" t="s">
        <v>47</v>
      </c>
      <c r="C4073" s="5" t="n">
        <v>2023</v>
      </c>
      <c r="D4073" s="5" t="s">
        <v>42</v>
      </c>
      <c r="E4073" s="5" t="s">
        <v>89</v>
      </c>
      <c r="F4073" s="5" t="s">
        <v>40</v>
      </c>
      <c r="G4073" s="6" t="n">
        <v>664</v>
      </c>
      <c r="H4073" s="6" t="n">
        <v>190</v>
      </c>
      <c r="I4073" s="7" t="n">
        <f aca="false">(G4073-H4073)/G4073</f>
        <v>0.713855421686747</v>
      </c>
      <c r="J4073" s="15" t="n">
        <v>0.3125</v>
      </c>
      <c r="K4073" s="11" t="str">
        <f aca="false">IF(I4073&lt;J4073,"TAK","NIE")</f>
        <v>NIE</v>
      </c>
    </row>
    <row r="4074" customFormat="false" ht="15" hidden="false" customHeight="false" outlineLevel="0" collapsed="false">
      <c r="A4074" s="5" t="s">
        <v>794</v>
      </c>
      <c r="B4074" s="5" t="s">
        <v>47</v>
      </c>
      <c r="C4074" s="5" t="n">
        <v>2023</v>
      </c>
      <c r="D4074" s="5" t="s">
        <v>42</v>
      </c>
      <c r="E4074" s="5" t="s">
        <v>89</v>
      </c>
      <c r="F4074" s="5" t="s">
        <v>40</v>
      </c>
      <c r="G4074" s="6" t="n">
        <v>666</v>
      </c>
      <c r="H4074" s="6" t="n">
        <v>70</v>
      </c>
      <c r="I4074" s="7" t="n">
        <f aca="false">(G4074-H4074)/G4074</f>
        <v>0.894894894894895</v>
      </c>
      <c r="J4074" s="15" t="n">
        <v>0.3125</v>
      </c>
      <c r="K4074" s="11" t="str">
        <f aca="false">IF(I4074&lt;J4074,"TAK","NIE")</f>
        <v>NIE</v>
      </c>
    </row>
    <row r="4075" customFormat="false" ht="15" hidden="false" customHeight="false" outlineLevel="0" collapsed="false">
      <c r="A4075" s="5" t="s">
        <v>795</v>
      </c>
      <c r="B4075" s="5" t="s">
        <v>47</v>
      </c>
      <c r="C4075" s="5" t="n">
        <v>2023</v>
      </c>
      <c r="D4075" s="5" t="s">
        <v>42</v>
      </c>
      <c r="E4075" s="5" t="s">
        <v>89</v>
      </c>
      <c r="F4075" s="5" t="s">
        <v>40</v>
      </c>
      <c r="G4075" s="6" t="n">
        <v>664</v>
      </c>
      <c r="H4075" s="6" t="n">
        <v>276</v>
      </c>
      <c r="I4075" s="7" t="n">
        <f aca="false">(G4075-H4075)/G4075</f>
        <v>0.58433734939759</v>
      </c>
      <c r="J4075" s="15" t="n">
        <v>0.3125</v>
      </c>
      <c r="K4075" s="11" t="str">
        <f aca="false">IF(I4075&lt;J4075,"TAK","NIE")</f>
        <v>NIE</v>
      </c>
    </row>
    <row r="4076" customFormat="false" ht="15" hidden="false" customHeight="false" outlineLevel="0" collapsed="false">
      <c r="A4076" s="5" t="s">
        <v>796</v>
      </c>
      <c r="B4076" s="5" t="s">
        <v>47</v>
      </c>
      <c r="C4076" s="5" t="n">
        <v>2023</v>
      </c>
      <c r="D4076" s="5" t="s">
        <v>42</v>
      </c>
      <c r="E4076" s="5" t="s">
        <v>89</v>
      </c>
      <c r="F4076" s="5" t="s">
        <v>40</v>
      </c>
      <c r="G4076" s="6" t="n">
        <v>664</v>
      </c>
      <c r="H4076" s="6" t="n">
        <v>238</v>
      </c>
      <c r="I4076" s="7" t="n">
        <f aca="false">(G4076-H4076)/G4076</f>
        <v>0.641566265060241</v>
      </c>
      <c r="J4076" s="15" t="n">
        <v>0.3125</v>
      </c>
      <c r="K4076" s="11" t="str">
        <f aca="false">IF(I4076&lt;J4076,"TAK","NIE")</f>
        <v>NIE</v>
      </c>
    </row>
    <row r="4077" customFormat="false" ht="15" hidden="false" customHeight="false" outlineLevel="0" collapsed="false">
      <c r="A4077" s="5" t="s">
        <v>797</v>
      </c>
      <c r="B4077" s="5" t="s">
        <v>72</v>
      </c>
      <c r="C4077" s="5" t="n">
        <v>2024</v>
      </c>
      <c r="D4077" s="5" t="s">
        <v>44</v>
      </c>
      <c r="E4077" s="5" t="s">
        <v>75</v>
      </c>
      <c r="F4077" s="5" t="s">
        <v>39</v>
      </c>
      <c r="G4077" s="6" t="n">
        <v>473</v>
      </c>
      <c r="H4077" s="6" t="n">
        <v>243</v>
      </c>
      <c r="I4077" s="7" t="n">
        <f aca="false">(G4077-H4077)/G4077</f>
        <v>0.486257928118393</v>
      </c>
      <c r="J4077" s="15" t="n">
        <v>0.2188</v>
      </c>
      <c r="K4077" s="11" t="str">
        <f aca="false">IF(I4077&lt;J4077,"TAK","NIE")</f>
        <v>NIE</v>
      </c>
    </row>
    <row r="4078" customFormat="false" ht="15" hidden="false" customHeight="false" outlineLevel="0" collapsed="false">
      <c r="A4078" s="5" t="s">
        <v>798</v>
      </c>
      <c r="B4078" s="5" t="s">
        <v>72</v>
      </c>
      <c r="C4078" s="5" t="n">
        <v>2024</v>
      </c>
      <c r="D4078" s="5" t="s">
        <v>44</v>
      </c>
      <c r="E4078" s="5" t="s">
        <v>75</v>
      </c>
      <c r="F4078" s="5" t="s">
        <v>39</v>
      </c>
      <c r="G4078" s="6" t="n">
        <v>127</v>
      </c>
      <c r="H4078" s="6" t="n">
        <v>114</v>
      </c>
      <c r="I4078" s="7" t="n">
        <f aca="false">(G4078-H4078)/G4078</f>
        <v>0.102362204724409</v>
      </c>
      <c r="J4078" s="15" t="n">
        <v>0.2188</v>
      </c>
      <c r="K4078" s="11" t="str">
        <f aca="false">IF(I4078&lt;J4078,"TAK","NIE")</f>
        <v>TAK</v>
      </c>
    </row>
    <row r="4079" customFormat="false" ht="15" hidden="false" customHeight="false" outlineLevel="0" collapsed="false">
      <c r="A4079" s="5" t="s">
        <v>799</v>
      </c>
      <c r="B4079" s="5" t="s">
        <v>72</v>
      </c>
      <c r="C4079" s="5" t="n">
        <v>2024</v>
      </c>
      <c r="D4079" s="5" t="s">
        <v>44</v>
      </c>
      <c r="E4079" s="5" t="s">
        <v>75</v>
      </c>
      <c r="F4079" s="5" t="s">
        <v>39</v>
      </c>
      <c r="G4079" s="6" t="n">
        <v>473</v>
      </c>
      <c r="H4079" s="6" t="n">
        <v>111</v>
      </c>
      <c r="I4079" s="7" t="n">
        <f aca="false">(G4079-H4079)/G4079</f>
        <v>0.765327695560254</v>
      </c>
      <c r="J4079" s="15" t="n">
        <v>0.2188</v>
      </c>
      <c r="K4079" s="11" t="str">
        <f aca="false">IF(I4079&lt;J4079,"TAK","NIE")</f>
        <v>NIE</v>
      </c>
    </row>
    <row r="4080" customFormat="false" ht="15" hidden="false" customHeight="false" outlineLevel="0" collapsed="false">
      <c r="A4080" s="5" t="s">
        <v>800</v>
      </c>
      <c r="B4080" s="5" t="s">
        <v>72</v>
      </c>
      <c r="C4080" s="5" t="n">
        <v>2024</v>
      </c>
      <c r="D4080" s="5" t="s">
        <v>44</v>
      </c>
      <c r="E4080" s="5" t="s">
        <v>75</v>
      </c>
      <c r="F4080" s="5" t="s">
        <v>39</v>
      </c>
      <c r="G4080" s="6" t="n">
        <v>473</v>
      </c>
      <c r="H4080" s="6" t="n">
        <v>52</v>
      </c>
      <c r="I4080" s="7" t="n">
        <f aca="false">(G4080-H4080)/G4080</f>
        <v>0.890063424947146</v>
      </c>
      <c r="J4080" s="15" t="n">
        <v>0.2188</v>
      </c>
      <c r="K4080" s="11" t="str">
        <f aca="false">IF(I4080&lt;J4080,"TAK","NIE")</f>
        <v>NIE</v>
      </c>
    </row>
    <row r="4081" customFormat="false" ht="15" hidden="false" customHeight="false" outlineLevel="0" collapsed="false">
      <c r="A4081" s="5" t="s">
        <v>801</v>
      </c>
      <c r="B4081" s="5" t="s">
        <v>72</v>
      </c>
      <c r="C4081" s="5" t="n">
        <v>2024</v>
      </c>
      <c r="D4081" s="5" t="s">
        <v>44</v>
      </c>
      <c r="E4081" s="5" t="s">
        <v>75</v>
      </c>
      <c r="F4081" s="5" t="s">
        <v>39</v>
      </c>
      <c r="G4081" s="6" t="n">
        <v>473</v>
      </c>
      <c r="H4081" s="6" t="n">
        <v>60</v>
      </c>
      <c r="I4081" s="7" t="n">
        <f aca="false">(G4081-H4081)/G4081</f>
        <v>0.873150105708245</v>
      </c>
      <c r="J4081" s="15" t="n">
        <v>0.2188</v>
      </c>
      <c r="K4081" s="11" t="str">
        <f aca="false">IF(I4081&lt;J4081,"TAK","NIE")</f>
        <v>NIE</v>
      </c>
    </row>
    <row r="4082" customFormat="false" ht="15" hidden="false" customHeight="false" outlineLevel="0" collapsed="false">
      <c r="A4082" s="5" t="s">
        <v>802</v>
      </c>
      <c r="B4082" s="5" t="s">
        <v>72</v>
      </c>
      <c r="C4082" s="5" t="n">
        <v>2024</v>
      </c>
      <c r="D4082" s="5" t="s">
        <v>44</v>
      </c>
      <c r="E4082" s="5" t="s">
        <v>75</v>
      </c>
      <c r="F4082" s="5" t="s">
        <v>39</v>
      </c>
      <c r="G4082" s="6" t="n">
        <v>473</v>
      </c>
      <c r="H4082" s="6" t="n">
        <v>123</v>
      </c>
      <c r="I4082" s="7" t="n">
        <f aca="false">(G4082-H4082)/G4082</f>
        <v>0.739957716701903</v>
      </c>
      <c r="J4082" s="15" t="n">
        <v>0.2188</v>
      </c>
      <c r="K4082" s="11" t="str">
        <f aca="false">IF(I4082&lt;J4082,"TAK","NIE")</f>
        <v>NIE</v>
      </c>
    </row>
    <row r="4083" customFormat="false" ht="15" hidden="false" customHeight="false" outlineLevel="0" collapsed="false">
      <c r="A4083" s="5" t="s">
        <v>803</v>
      </c>
      <c r="B4083" s="5" t="s">
        <v>72</v>
      </c>
      <c r="C4083" s="5" t="n">
        <v>2024</v>
      </c>
      <c r="D4083" s="5" t="s">
        <v>44</v>
      </c>
      <c r="E4083" s="5" t="s">
        <v>75</v>
      </c>
      <c r="F4083" s="5" t="s">
        <v>39</v>
      </c>
      <c r="G4083" s="6" t="n">
        <v>473</v>
      </c>
      <c r="H4083" s="6" t="n">
        <v>49</v>
      </c>
      <c r="I4083" s="7" t="n">
        <f aca="false">(G4083-H4083)/G4083</f>
        <v>0.896405919661734</v>
      </c>
      <c r="J4083" s="15" t="n">
        <v>0.2188</v>
      </c>
      <c r="K4083" s="11" t="str">
        <f aca="false">IF(I4083&lt;J4083,"TAK","NIE")</f>
        <v>NIE</v>
      </c>
    </row>
    <row r="4084" customFormat="false" ht="15" hidden="false" customHeight="false" outlineLevel="0" collapsed="false">
      <c r="A4084" s="5" t="s">
        <v>804</v>
      </c>
      <c r="B4084" s="5" t="s">
        <v>72</v>
      </c>
      <c r="C4084" s="5" t="n">
        <v>2024</v>
      </c>
      <c r="D4084" s="5" t="s">
        <v>44</v>
      </c>
      <c r="E4084" s="5" t="s">
        <v>75</v>
      </c>
      <c r="F4084" s="5" t="s">
        <v>39</v>
      </c>
      <c r="G4084" s="6" t="n">
        <v>448</v>
      </c>
      <c r="H4084" s="6" t="n">
        <v>198</v>
      </c>
      <c r="I4084" s="7" t="n">
        <f aca="false">(G4084-H4084)/G4084</f>
        <v>0.558035714285714</v>
      </c>
      <c r="J4084" s="15" t="n">
        <v>0.2188</v>
      </c>
      <c r="K4084" s="11" t="str">
        <f aca="false">IF(I4084&lt;J4084,"TAK","NIE")</f>
        <v>NIE</v>
      </c>
    </row>
    <row r="4085" customFormat="false" ht="15" hidden="false" customHeight="false" outlineLevel="0" collapsed="false">
      <c r="A4085" s="5" t="s">
        <v>805</v>
      </c>
      <c r="B4085" s="5" t="s">
        <v>72</v>
      </c>
      <c r="C4085" s="5" t="n">
        <v>2024</v>
      </c>
      <c r="D4085" s="5" t="s">
        <v>44</v>
      </c>
      <c r="E4085" s="5" t="s">
        <v>75</v>
      </c>
      <c r="F4085" s="5" t="s">
        <v>39</v>
      </c>
      <c r="G4085" s="6" t="n">
        <v>473</v>
      </c>
      <c r="H4085" s="6" t="n">
        <v>52</v>
      </c>
      <c r="I4085" s="7" t="n">
        <f aca="false">(G4085-H4085)/G4085</f>
        <v>0.890063424947146</v>
      </c>
      <c r="J4085" s="15" t="n">
        <v>0.2188</v>
      </c>
      <c r="K4085" s="11" t="str">
        <f aca="false">IF(I4085&lt;J4085,"TAK","NIE")</f>
        <v>NIE</v>
      </c>
    </row>
    <row r="4086" customFormat="false" ht="15" hidden="false" customHeight="false" outlineLevel="0" collapsed="false">
      <c r="A4086" s="5" t="s">
        <v>677</v>
      </c>
      <c r="B4086" s="5" t="s">
        <v>72</v>
      </c>
      <c r="C4086" s="5" t="n">
        <v>2024</v>
      </c>
      <c r="D4086" s="5" t="s">
        <v>44</v>
      </c>
      <c r="E4086" s="5" t="s">
        <v>75</v>
      </c>
      <c r="F4086" s="5" t="s">
        <v>39</v>
      </c>
      <c r="G4086" s="6" t="n">
        <v>473</v>
      </c>
      <c r="H4086" s="6" t="n">
        <v>181</v>
      </c>
      <c r="I4086" s="7" t="n">
        <f aca="false">(G4086-H4086)/G4086</f>
        <v>0.617336152219873</v>
      </c>
      <c r="J4086" s="15" t="n">
        <v>0.2188</v>
      </c>
      <c r="K4086" s="11" t="str">
        <f aca="false">IF(I4086&lt;J4086,"TAK","NIE")</f>
        <v>NIE</v>
      </c>
    </row>
    <row r="4087" customFormat="false" ht="15" hidden="false" customHeight="false" outlineLevel="0" collapsed="false">
      <c r="A4087" s="5" t="s">
        <v>806</v>
      </c>
      <c r="B4087" s="5" t="s">
        <v>72</v>
      </c>
      <c r="C4087" s="5" t="n">
        <v>2024</v>
      </c>
      <c r="D4087" s="5" t="s">
        <v>44</v>
      </c>
      <c r="E4087" s="5" t="s">
        <v>75</v>
      </c>
      <c r="F4087" s="5" t="s">
        <v>39</v>
      </c>
      <c r="G4087" s="6" t="n">
        <v>473</v>
      </c>
      <c r="H4087" s="6" t="n">
        <v>32</v>
      </c>
      <c r="I4087" s="7" t="n">
        <f aca="false">(G4087-H4087)/G4087</f>
        <v>0.932346723044398</v>
      </c>
      <c r="J4087" s="15" t="n">
        <v>0.2188</v>
      </c>
      <c r="K4087" s="11" t="str">
        <f aca="false">IF(I4087&lt;J4087,"TAK","NIE")</f>
        <v>NIE</v>
      </c>
    </row>
    <row r="4088" customFormat="false" ht="15" hidden="false" customHeight="false" outlineLevel="0" collapsed="false">
      <c r="A4088" s="5" t="s">
        <v>807</v>
      </c>
      <c r="B4088" s="5" t="s">
        <v>72</v>
      </c>
      <c r="C4088" s="5" t="n">
        <v>2024</v>
      </c>
      <c r="D4088" s="5" t="s">
        <v>44</v>
      </c>
      <c r="E4088" s="5" t="s">
        <v>75</v>
      </c>
      <c r="F4088" s="5" t="s">
        <v>39</v>
      </c>
      <c r="G4088" s="6" t="n">
        <v>473</v>
      </c>
      <c r="H4088" s="6" t="n">
        <v>141</v>
      </c>
      <c r="I4088" s="7" t="n">
        <f aca="false">(G4088-H4088)/G4088</f>
        <v>0.701902748414376</v>
      </c>
      <c r="J4088" s="15" t="n">
        <v>0.2188</v>
      </c>
      <c r="K4088" s="11" t="str">
        <f aca="false">IF(I4088&lt;J4088,"TAK","NIE")</f>
        <v>NIE</v>
      </c>
    </row>
    <row r="4089" customFormat="false" ht="15" hidden="false" customHeight="false" outlineLevel="0" collapsed="false">
      <c r="A4089" s="5" t="s">
        <v>808</v>
      </c>
      <c r="B4089" s="5" t="s">
        <v>72</v>
      </c>
      <c r="C4089" s="5" t="n">
        <v>2024</v>
      </c>
      <c r="D4089" s="5" t="s">
        <v>44</v>
      </c>
      <c r="E4089" s="5" t="s">
        <v>75</v>
      </c>
      <c r="F4089" s="5" t="s">
        <v>39</v>
      </c>
      <c r="G4089" s="6" t="n">
        <v>46</v>
      </c>
      <c r="H4089" s="6" t="n">
        <v>14</v>
      </c>
      <c r="I4089" s="7" t="n">
        <f aca="false">(G4089-H4089)/G4089</f>
        <v>0.695652173913044</v>
      </c>
      <c r="J4089" s="15" t="n">
        <v>0.2188</v>
      </c>
      <c r="K4089" s="11" t="str">
        <f aca="false">IF(I4089&lt;J4089,"TAK","NIE")</f>
        <v>NIE</v>
      </c>
    </row>
    <row r="4090" customFormat="false" ht="15" hidden="false" customHeight="false" outlineLevel="0" collapsed="false">
      <c r="A4090" s="5" t="s">
        <v>809</v>
      </c>
      <c r="B4090" s="5" t="s">
        <v>72</v>
      </c>
      <c r="C4090" s="5" t="n">
        <v>2024</v>
      </c>
      <c r="D4090" s="5" t="s">
        <v>44</v>
      </c>
      <c r="E4090" s="5" t="s">
        <v>75</v>
      </c>
      <c r="F4090" s="5" t="s">
        <v>39</v>
      </c>
      <c r="G4090" s="6" t="n">
        <v>473</v>
      </c>
      <c r="H4090" s="6" t="n">
        <v>36</v>
      </c>
      <c r="I4090" s="7" t="n">
        <f aca="false">(G4090-H4090)/G4090</f>
        <v>0.923890063424947</v>
      </c>
      <c r="J4090" s="15" t="n">
        <v>0.2188</v>
      </c>
      <c r="K4090" s="11" t="str">
        <f aca="false">IF(I4090&lt;J4090,"TAK","NIE")</f>
        <v>NIE</v>
      </c>
    </row>
    <row r="4091" customFormat="false" ht="15" hidden="false" customHeight="false" outlineLevel="0" collapsed="false">
      <c r="A4091" s="5" t="s">
        <v>686</v>
      </c>
      <c r="B4091" s="5" t="s">
        <v>72</v>
      </c>
      <c r="C4091" s="5" t="n">
        <v>2024</v>
      </c>
      <c r="D4091" s="5" t="s">
        <v>44</v>
      </c>
      <c r="E4091" s="5" t="s">
        <v>75</v>
      </c>
      <c r="F4091" s="5" t="s">
        <v>39</v>
      </c>
      <c r="G4091" s="6" t="n">
        <v>473</v>
      </c>
      <c r="H4091" s="6" t="n">
        <v>177</v>
      </c>
      <c r="I4091" s="7" t="n">
        <f aca="false">(G4091-H4091)/G4091</f>
        <v>0.625792811839323</v>
      </c>
      <c r="J4091" s="15" t="n">
        <v>0.2188</v>
      </c>
      <c r="K4091" s="11" t="str">
        <f aca="false">IF(I4091&lt;J4091,"TAK","NIE")</f>
        <v>NIE</v>
      </c>
    </row>
    <row r="4092" customFormat="false" ht="15" hidden="false" customHeight="false" outlineLevel="0" collapsed="false">
      <c r="A4092" s="5" t="s">
        <v>797</v>
      </c>
      <c r="B4092" s="5" t="s">
        <v>72</v>
      </c>
      <c r="C4092" s="5" t="n">
        <v>2024</v>
      </c>
      <c r="D4092" s="5" t="s">
        <v>44</v>
      </c>
      <c r="E4092" s="5" t="s">
        <v>75</v>
      </c>
      <c r="F4092" s="5" t="s">
        <v>40</v>
      </c>
      <c r="G4092" s="6" t="n">
        <v>651</v>
      </c>
      <c r="H4092" s="6" t="n">
        <v>238</v>
      </c>
      <c r="I4092" s="7" t="n">
        <f aca="false">(G4092-H4092)/G4092</f>
        <v>0.634408602150538</v>
      </c>
      <c r="J4092" s="15" t="n">
        <v>-0.3554</v>
      </c>
      <c r="K4092" s="11" t="str">
        <f aca="false">IF(I4092&lt;J4092,"TAK","NIE")</f>
        <v>NIE</v>
      </c>
    </row>
    <row r="4093" customFormat="false" ht="15" hidden="false" customHeight="false" outlineLevel="0" collapsed="false">
      <c r="A4093" s="5" t="s">
        <v>810</v>
      </c>
      <c r="B4093" s="5" t="s">
        <v>72</v>
      </c>
      <c r="C4093" s="5" t="n">
        <v>2024</v>
      </c>
      <c r="D4093" s="5" t="s">
        <v>44</v>
      </c>
      <c r="E4093" s="5" t="s">
        <v>75</v>
      </c>
      <c r="F4093" s="5" t="s">
        <v>40</v>
      </c>
      <c r="G4093" s="6" t="n">
        <v>168</v>
      </c>
      <c r="H4093" s="6" t="n">
        <v>131</v>
      </c>
      <c r="I4093" s="7" t="n">
        <f aca="false">(G4093-H4093)/G4093</f>
        <v>0.220238095238095</v>
      </c>
      <c r="J4093" s="15" t="n">
        <v>-0.3554</v>
      </c>
      <c r="K4093" s="11" t="str">
        <f aca="false">IF(I4093&lt;J4093,"TAK","NIE")</f>
        <v>NIE</v>
      </c>
    </row>
    <row r="4094" customFormat="false" ht="15" hidden="false" customHeight="false" outlineLevel="0" collapsed="false">
      <c r="A4094" s="5" t="s">
        <v>799</v>
      </c>
      <c r="B4094" s="5" t="s">
        <v>72</v>
      </c>
      <c r="C4094" s="5" t="n">
        <v>2024</v>
      </c>
      <c r="D4094" s="5" t="s">
        <v>44</v>
      </c>
      <c r="E4094" s="5" t="s">
        <v>75</v>
      </c>
      <c r="F4094" s="5" t="s">
        <v>40</v>
      </c>
      <c r="G4094" s="6" t="n">
        <v>651</v>
      </c>
      <c r="H4094" s="6" t="n">
        <v>263</v>
      </c>
      <c r="I4094" s="7" t="n">
        <f aca="false">(G4094-H4094)/G4094</f>
        <v>0.596006144393241</v>
      </c>
      <c r="J4094" s="15" t="n">
        <v>-0.3554</v>
      </c>
      <c r="K4094" s="11" t="str">
        <f aca="false">IF(I4094&lt;J4094,"TAK","NIE")</f>
        <v>NIE</v>
      </c>
    </row>
    <row r="4095" customFormat="false" ht="15" hidden="false" customHeight="false" outlineLevel="0" collapsed="false">
      <c r="A4095" s="5" t="s">
        <v>811</v>
      </c>
      <c r="B4095" s="5" t="s">
        <v>72</v>
      </c>
      <c r="C4095" s="5" t="n">
        <v>2024</v>
      </c>
      <c r="D4095" s="5" t="s">
        <v>44</v>
      </c>
      <c r="E4095" s="5" t="s">
        <v>75</v>
      </c>
      <c r="F4095" s="5" t="s">
        <v>40</v>
      </c>
      <c r="G4095" s="6" t="n">
        <v>62</v>
      </c>
      <c r="H4095" s="6" t="n">
        <v>50</v>
      </c>
      <c r="I4095" s="7" t="n">
        <f aca="false">(G4095-H4095)/G4095</f>
        <v>0.193548387096774</v>
      </c>
      <c r="J4095" s="15" t="n">
        <v>-0.3554</v>
      </c>
      <c r="K4095" s="11" t="str">
        <f aca="false">IF(I4095&lt;J4095,"TAK","NIE")</f>
        <v>NIE</v>
      </c>
    </row>
    <row r="4096" customFormat="false" ht="15" hidden="false" customHeight="false" outlineLevel="0" collapsed="false">
      <c r="A4096" s="5" t="s">
        <v>812</v>
      </c>
      <c r="B4096" s="5" t="s">
        <v>72</v>
      </c>
      <c r="C4096" s="5" t="n">
        <v>2024</v>
      </c>
      <c r="D4096" s="5" t="s">
        <v>44</v>
      </c>
      <c r="E4096" s="5" t="s">
        <v>75</v>
      </c>
      <c r="F4096" s="5" t="s">
        <v>40</v>
      </c>
      <c r="G4096" s="6" t="n">
        <v>62</v>
      </c>
      <c r="H4096" s="6" t="n">
        <v>53</v>
      </c>
      <c r="I4096" s="7" t="n">
        <f aca="false">(G4096-H4096)/G4096</f>
        <v>0.145161290322581</v>
      </c>
      <c r="J4096" s="15" t="n">
        <v>-0.3554</v>
      </c>
      <c r="K4096" s="11" t="str">
        <f aca="false">IF(I4096&lt;J4096,"TAK","NIE")</f>
        <v>NIE</v>
      </c>
    </row>
    <row r="4097" customFormat="false" ht="15" hidden="false" customHeight="false" outlineLevel="0" collapsed="false">
      <c r="A4097" s="5" t="s">
        <v>800</v>
      </c>
      <c r="B4097" s="5" t="s">
        <v>72</v>
      </c>
      <c r="C4097" s="5" t="n">
        <v>2024</v>
      </c>
      <c r="D4097" s="5" t="s">
        <v>44</v>
      </c>
      <c r="E4097" s="5" t="s">
        <v>75</v>
      </c>
      <c r="F4097" s="5" t="s">
        <v>40</v>
      </c>
      <c r="G4097" s="6" t="n">
        <v>651</v>
      </c>
      <c r="H4097" s="6" t="n">
        <v>138</v>
      </c>
      <c r="I4097" s="7" t="n">
        <f aca="false">(G4097-H4097)/G4097</f>
        <v>0.788018433179724</v>
      </c>
      <c r="J4097" s="15" t="n">
        <v>-0.3554</v>
      </c>
      <c r="K4097" s="11" t="str">
        <f aca="false">IF(I4097&lt;J4097,"TAK","NIE")</f>
        <v>NIE</v>
      </c>
    </row>
    <row r="4098" customFormat="false" ht="15" hidden="false" customHeight="false" outlineLevel="0" collapsed="false">
      <c r="A4098" s="5" t="s">
        <v>801</v>
      </c>
      <c r="B4098" s="5" t="s">
        <v>72</v>
      </c>
      <c r="C4098" s="5" t="n">
        <v>2024</v>
      </c>
      <c r="D4098" s="5" t="s">
        <v>44</v>
      </c>
      <c r="E4098" s="5" t="s">
        <v>75</v>
      </c>
      <c r="F4098" s="5" t="s">
        <v>40</v>
      </c>
      <c r="G4098" s="6" t="n">
        <v>651</v>
      </c>
      <c r="H4098" s="6" t="n">
        <v>183</v>
      </c>
      <c r="I4098" s="7" t="n">
        <f aca="false">(G4098-H4098)/G4098</f>
        <v>0.71889400921659</v>
      </c>
      <c r="J4098" s="15" t="n">
        <v>-0.3554</v>
      </c>
      <c r="K4098" s="11" t="str">
        <f aca="false">IF(I4098&lt;J4098,"TAK","NIE")</f>
        <v>NIE</v>
      </c>
    </row>
    <row r="4099" customFormat="false" ht="15" hidden="false" customHeight="false" outlineLevel="0" collapsed="false">
      <c r="A4099" s="5" t="s">
        <v>802</v>
      </c>
      <c r="B4099" s="5" t="s">
        <v>72</v>
      </c>
      <c r="C4099" s="5" t="n">
        <v>2024</v>
      </c>
      <c r="D4099" s="5" t="s">
        <v>44</v>
      </c>
      <c r="E4099" s="5" t="s">
        <v>75</v>
      </c>
      <c r="F4099" s="5" t="s">
        <v>40</v>
      </c>
      <c r="G4099" s="6" t="n">
        <v>651</v>
      </c>
      <c r="H4099" s="6" t="n">
        <v>335</v>
      </c>
      <c r="I4099" s="7" t="n">
        <f aca="false">(G4099-H4099)/G4099</f>
        <v>0.485407066052227</v>
      </c>
      <c r="J4099" s="15" t="n">
        <v>-0.3554</v>
      </c>
      <c r="K4099" s="11" t="str">
        <f aca="false">IF(I4099&lt;J4099,"TAK","NIE")</f>
        <v>NIE</v>
      </c>
    </row>
    <row r="4100" customFormat="false" ht="15" hidden="false" customHeight="false" outlineLevel="0" collapsed="false">
      <c r="A4100" s="5" t="s">
        <v>803</v>
      </c>
      <c r="B4100" s="5" t="s">
        <v>72</v>
      </c>
      <c r="C4100" s="5" t="n">
        <v>2024</v>
      </c>
      <c r="D4100" s="5" t="s">
        <v>44</v>
      </c>
      <c r="E4100" s="5" t="s">
        <v>75</v>
      </c>
      <c r="F4100" s="5" t="s">
        <v>40</v>
      </c>
      <c r="G4100" s="6" t="n">
        <v>651</v>
      </c>
      <c r="H4100" s="6" t="n">
        <v>145</v>
      </c>
      <c r="I4100" s="7" t="n">
        <f aca="false">(G4100-H4100)/G4100</f>
        <v>0.777265745007681</v>
      </c>
      <c r="J4100" s="15" t="n">
        <v>-0.3554</v>
      </c>
      <c r="K4100" s="11" t="str">
        <f aca="false">IF(I4100&lt;J4100,"TAK","NIE")</f>
        <v>NIE</v>
      </c>
    </row>
    <row r="4101" customFormat="false" ht="15" hidden="false" customHeight="false" outlineLevel="0" collapsed="false">
      <c r="A4101" s="5" t="s">
        <v>813</v>
      </c>
      <c r="B4101" s="5" t="s">
        <v>72</v>
      </c>
      <c r="C4101" s="5" t="n">
        <v>2024</v>
      </c>
      <c r="D4101" s="5" t="s">
        <v>44</v>
      </c>
      <c r="E4101" s="5" t="s">
        <v>75</v>
      </c>
      <c r="F4101" s="5" t="s">
        <v>40</v>
      </c>
      <c r="G4101" s="6" t="n">
        <v>492</v>
      </c>
      <c r="H4101" s="6" t="n">
        <v>103</v>
      </c>
      <c r="I4101" s="7" t="n">
        <f aca="false">(G4101-H4101)/G4101</f>
        <v>0.790650406504065</v>
      </c>
      <c r="J4101" s="15" t="n">
        <v>-0.3554</v>
      </c>
      <c r="K4101" s="11" t="str">
        <f aca="false">IF(I4101&lt;J4101,"TAK","NIE")</f>
        <v>NIE</v>
      </c>
    </row>
    <row r="4102" customFormat="false" ht="15" hidden="false" customHeight="false" outlineLevel="0" collapsed="false">
      <c r="A4102" s="5" t="s">
        <v>804</v>
      </c>
      <c r="B4102" s="5" t="s">
        <v>72</v>
      </c>
      <c r="C4102" s="5" t="n">
        <v>2024</v>
      </c>
      <c r="D4102" s="5" t="s">
        <v>44</v>
      </c>
      <c r="E4102" s="5" t="s">
        <v>75</v>
      </c>
      <c r="F4102" s="5" t="s">
        <v>40</v>
      </c>
      <c r="G4102" s="6" t="n">
        <v>637</v>
      </c>
      <c r="H4102" s="6" t="n">
        <v>458</v>
      </c>
      <c r="I4102" s="7" t="n">
        <f aca="false">(G4102-H4102)/G4102</f>
        <v>0.281004709576138</v>
      </c>
      <c r="J4102" s="15" t="n">
        <v>-0.3554</v>
      </c>
      <c r="K4102" s="11" t="str">
        <f aca="false">IF(I4102&lt;J4102,"TAK","NIE")</f>
        <v>NIE</v>
      </c>
    </row>
    <row r="4103" customFormat="false" ht="15" hidden="false" customHeight="false" outlineLevel="0" collapsed="false">
      <c r="A4103" s="5" t="s">
        <v>805</v>
      </c>
      <c r="B4103" s="5" t="s">
        <v>72</v>
      </c>
      <c r="C4103" s="5" t="n">
        <v>2024</v>
      </c>
      <c r="D4103" s="5" t="s">
        <v>44</v>
      </c>
      <c r="E4103" s="5" t="s">
        <v>75</v>
      </c>
      <c r="F4103" s="5" t="s">
        <v>40</v>
      </c>
      <c r="G4103" s="6" t="n">
        <v>651</v>
      </c>
      <c r="H4103" s="6" t="n">
        <v>91</v>
      </c>
      <c r="I4103" s="7" t="n">
        <f aca="false">(G4103-H4103)/G4103</f>
        <v>0.860215053763441</v>
      </c>
      <c r="J4103" s="15" t="n">
        <v>-0.3554</v>
      </c>
      <c r="K4103" s="11" t="str">
        <f aca="false">IF(I4103&lt;J4103,"TAK","NIE")</f>
        <v>NIE</v>
      </c>
    </row>
    <row r="4104" customFormat="false" ht="15" hidden="false" customHeight="false" outlineLevel="0" collapsed="false">
      <c r="A4104" s="5" t="s">
        <v>677</v>
      </c>
      <c r="B4104" s="5" t="s">
        <v>72</v>
      </c>
      <c r="C4104" s="5" t="n">
        <v>2024</v>
      </c>
      <c r="D4104" s="5" t="s">
        <v>44</v>
      </c>
      <c r="E4104" s="5" t="s">
        <v>75</v>
      </c>
      <c r="F4104" s="5" t="s">
        <v>40</v>
      </c>
      <c r="G4104" s="6" t="n">
        <v>651</v>
      </c>
      <c r="H4104" s="6" t="n">
        <v>134</v>
      </c>
      <c r="I4104" s="7" t="n">
        <f aca="false">(G4104-H4104)/G4104</f>
        <v>0.794162826420891</v>
      </c>
      <c r="J4104" s="15" t="n">
        <v>-0.3554</v>
      </c>
      <c r="K4104" s="11" t="str">
        <f aca="false">IF(I4104&lt;J4104,"TAK","NIE")</f>
        <v>NIE</v>
      </c>
    </row>
    <row r="4105" customFormat="false" ht="15" hidden="false" customHeight="false" outlineLevel="0" collapsed="false">
      <c r="A4105" s="5" t="s">
        <v>806</v>
      </c>
      <c r="B4105" s="5" t="s">
        <v>72</v>
      </c>
      <c r="C4105" s="5" t="n">
        <v>2024</v>
      </c>
      <c r="D4105" s="5" t="s">
        <v>44</v>
      </c>
      <c r="E4105" s="5" t="s">
        <v>75</v>
      </c>
      <c r="F4105" s="5" t="s">
        <v>40</v>
      </c>
      <c r="G4105" s="6" t="n">
        <v>651</v>
      </c>
      <c r="H4105" s="6" t="n">
        <v>90</v>
      </c>
      <c r="I4105" s="7" t="n">
        <f aca="false">(G4105-H4105)/G4105</f>
        <v>0.861751152073733</v>
      </c>
      <c r="J4105" s="15" t="n">
        <v>-0.3554</v>
      </c>
      <c r="K4105" s="11" t="str">
        <f aca="false">IF(I4105&lt;J4105,"TAK","NIE")</f>
        <v>NIE</v>
      </c>
    </row>
    <row r="4106" customFormat="false" ht="15" hidden="false" customHeight="false" outlineLevel="0" collapsed="false">
      <c r="A4106" s="5" t="s">
        <v>807</v>
      </c>
      <c r="B4106" s="5" t="s">
        <v>72</v>
      </c>
      <c r="C4106" s="5" t="n">
        <v>2024</v>
      </c>
      <c r="D4106" s="5" t="s">
        <v>44</v>
      </c>
      <c r="E4106" s="5" t="s">
        <v>75</v>
      </c>
      <c r="F4106" s="5" t="s">
        <v>40</v>
      </c>
      <c r="G4106" s="6" t="n">
        <v>651</v>
      </c>
      <c r="H4106" s="6" t="n">
        <v>292</v>
      </c>
      <c r="I4106" s="7" t="n">
        <f aca="false">(G4106-H4106)/G4106</f>
        <v>0.551459293394777</v>
      </c>
      <c r="J4106" s="15" t="n">
        <v>-0.3554</v>
      </c>
      <c r="K4106" s="11" t="str">
        <f aca="false">IF(I4106&lt;J4106,"TAK","NIE")</f>
        <v>NIE</v>
      </c>
    </row>
    <row r="4107" customFormat="false" ht="15" hidden="false" customHeight="false" outlineLevel="0" collapsed="false">
      <c r="A4107" s="5" t="s">
        <v>809</v>
      </c>
      <c r="B4107" s="5" t="s">
        <v>72</v>
      </c>
      <c r="C4107" s="5" t="n">
        <v>2024</v>
      </c>
      <c r="D4107" s="5" t="s">
        <v>44</v>
      </c>
      <c r="E4107" s="5" t="s">
        <v>75</v>
      </c>
      <c r="F4107" s="5" t="s">
        <v>40</v>
      </c>
      <c r="G4107" s="6" t="n">
        <v>651</v>
      </c>
      <c r="H4107" s="6" t="n">
        <v>106</v>
      </c>
      <c r="I4107" s="7" t="n">
        <f aca="false">(G4107-H4107)/G4107</f>
        <v>0.837173579109063</v>
      </c>
      <c r="J4107" s="15" t="n">
        <v>-0.3554</v>
      </c>
      <c r="K4107" s="11" t="str">
        <f aca="false">IF(I4107&lt;J4107,"TAK","NIE")</f>
        <v>NIE</v>
      </c>
    </row>
    <row r="4108" customFormat="false" ht="15" hidden="false" customHeight="false" outlineLevel="0" collapsed="false">
      <c r="A4108" s="5" t="s">
        <v>814</v>
      </c>
      <c r="B4108" s="5" t="s">
        <v>72</v>
      </c>
      <c r="C4108" s="5" t="n">
        <v>2024</v>
      </c>
      <c r="D4108" s="5" t="s">
        <v>44</v>
      </c>
      <c r="E4108" s="5" t="s">
        <v>75</v>
      </c>
      <c r="F4108" s="5" t="s">
        <v>40</v>
      </c>
      <c r="G4108" s="6" t="n">
        <v>62</v>
      </c>
      <c r="H4108" s="6" t="n">
        <v>57</v>
      </c>
      <c r="I4108" s="7" t="n">
        <f aca="false">(G4108-H4108)/G4108</f>
        <v>0.0806451612903226</v>
      </c>
      <c r="J4108" s="15" t="n">
        <v>-0.3554</v>
      </c>
      <c r="K4108" s="11" t="str">
        <f aca="false">IF(I4108&lt;J4108,"TAK","NIE")</f>
        <v>NIE</v>
      </c>
    </row>
    <row r="4109" customFormat="false" ht="15" hidden="false" customHeight="false" outlineLevel="0" collapsed="false">
      <c r="A4109" s="5" t="s">
        <v>686</v>
      </c>
      <c r="B4109" s="5" t="s">
        <v>72</v>
      </c>
      <c r="C4109" s="5" t="n">
        <v>2024</v>
      </c>
      <c r="D4109" s="5" t="s">
        <v>44</v>
      </c>
      <c r="E4109" s="5" t="s">
        <v>75</v>
      </c>
      <c r="F4109" s="5" t="s">
        <v>40</v>
      </c>
      <c r="G4109" s="6" t="n">
        <v>651</v>
      </c>
      <c r="H4109" s="6" t="n">
        <v>227</v>
      </c>
      <c r="I4109" s="7" t="n">
        <f aca="false">(G4109-H4109)/G4109</f>
        <v>0.651305683563748</v>
      </c>
      <c r="J4109" s="15" t="n">
        <v>-0.3554</v>
      </c>
      <c r="K4109" s="11" t="str">
        <f aca="false">IF(I4109&lt;J4109,"TAK","NIE")</f>
        <v>NIE</v>
      </c>
    </row>
    <row r="4110" customFormat="false" ht="15" hidden="false" customHeight="false" outlineLevel="0" collapsed="false">
      <c r="A4110" s="5" t="s">
        <v>797</v>
      </c>
      <c r="B4110" s="5" t="s">
        <v>73</v>
      </c>
      <c r="C4110" s="5" t="n">
        <v>2024</v>
      </c>
      <c r="D4110" s="5" t="s">
        <v>44</v>
      </c>
      <c r="E4110" s="5" t="s">
        <v>89</v>
      </c>
      <c r="F4110" s="5" t="s">
        <v>39</v>
      </c>
      <c r="G4110" s="6" t="n">
        <v>489</v>
      </c>
      <c r="H4110" s="6" t="n">
        <v>262</v>
      </c>
      <c r="I4110" s="7" t="n">
        <f aca="false">(G4110-H4110)/G4110</f>
        <v>0.464212678936605</v>
      </c>
      <c r="J4110" s="15" t="n">
        <v>0.3345</v>
      </c>
      <c r="K4110" s="11" t="str">
        <f aca="false">IF(I4110&lt;J4110,"TAK","NIE")</f>
        <v>NIE</v>
      </c>
    </row>
    <row r="4111" customFormat="false" ht="15" hidden="false" customHeight="false" outlineLevel="0" collapsed="false">
      <c r="A4111" s="5" t="s">
        <v>799</v>
      </c>
      <c r="B4111" s="5" t="s">
        <v>73</v>
      </c>
      <c r="C4111" s="5" t="n">
        <v>2024</v>
      </c>
      <c r="D4111" s="5" t="s">
        <v>44</v>
      </c>
      <c r="E4111" s="5" t="s">
        <v>89</v>
      </c>
      <c r="F4111" s="5" t="s">
        <v>39</v>
      </c>
      <c r="G4111" s="6" t="n">
        <v>489</v>
      </c>
      <c r="H4111" s="6" t="n">
        <v>107</v>
      </c>
      <c r="I4111" s="7" t="n">
        <f aca="false">(G4111-H4111)/G4111</f>
        <v>0.78118609406953</v>
      </c>
      <c r="J4111" s="15" t="n">
        <v>0.3345</v>
      </c>
      <c r="K4111" s="11" t="str">
        <f aca="false">IF(I4111&lt;J4111,"TAK","NIE")</f>
        <v>NIE</v>
      </c>
    </row>
    <row r="4112" customFormat="false" ht="15" hidden="false" customHeight="false" outlineLevel="0" collapsed="false">
      <c r="A4112" s="5" t="s">
        <v>811</v>
      </c>
      <c r="B4112" s="5" t="s">
        <v>73</v>
      </c>
      <c r="C4112" s="5" t="n">
        <v>2024</v>
      </c>
      <c r="D4112" s="5" t="s">
        <v>44</v>
      </c>
      <c r="E4112" s="5" t="s">
        <v>89</v>
      </c>
      <c r="F4112" s="5" t="s">
        <v>39</v>
      </c>
      <c r="G4112" s="6" t="n">
        <v>479</v>
      </c>
      <c r="H4112" s="6" t="n">
        <v>102</v>
      </c>
      <c r="I4112" s="7" t="n">
        <f aca="false">(G4112-H4112)/G4112</f>
        <v>0.78705636743215</v>
      </c>
      <c r="J4112" s="15" t="n">
        <v>0.3345</v>
      </c>
      <c r="K4112" s="11" t="str">
        <f aca="false">IF(I4112&lt;J4112,"TAK","NIE")</f>
        <v>NIE</v>
      </c>
    </row>
    <row r="4113" customFormat="false" ht="15" hidden="false" customHeight="false" outlineLevel="0" collapsed="false">
      <c r="A4113" s="5" t="s">
        <v>812</v>
      </c>
      <c r="B4113" s="5" t="s">
        <v>73</v>
      </c>
      <c r="C4113" s="5" t="n">
        <v>2024</v>
      </c>
      <c r="D4113" s="5" t="s">
        <v>44</v>
      </c>
      <c r="E4113" s="5" t="s">
        <v>89</v>
      </c>
      <c r="F4113" s="5" t="s">
        <v>39</v>
      </c>
      <c r="G4113" s="6" t="n">
        <v>479</v>
      </c>
      <c r="H4113" s="6" t="n">
        <v>163</v>
      </c>
      <c r="I4113" s="7" t="n">
        <f aca="false">(G4113-H4113)/G4113</f>
        <v>0.659707724425887</v>
      </c>
      <c r="J4113" s="15" t="n">
        <v>0.3345</v>
      </c>
      <c r="K4113" s="11" t="str">
        <f aca="false">IF(I4113&lt;J4113,"TAK","NIE")</f>
        <v>NIE</v>
      </c>
    </row>
    <row r="4114" customFormat="false" ht="15" hidden="false" customHeight="false" outlineLevel="0" collapsed="false">
      <c r="A4114" s="5" t="s">
        <v>800</v>
      </c>
      <c r="B4114" s="5" t="s">
        <v>73</v>
      </c>
      <c r="C4114" s="5" t="n">
        <v>2024</v>
      </c>
      <c r="D4114" s="5" t="s">
        <v>44</v>
      </c>
      <c r="E4114" s="5" t="s">
        <v>89</v>
      </c>
      <c r="F4114" s="5" t="s">
        <v>39</v>
      </c>
      <c r="G4114" s="6" t="n">
        <v>489</v>
      </c>
      <c r="H4114" s="6" t="n">
        <v>88</v>
      </c>
      <c r="I4114" s="7" t="n">
        <f aca="false">(G4114-H4114)/G4114</f>
        <v>0.820040899795501</v>
      </c>
      <c r="J4114" s="15" t="n">
        <v>0.3345</v>
      </c>
      <c r="K4114" s="11" t="str">
        <f aca="false">IF(I4114&lt;J4114,"TAK","NIE")</f>
        <v>NIE</v>
      </c>
    </row>
    <row r="4115" customFormat="false" ht="15" hidden="false" customHeight="false" outlineLevel="0" collapsed="false">
      <c r="A4115" s="5" t="s">
        <v>801</v>
      </c>
      <c r="B4115" s="5" t="s">
        <v>73</v>
      </c>
      <c r="C4115" s="5" t="n">
        <v>2024</v>
      </c>
      <c r="D4115" s="5" t="s">
        <v>44</v>
      </c>
      <c r="E4115" s="5" t="s">
        <v>89</v>
      </c>
      <c r="F4115" s="5" t="s">
        <v>39</v>
      </c>
      <c r="G4115" s="6" t="n">
        <v>470</v>
      </c>
      <c r="H4115" s="6" t="n">
        <v>61</v>
      </c>
      <c r="I4115" s="7" t="n">
        <f aca="false">(G4115-H4115)/G4115</f>
        <v>0.870212765957447</v>
      </c>
      <c r="J4115" s="15" t="n">
        <v>0.3345</v>
      </c>
      <c r="K4115" s="11" t="str">
        <f aca="false">IF(I4115&lt;J4115,"TAK","NIE")</f>
        <v>NIE</v>
      </c>
    </row>
    <row r="4116" customFormat="false" ht="15" hidden="false" customHeight="false" outlineLevel="0" collapsed="false">
      <c r="A4116" s="5" t="s">
        <v>802</v>
      </c>
      <c r="B4116" s="5" t="s">
        <v>73</v>
      </c>
      <c r="C4116" s="5" t="n">
        <v>2024</v>
      </c>
      <c r="D4116" s="5" t="s">
        <v>44</v>
      </c>
      <c r="E4116" s="5" t="s">
        <v>89</v>
      </c>
      <c r="F4116" s="5" t="s">
        <v>39</v>
      </c>
      <c r="G4116" s="6" t="n">
        <v>489</v>
      </c>
      <c r="H4116" s="6" t="n">
        <v>169</v>
      </c>
      <c r="I4116" s="7" t="n">
        <f aca="false">(G4116-H4116)/G4116</f>
        <v>0.65439672801636</v>
      </c>
      <c r="J4116" s="15" t="n">
        <v>0.3345</v>
      </c>
      <c r="K4116" s="11" t="str">
        <f aca="false">IF(I4116&lt;J4116,"TAK","NIE")</f>
        <v>NIE</v>
      </c>
    </row>
    <row r="4117" customFormat="false" ht="15" hidden="false" customHeight="false" outlineLevel="0" collapsed="false">
      <c r="A4117" s="5" t="s">
        <v>803</v>
      </c>
      <c r="B4117" s="5" t="s">
        <v>73</v>
      </c>
      <c r="C4117" s="5" t="n">
        <v>2024</v>
      </c>
      <c r="D4117" s="5" t="s">
        <v>44</v>
      </c>
      <c r="E4117" s="5" t="s">
        <v>89</v>
      </c>
      <c r="F4117" s="5" t="s">
        <v>39</v>
      </c>
      <c r="G4117" s="6" t="n">
        <v>489</v>
      </c>
      <c r="H4117" s="6" t="n">
        <v>50</v>
      </c>
      <c r="I4117" s="7" t="n">
        <f aca="false">(G4117-H4117)/G4117</f>
        <v>0.897750511247444</v>
      </c>
      <c r="J4117" s="15" t="n">
        <v>0.3345</v>
      </c>
      <c r="K4117" s="11" t="str">
        <f aca="false">IF(I4117&lt;J4117,"TAK","NIE")</f>
        <v>NIE</v>
      </c>
    </row>
    <row r="4118" customFormat="false" ht="15" hidden="false" customHeight="false" outlineLevel="0" collapsed="false">
      <c r="A4118" s="5" t="s">
        <v>813</v>
      </c>
      <c r="B4118" s="5" t="s">
        <v>73</v>
      </c>
      <c r="C4118" s="5" t="n">
        <v>2024</v>
      </c>
      <c r="D4118" s="5" t="s">
        <v>44</v>
      </c>
      <c r="E4118" s="5" t="s">
        <v>89</v>
      </c>
      <c r="F4118" s="5" t="s">
        <v>39</v>
      </c>
      <c r="G4118" s="6" t="n">
        <v>459</v>
      </c>
      <c r="H4118" s="6" t="n">
        <v>22</v>
      </c>
      <c r="I4118" s="7" t="n">
        <f aca="false">(G4118-H4118)/G4118</f>
        <v>0.952069716775599</v>
      </c>
      <c r="J4118" s="15" t="n">
        <v>0.3345</v>
      </c>
      <c r="K4118" s="11" t="str">
        <f aca="false">IF(I4118&lt;J4118,"TAK","NIE")</f>
        <v>NIE</v>
      </c>
    </row>
    <row r="4119" customFormat="false" ht="15" hidden="false" customHeight="false" outlineLevel="0" collapsed="false">
      <c r="A4119" s="5" t="s">
        <v>805</v>
      </c>
      <c r="B4119" s="5" t="s">
        <v>73</v>
      </c>
      <c r="C4119" s="5" t="n">
        <v>2024</v>
      </c>
      <c r="D4119" s="5" t="s">
        <v>44</v>
      </c>
      <c r="E4119" s="5" t="s">
        <v>89</v>
      </c>
      <c r="F4119" s="5" t="s">
        <v>39</v>
      </c>
      <c r="G4119" s="6" t="n">
        <v>489</v>
      </c>
      <c r="H4119" s="6" t="n">
        <v>65</v>
      </c>
      <c r="I4119" s="7" t="n">
        <f aca="false">(G4119-H4119)/G4119</f>
        <v>0.867075664621677</v>
      </c>
      <c r="J4119" s="15" t="n">
        <v>0.3345</v>
      </c>
      <c r="K4119" s="11" t="str">
        <f aca="false">IF(I4119&lt;J4119,"TAK","NIE")</f>
        <v>NIE</v>
      </c>
    </row>
    <row r="4120" customFormat="false" ht="15" hidden="false" customHeight="false" outlineLevel="0" collapsed="false">
      <c r="A4120" s="5" t="s">
        <v>677</v>
      </c>
      <c r="B4120" s="5" t="s">
        <v>73</v>
      </c>
      <c r="C4120" s="5" t="n">
        <v>2024</v>
      </c>
      <c r="D4120" s="5" t="s">
        <v>44</v>
      </c>
      <c r="E4120" s="5" t="s">
        <v>89</v>
      </c>
      <c r="F4120" s="5" t="s">
        <v>39</v>
      </c>
      <c r="G4120" s="6" t="n">
        <v>479</v>
      </c>
      <c r="H4120" s="6" t="n">
        <v>163</v>
      </c>
      <c r="I4120" s="7" t="n">
        <f aca="false">(G4120-H4120)/G4120</f>
        <v>0.659707724425887</v>
      </c>
      <c r="J4120" s="15" t="n">
        <v>0.3345</v>
      </c>
      <c r="K4120" s="11" t="str">
        <f aca="false">IF(I4120&lt;J4120,"TAK","NIE")</f>
        <v>NIE</v>
      </c>
    </row>
    <row r="4121" customFormat="false" ht="15" hidden="false" customHeight="false" outlineLevel="0" collapsed="false">
      <c r="A4121" s="5" t="s">
        <v>806</v>
      </c>
      <c r="B4121" s="5" t="s">
        <v>73</v>
      </c>
      <c r="C4121" s="5" t="n">
        <v>2024</v>
      </c>
      <c r="D4121" s="5" t="s">
        <v>44</v>
      </c>
      <c r="E4121" s="5" t="s">
        <v>89</v>
      </c>
      <c r="F4121" s="5" t="s">
        <v>39</v>
      </c>
      <c r="G4121" s="6" t="n">
        <v>489</v>
      </c>
      <c r="H4121" s="6" t="n">
        <v>17</v>
      </c>
      <c r="I4121" s="7" t="n">
        <f aca="false">(G4121-H4121)/G4121</f>
        <v>0.965235173824131</v>
      </c>
      <c r="J4121" s="15" t="n">
        <v>0.3345</v>
      </c>
      <c r="K4121" s="11" t="str">
        <f aca="false">IF(I4121&lt;J4121,"TAK","NIE")</f>
        <v>NIE</v>
      </c>
    </row>
    <row r="4122" customFormat="false" ht="15" hidden="false" customHeight="false" outlineLevel="0" collapsed="false">
      <c r="A4122" s="5" t="s">
        <v>807</v>
      </c>
      <c r="B4122" s="5" t="s">
        <v>73</v>
      </c>
      <c r="C4122" s="5" t="n">
        <v>2024</v>
      </c>
      <c r="D4122" s="5" t="s">
        <v>44</v>
      </c>
      <c r="E4122" s="5" t="s">
        <v>89</v>
      </c>
      <c r="F4122" s="5" t="s">
        <v>39</v>
      </c>
      <c r="G4122" s="6" t="n">
        <v>489</v>
      </c>
      <c r="H4122" s="6" t="n">
        <v>147</v>
      </c>
      <c r="I4122" s="7" t="n">
        <f aca="false">(G4122-H4122)/G4122</f>
        <v>0.699386503067485</v>
      </c>
      <c r="J4122" s="15" t="n">
        <v>0.3345</v>
      </c>
      <c r="K4122" s="11" t="str">
        <f aca="false">IF(I4122&lt;J4122,"TAK","NIE")</f>
        <v>NIE</v>
      </c>
    </row>
    <row r="4123" customFormat="false" ht="15" hidden="false" customHeight="false" outlineLevel="0" collapsed="false">
      <c r="A4123" s="5" t="s">
        <v>809</v>
      </c>
      <c r="B4123" s="5" t="s">
        <v>73</v>
      </c>
      <c r="C4123" s="5" t="n">
        <v>2024</v>
      </c>
      <c r="D4123" s="5" t="s">
        <v>44</v>
      </c>
      <c r="E4123" s="5" t="s">
        <v>89</v>
      </c>
      <c r="F4123" s="5" t="s">
        <v>39</v>
      </c>
      <c r="G4123" s="6" t="n">
        <v>489</v>
      </c>
      <c r="H4123" s="6" t="n">
        <v>17</v>
      </c>
      <c r="I4123" s="7" t="n">
        <f aca="false">(G4123-H4123)/G4123</f>
        <v>0.965235173824131</v>
      </c>
      <c r="J4123" s="15" t="n">
        <v>0.3345</v>
      </c>
      <c r="K4123" s="11" t="str">
        <f aca="false">IF(I4123&lt;J4123,"TAK","NIE")</f>
        <v>NIE</v>
      </c>
    </row>
    <row r="4124" customFormat="false" ht="15" hidden="false" customHeight="false" outlineLevel="0" collapsed="false">
      <c r="A4124" s="5" t="s">
        <v>814</v>
      </c>
      <c r="B4124" s="5" t="s">
        <v>73</v>
      </c>
      <c r="C4124" s="5" t="n">
        <v>2024</v>
      </c>
      <c r="D4124" s="5" t="s">
        <v>44</v>
      </c>
      <c r="E4124" s="5" t="s">
        <v>89</v>
      </c>
      <c r="F4124" s="5" t="s">
        <v>39</v>
      </c>
      <c r="G4124" s="6" t="n">
        <v>479</v>
      </c>
      <c r="H4124" s="6" t="n">
        <v>179</v>
      </c>
      <c r="I4124" s="7" t="n">
        <f aca="false">(G4124-H4124)/G4124</f>
        <v>0.626304801670146</v>
      </c>
      <c r="J4124" s="15" t="n">
        <v>0.3345</v>
      </c>
      <c r="K4124" s="11" t="str">
        <f aca="false">IF(I4124&lt;J4124,"TAK","NIE")</f>
        <v>NIE</v>
      </c>
    </row>
    <row r="4125" customFormat="false" ht="15" hidden="false" customHeight="false" outlineLevel="0" collapsed="false">
      <c r="A4125" s="5" t="s">
        <v>686</v>
      </c>
      <c r="B4125" s="5" t="s">
        <v>73</v>
      </c>
      <c r="C4125" s="5" t="n">
        <v>2024</v>
      </c>
      <c r="D4125" s="5" t="s">
        <v>44</v>
      </c>
      <c r="E4125" s="5" t="s">
        <v>89</v>
      </c>
      <c r="F4125" s="5" t="s">
        <v>39</v>
      </c>
      <c r="G4125" s="6" t="n">
        <v>489</v>
      </c>
      <c r="H4125" s="6" t="n">
        <v>129</v>
      </c>
      <c r="I4125" s="7" t="n">
        <f aca="false">(G4125-H4125)/G4125</f>
        <v>0.736196319018405</v>
      </c>
      <c r="J4125" s="15" t="n">
        <v>0.3345</v>
      </c>
      <c r="K4125" s="11" t="str">
        <f aca="false">IF(I4125&lt;J4125,"TAK","NIE")</f>
        <v>NIE</v>
      </c>
    </row>
    <row r="4126" customFormat="false" ht="15" hidden="false" customHeight="false" outlineLevel="0" collapsed="false">
      <c r="A4126" s="5" t="s">
        <v>797</v>
      </c>
      <c r="B4126" s="5" t="s">
        <v>73</v>
      </c>
      <c r="C4126" s="5" t="n">
        <v>2024</v>
      </c>
      <c r="D4126" s="5" t="s">
        <v>44</v>
      </c>
      <c r="E4126" s="5" t="s">
        <v>89</v>
      </c>
      <c r="F4126" s="5" t="s">
        <v>40</v>
      </c>
      <c r="G4126" s="6" t="n">
        <v>678</v>
      </c>
      <c r="H4126" s="6" t="n">
        <v>351</v>
      </c>
      <c r="I4126" s="7" t="n">
        <f aca="false">(G4126-H4126)/G4126</f>
        <v>0.482300884955752</v>
      </c>
      <c r="J4126" s="15" t="n">
        <v>0.3835</v>
      </c>
      <c r="K4126" s="11" t="str">
        <f aca="false">IF(I4126&lt;J4126,"TAK","NIE")</f>
        <v>NIE</v>
      </c>
    </row>
    <row r="4127" customFormat="false" ht="15" hidden="false" customHeight="false" outlineLevel="0" collapsed="false">
      <c r="A4127" s="5" t="s">
        <v>799</v>
      </c>
      <c r="B4127" s="5" t="s">
        <v>73</v>
      </c>
      <c r="C4127" s="5" t="n">
        <v>2024</v>
      </c>
      <c r="D4127" s="5" t="s">
        <v>44</v>
      </c>
      <c r="E4127" s="5" t="s">
        <v>89</v>
      </c>
      <c r="F4127" s="5" t="s">
        <v>40</v>
      </c>
      <c r="G4127" s="6" t="n">
        <v>678</v>
      </c>
      <c r="H4127" s="6" t="n">
        <v>242</v>
      </c>
      <c r="I4127" s="7" t="n">
        <f aca="false">(G4127-H4127)/G4127</f>
        <v>0.64306784660767</v>
      </c>
      <c r="J4127" s="15" t="n">
        <v>0.3835</v>
      </c>
      <c r="K4127" s="11" t="str">
        <f aca="false">IF(I4127&lt;J4127,"TAK","NIE")</f>
        <v>NIE</v>
      </c>
    </row>
    <row r="4128" customFormat="false" ht="15" hidden="false" customHeight="false" outlineLevel="0" collapsed="false">
      <c r="A4128" s="5" t="s">
        <v>811</v>
      </c>
      <c r="B4128" s="5" t="s">
        <v>73</v>
      </c>
      <c r="C4128" s="5" t="n">
        <v>2024</v>
      </c>
      <c r="D4128" s="5" t="s">
        <v>44</v>
      </c>
      <c r="E4128" s="5" t="s">
        <v>89</v>
      </c>
      <c r="F4128" s="5" t="s">
        <v>40</v>
      </c>
      <c r="G4128" s="6" t="n">
        <v>659</v>
      </c>
      <c r="H4128" s="6" t="n">
        <v>194</v>
      </c>
      <c r="I4128" s="7" t="n">
        <f aca="false">(G4128-H4128)/G4128</f>
        <v>0.705614567526555</v>
      </c>
      <c r="J4128" s="15" t="n">
        <v>0.3835</v>
      </c>
      <c r="K4128" s="11" t="str">
        <f aca="false">IF(I4128&lt;J4128,"TAK","NIE")</f>
        <v>NIE</v>
      </c>
    </row>
    <row r="4129" customFormat="false" ht="15" hidden="false" customHeight="false" outlineLevel="0" collapsed="false">
      <c r="A4129" s="5" t="s">
        <v>812</v>
      </c>
      <c r="B4129" s="5" t="s">
        <v>73</v>
      </c>
      <c r="C4129" s="5" t="n">
        <v>2024</v>
      </c>
      <c r="D4129" s="5" t="s">
        <v>44</v>
      </c>
      <c r="E4129" s="5" t="s">
        <v>89</v>
      </c>
      <c r="F4129" s="5" t="s">
        <v>40</v>
      </c>
      <c r="G4129" s="6" t="n">
        <v>659</v>
      </c>
      <c r="H4129" s="6" t="n">
        <v>260</v>
      </c>
      <c r="I4129" s="7" t="n">
        <f aca="false">(G4129-H4129)/G4129</f>
        <v>0.60546282245827</v>
      </c>
      <c r="J4129" s="15" t="n">
        <v>0.3835</v>
      </c>
      <c r="K4129" s="11" t="str">
        <f aca="false">IF(I4129&lt;J4129,"TAK","NIE")</f>
        <v>NIE</v>
      </c>
    </row>
    <row r="4130" customFormat="false" ht="15" hidden="false" customHeight="false" outlineLevel="0" collapsed="false">
      <c r="A4130" s="5" t="s">
        <v>800</v>
      </c>
      <c r="B4130" s="5" t="s">
        <v>73</v>
      </c>
      <c r="C4130" s="5" t="n">
        <v>2024</v>
      </c>
      <c r="D4130" s="5" t="s">
        <v>44</v>
      </c>
      <c r="E4130" s="5" t="s">
        <v>89</v>
      </c>
      <c r="F4130" s="5" t="s">
        <v>40</v>
      </c>
      <c r="G4130" s="6" t="n">
        <v>678</v>
      </c>
      <c r="H4130" s="6" t="n">
        <v>233</v>
      </c>
      <c r="I4130" s="7" t="n">
        <f aca="false">(G4130-H4130)/G4130</f>
        <v>0.656342182890855</v>
      </c>
      <c r="J4130" s="15" t="n">
        <v>0.3835</v>
      </c>
      <c r="K4130" s="11" t="str">
        <f aca="false">IF(I4130&lt;J4130,"TAK","NIE")</f>
        <v>NIE</v>
      </c>
    </row>
    <row r="4131" customFormat="false" ht="15" hidden="false" customHeight="false" outlineLevel="0" collapsed="false">
      <c r="A4131" s="5" t="s">
        <v>801</v>
      </c>
      <c r="B4131" s="5" t="s">
        <v>73</v>
      </c>
      <c r="C4131" s="5" t="n">
        <v>2024</v>
      </c>
      <c r="D4131" s="5" t="s">
        <v>44</v>
      </c>
      <c r="E4131" s="5" t="s">
        <v>89</v>
      </c>
      <c r="F4131" s="5" t="s">
        <v>40</v>
      </c>
      <c r="G4131" s="6" t="n">
        <v>678</v>
      </c>
      <c r="H4131" s="6" t="n">
        <v>233</v>
      </c>
      <c r="I4131" s="7" t="n">
        <f aca="false">(G4131-H4131)/G4131</f>
        <v>0.656342182890855</v>
      </c>
      <c r="J4131" s="15" t="n">
        <v>0.3835</v>
      </c>
      <c r="K4131" s="11" t="str">
        <f aca="false">IF(I4131&lt;J4131,"TAK","NIE")</f>
        <v>NIE</v>
      </c>
    </row>
    <row r="4132" customFormat="false" ht="15" hidden="false" customHeight="false" outlineLevel="0" collapsed="false">
      <c r="A4132" s="5" t="s">
        <v>802</v>
      </c>
      <c r="B4132" s="5" t="s">
        <v>73</v>
      </c>
      <c r="C4132" s="5" t="n">
        <v>2024</v>
      </c>
      <c r="D4132" s="5" t="s">
        <v>44</v>
      </c>
      <c r="E4132" s="5" t="s">
        <v>89</v>
      </c>
      <c r="F4132" s="5" t="s">
        <v>40</v>
      </c>
      <c r="G4132" s="6" t="n">
        <v>678</v>
      </c>
      <c r="H4132" s="6" t="n">
        <v>243</v>
      </c>
      <c r="I4132" s="7" t="n">
        <f aca="false">(G4132-H4132)/G4132</f>
        <v>0.641592920353982</v>
      </c>
      <c r="J4132" s="15" t="n">
        <v>0.3835</v>
      </c>
      <c r="K4132" s="11" t="str">
        <f aca="false">IF(I4132&lt;J4132,"TAK","NIE")</f>
        <v>NIE</v>
      </c>
    </row>
    <row r="4133" customFormat="false" ht="15" hidden="false" customHeight="false" outlineLevel="0" collapsed="false">
      <c r="A4133" s="5" t="s">
        <v>803</v>
      </c>
      <c r="B4133" s="5" t="s">
        <v>73</v>
      </c>
      <c r="C4133" s="5" t="n">
        <v>2024</v>
      </c>
      <c r="D4133" s="5" t="s">
        <v>44</v>
      </c>
      <c r="E4133" s="5" t="s">
        <v>89</v>
      </c>
      <c r="F4133" s="5" t="s">
        <v>40</v>
      </c>
      <c r="G4133" s="6" t="n">
        <v>678</v>
      </c>
      <c r="H4133" s="6" t="n">
        <v>173</v>
      </c>
      <c r="I4133" s="7" t="n">
        <f aca="false">(G4133-H4133)/G4133</f>
        <v>0.744837758112094</v>
      </c>
      <c r="J4133" s="15" t="n">
        <v>0.3835</v>
      </c>
      <c r="K4133" s="11" t="str">
        <f aca="false">IF(I4133&lt;J4133,"TAK","NIE")</f>
        <v>NIE</v>
      </c>
    </row>
    <row r="4134" customFormat="false" ht="15" hidden="false" customHeight="false" outlineLevel="0" collapsed="false">
      <c r="A4134" s="5" t="s">
        <v>813</v>
      </c>
      <c r="B4134" s="5" t="s">
        <v>73</v>
      </c>
      <c r="C4134" s="5" t="n">
        <v>2024</v>
      </c>
      <c r="D4134" s="5" t="s">
        <v>44</v>
      </c>
      <c r="E4134" s="5" t="s">
        <v>89</v>
      </c>
      <c r="F4134" s="5" t="s">
        <v>40</v>
      </c>
      <c r="G4134" s="6" t="n">
        <v>659</v>
      </c>
      <c r="H4134" s="6" t="n">
        <v>259</v>
      </c>
      <c r="I4134" s="7" t="n">
        <f aca="false">(G4134-H4134)/G4134</f>
        <v>0.606980273141123</v>
      </c>
      <c r="J4134" s="15" t="n">
        <v>0.3835</v>
      </c>
      <c r="K4134" s="11" t="str">
        <f aca="false">IF(I4134&lt;J4134,"TAK","NIE")</f>
        <v>NIE</v>
      </c>
    </row>
    <row r="4135" customFormat="false" ht="15" hidden="false" customHeight="false" outlineLevel="0" collapsed="false">
      <c r="A4135" s="5" t="s">
        <v>805</v>
      </c>
      <c r="B4135" s="5" t="s">
        <v>73</v>
      </c>
      <c r="C4135" s="5" t="n">
        <v>2024</v>
      </c>
      <c r="D4135" s="5" t="s">
        <v>44</v>
      </c>
      <c r="E4135" s="5" t="s">
        <v>89</v>
      </c>
      <c r="F4135" s="5" t="s">
        <v>40</v>
      </c>
      <c r="G4135" s="6" t="n">
        <v>678</v>
      </c>
      <c r="H4135" s="6" t="n">
        <v>121</v>
      </c>
      <c r="I4135" s="7" t="n">
        <f aca="false">(G4135-H4135)/G4135</f>
        <v>0.821533923303835</v>
      </c>
      <c r="J4135" s="15" t="n">
        <v>0.3835</v>
      </c>
      <c r="K4135" s="11" t="str">
        <f aca="false">IF(I4135&lt;J4135,"TAK","NIE")</f>
        <v>NIE</v>
      </c>
    </row>
    <row r="4136" customFormat="false" ht="15" hidden="false" customHeight="false" outlineLevel="0" collapsed="false">
      <c r="A4136" s="5" t="s">
        <v>677</v>
      </c>
      <c r="B4136" s="5" t="s">
        <v>73</v>
      </c>
      <c r="C4136" s="5" t="n">
        <v>2024</v>
      </c>
      <c r="D4136" s="5" t="s">
        <v>44</v>
      </c>
      <c r="E4136" s="5" t="s">
        <v>89</v>
      </c>
      <c r="F4136" s="5" t="s">
        <v>40</v>
      </c>
      <c r="G4136" s="6" t="n">
        <v>659</v>
      </c>
      <c r="H4136" s="6" t="n">
        <v>293</v>
      </c>
      <c r="I4136" s="7" t="n">
        <f aca="false">(G4136-H4136)/G4136</f>
        <v>0.555386949924128</v>
      </c>
      <c r="J4136" s="15" t="n">
        <v>0.3835</v>
      </c>
      <c r="K4136" s="11" t="str">
        <f aca="false">IF(I4136&lt;J4136,"TAK","NIE")</f>
        <v>NIE</v>
      </c>
    </row>
    <row r="4137" customFormat="false" ht="15" hidden="false" customHeight="false" outlineLevel="0" collapsed="false">
      <c r="A4137" s="5" t="s">
        <v>806</v>
      </c>
      <c r="B4137" s="5" t="s">
        <v>73</v>
      </c>
      <c r="C4137" s="5" t="n">
        <v>2024</v>
      </c>
      <c r="D4137" s="5" t="s">
        <v>44</v>
      </c>
      <c r="E4137" s="5" t="s">
        <v>89</v>
      </c>
      <c r="F4137" s="5" t="s">
        <v>40</v>
      </c>
      <c r="G4137" s="6" t="n">
        <v>678</v>
      </c>
      <c r="H4137" s="6" t="n">
        <v>89</v>
      </c>
      <c r="I4137" s="7" t="n">
        <f aca="false">(G4137-H4137)/G4137</f>
        <v>0.868731563421829</v>
      </c>
      <c r="J4137" s="15" t="n">
        <v>0.3835</v>
      </c>
      <c r="K4137" s="11" t="str">
        <f aca="false">IF(I4137&lt;J4137,"TAK","NIE")</f>
        <v>NIE</v>
      </c>
    </row>
    <row r="4138" customFormat="false" ht="15" hidden="false" customHeight="false" outlineLevel="0" collapsed="false">
      <c r="A4138" s="5" t="s">
        <v>807</v>
      </c>
      <c r="B4138" s="5" t="s">
        <v>73</v>
      </c>
      <c r="C4138" s="5" t="n">
        <v>2024</v>
      </c>
      <c r="D4138" s="5" t="s">
        <v>44</v>
      </c>
      <c r="E4138" s="5" t="s">
        <v>89</v>
      </c>
      <c r="F4138" s="5" t="s">
        <v>40</v>
      </c>
      <c r="G4138" s="6" t="n">
        <v>678</v>
      </c>
      <c r="H4138" s="6" t="n">
        <v>287</v>
      </c>
      <c r="I4138" s="7" t="n">
        <f aca="false">(G4138-H4138)/G4138</f>
        <v>0.57669616519174</v>
      </c>
      <c r="J4138" s="15" t="n">
        <v>0.3835</v>
      </c>
      <c r="K4138" s="11" t="str">
        <f aca="false">IF(I4138&lt;J4138,"TAK","NIE")</f>
        <v>NIE</v>
      </c>
    </row>
    <row r="4139" customFormat="false" ht="15" hidden="false" customHeight="false" outlineLevel="0" collapsed="false">
      <c r="A4139" s="5" t="s">
        <v>815</v>
      </c>
      <c r="B4139" s="5" t="s">
        <v>73</v>
      </c>
      <c r="C4139" s="5" t="n">
        <v>2024</v>
      </c>
      <c r="D4139" s="5" t="s">
        <v>44</v>
      </c>
      <c r="E4139" s="5" t="s">
        <v>89</v>
      </c>
      <c r="F4139" s="5" t="s">
        <v>40</v>
      </c>
      <c r="G4139" s="6" t="n">
        <v>119</v>
      </c>
      <c r="H4139" s="6" t="n">
        <v>76</v>
      </c>
      <c r="I4139" s="7" t="n">
        <f aca="false">(G4139-H4139)/G4139</f>
        <v>0.361344537815126</v>
      </c>
      <c r="J4139" s="15" t="n">
        <v>0.3835</v>
      </c>
      <c r="K4139" s="11" t="str">
        <f aca="false">IF(I4139&lt;J4139,"TAK","NIE")</f>
        <v>TAK</v>
      </c>
    </row>
    <row r="4140" customFormat="false" ht="15" hidden="false" customHeight="false" outlineLevel="0" collapsed="false">
      <c r="A4140" s="5" t="s">
        <v>809</v>
      </c>
      <c r="B4140" s="5" t="s">
        <v>73</v>
      </c>
      <c r="C4140" s="5" t="n">
        <v>2024</v>
      </c>
      <c r="D4140" s="5" t="s">
        <v>44</v>
      </c>
      <c r="E4140" s="5" t="s">
        <v>89</v>
      </c>
      <c r="F4140" s="5" t="s">
        <v>40</v>
      </c>
      <c r="G4140" s="6" t="n">
        <v>678</v>
      </c>
      <c r="H4140" s="6" t="n">
        <v>117</v>
      </c>
      <c r="I4140" s="7" t="n">
        <f aca="false">(G4140-H4140)/G4140</f>
        <v>0.827433628318584</v>
      </c>
      <c r="J4140" s="15" t="n">
        <v>0.3835</v>
      </c>
      <c r="K4140" s="11" t="str">
        <f aca="false">IF(I4140&lt;J4140,"TAK","NIE")</f>
        <v>NIE</v>
      </c>
    </row>
    <row r="4141" customFormat="false" ht="15" hidden="false" customHeight="false" outlineLevel="0" collapsed="false">
      <c r="A4141" s="5" t="s">
        <v>814</v>
      </c>
      <c r="B4141" s="5" t="s">
        <v>73</v>
      </c>
      <c r="C4141" s="5" t="n">
        <v>2024</v>
      </c>
      <c r="D4141" s="5" t="s">
        <v>44</v>
      </c>
      <c r="E4141" s="5" t="s">
        <v>89</v>
      </c>
      <c r="F4141" s="5" t="s">
        <v>40</v>
      </c>
      <c r="G4141" s="6" t="n">
        <v>659</v>
      </c>
      <c r="H4141" s="6" t="n">
        <v>331</v>
      </c>
      <c r="I4141" s="7" t="n">
        <f aca="false">(G4141-H4141)/G4141</f>
        <v>0.497723823975721</v>
      </c>
      <c r="J4141" s="15" t="n">
        <v>0.3835</v>
      </c>
      <c r="K4141" s="11" t="str">
        <f aca="false">IF(I4141&lt;J4141,"TAK","NIE")</f>
        <v>NIE</v>
      </c>
    </row>
    <row r="4142" customFormat="false" ht="15" hidden="false" customHeight="false" outlineLevel="0" collapsed="false">
      <c r="A4142" s="5" t="s">
        <v>686</v>
      </c>
      <c r="B4142" s="5" t="s">
        <v>73</v>
      </c>
      <c r="C4142" s="5" t="n">
        <v>2024</v>
      </c>
      <c r="D4142" s="5" t="s">
        <v>44</v>
      </c>
      <c r="E4142" s="5" t="s">
        <v>89</v>
      </c>
      <c r="F4142" s="5" t="s">
        <v>40</v>
      </c>
      <c r="G4142" s="6" t="n">
        <v>678</v>
      </c>
      <c r="H4142" s="6" t="n">
        <v>221</v>
      </c>
      <c r="I4142" s="7" t="n">
        <f aca="false">(G4142-H4142)/G4142</f>
        <v>0.674041297935103</v>
      </c>
      <c r="J4142" s="15" t="n">
        <v>0.3835</v>
      </c>
      <c r="K4142" s="11" t="str">
        <f aca="false">IF(I4142&lt;J4142,"TAK","NIE")</f>
        <v>NIE</v>
      </c>
    </row>
    <row r="4143" customFormat="false" ht="15" hidden="false" customHeight="false" outlineLevel="0" collapsed="false">
      <c r="A4143" s="5" t="s">
        <v>816</v>
      </c>
      <c r="B4143" s="5" t="s">
        <v>103</v>
      </c>
      <c r="C4143" s="5" t="n">
        <v>2024</v>
      </c>
      <c r="D4143" s="5" t="s">
        <v>104</v>
      </c>
      <c r="E4143" s="5" t="s">
        <v>75</v>
      </c>
      <c r="F4143" s="5" t="s">
        <v>39</v>
      </c>
      <c r="G4143" s="6" t="n">
        <v>570</v>
      </c>
      <c r="H4143" s="6" t="n">
        <v>152</v>
      </c>
      <c r="I4143" s="7" t="n">
        <f aca="false">(G4143-H4143)/G4143</f>
        <v>0.733333333333333</v>
      </c>
      <c r="J4143" s="15" t="n">
        <v>0.5117</v>
      </c>
      <c r="K4143" s="11" t="str">
        <f aca="false">IF(I4143&lt;J4143,"TAK","NIE")</f>
        <v>NIE</v>
      </c>
    </row>
    <row r="4144" customFormat="false" ht="15" hidden="false" customHeight="false" outlineLevel="0" collapsed="false">
      <c r="A4144" s="5" t="s">
        <v>817</v>
      </c>
      <c r="B4144" s="5" t="s">
        <v>103</v>
      </c>
      <c r="C4144" s="5" t="n">
        <v>2024</v>
      </c>
      <c r="D4144" s="5" t="s">
        <v>104</v>
      </c>
      <c r="E4144" s="5" t="s">
        <v>75</v>
      </c>
      <c r="F4144" s="5" t="s">
        <v>39</v>
      </c>
      <c r="G4144" s="6" t="n">
        <v>570</v>
      </c>
      <c r="H4144" s="6" t="n">
        <v>305</v>
      </c>
      <c r="I4144" s="7" t="n">
        <f aca="false">(G4144-H4144)/G4144</f>
        <v>0.464912280701754</v>
      </c>
      <c r="J4144" s="15" t="n">
        <v>0.5117</v>
      </c>
      <c r="K4144" s="11" t="str">
        <f aca="false">IF(I4144&lt;J4144,"TAK","NIE")</f>
        <v>TAK</v>
      </c>
    </row>
    <row r="4145" customFormat="false" ht="15" hidden="false" customHeight="false" outlineLevel="0" collapsed="false">
      <c r="A4145" s="5" t="s">
        <v>818</v>
      </c>
      <c r="B4145" s="5" t="s">
        <v>103</v>
      </c>
      <c r="C4145" s="5" t="n">
        <v>2024</v>
      </c>
      <c r="D4145" s="5" t="s">
        <v>104</v>
      </c>
      <c r="E4145" s="5" t="s">
        <v>75</v>
      </c>
      <c r="F4145" s="5" t="s">
        <v>39</v>
      </c>
      <c r="G4145" s="6" t="n">
        <v>555</v>
      </c>
      <c r="H4145" s="6" t="n">
        <v>56</v>
      </c>
      <c r="I4145" s="7" t="n">
        <f aca="false">(G4145-H4145)/G4145</f>
        <v>0.899099099099099</v>
      </c>
      <c r="J4145" s="15" t="n">
        <v>0.5117</v>
      </c>
      <c r="K4145" s="11" t="str">
        <f aca="false">IF(I4145&lt;J4145,"TAK","NIE")</f>
        <v>NIE</v>
      </c>
    </row>
    <row r="4146" customFormat="false" ht="15" hidden="false" customHeight="false" outlineLevel="0" collapsed="false">
      <c r="A4146" s="5" t="s">
        <v>819</v>
      </c>
      <c r="B4146" s="5" t="s">
        <v>103</v>
      </c>
      <c r="C4146" s="5" t="n">
        <v>2024</v>
      </c>
      <c r="D4146" s="5" t="s">
        <v>104</v>
      </c>
      <c r="E4146" s="5" t="s">
        <v>75</v>
      </c>
      <c r="F4146" s="5" t="s">
        <v>39</v>
      </c>
      <c r="G4146" s="6" t="n">
        <v>549</v>
      </c>
      <c r="H4146" s="6" t="n">
        <v>134</v>
      </c>
      <c r="I4146" s="7" t="n">
        <f aca="false">(G4146-H4146)/G4146</f>
        <v>0.75591985428051</v>
      </c>
      <c r="J4146" s="15" t="n">
        <v>0.5117</v>
      </c>
      <c r="K4146" s="11" t="str">
        <f aca="false">IF(I4146&lt;J4146,"TAK","NIE")</f>
        <v>NIE</v>
      </c>
    </row>
    <row r="4147" customFormat="false" ht="15" hidden="false" customHeight="false" outlineLevel="0" collapsed="false">
      <c r="A4147" s="5" t="s">
        <v>820</v>
      </c>
      <c r="B4147" s="5" t="s">
        <v>103</v>
      </c>
      <c r="C4147" s="5" t="n">
        <v>2024</v>
      </c>
      <c r="D4147" s="5" t="s">
        <v>104</v>
      </c>
      <c r="E4147" s="5" t="s">
        <v>75</v>
      </c>
      <c r="F4147" s="5" t="s">
        <v>39</v>
      </c>
      <c r="G4147" s="6" t="n">
        <v>396</v>
      </c>
      <c r="H4147" s="6" t="n">
        <v>53</v>
      </c>
      <c r="I4147" s="7" t="n">
        <f aca="false">(G4147-H4147)/G4147</f>
        <v>0.866161616161616</v>
      </c>
      <c r="J4147" s="15" t="n">
        <v>0.5117</v>
      </c>
      <c r="K4147" s="11" t="str">
        <f aca="false">IF(I4147&lt;J4147,"TAK","NIE")</f>
        <v>NIE</v>
      </c>
    </row>
    <row r="4148" customFormat="false" ht="15" hidden="false" customHeight="false" outlineLevel="0" collapsed="false">
      <c r="A4148" s="5" t="s">
        <v>821</v>
      </c>
      <c r="B4148" s="5" t="s">
        <v>103</v>
      </c>
      <c r="C4148" s="5" t="n">
        <v>2024</v>
      </c>
      <c r="D4148" s="5" t="s">
        <v>104</v>
      </c>
      <c r="E4148" s="5" t="s">
        <v>75</v>
      </c>
      <c r="F4148" s="5" t="s">
        <v>39</v>
      </c>
      <c r="G4148" s="6" t="n">
        <v>570</v>
      </c>
      <c r="H4148" s="6" t="n">
        <v>179</v>
      </c>
      <c r="I4148" s="7" t="n">
        <f aca="false">(G4148-H4148)/G4148</f>
        <v>0.685964912280702</v>
      </c>
      <c r="J4148" s="15" t="n">
        <v>0.5117</v>
      </c>
      <c r="K4148" s="11" t="str">
        <f aca="false">IF(I4148&lt;J4148,"TAK","NIE")</f>
        <v>NIE</v>
      </c>
    </row>
    <row r="4149" customFormat="false" ht="15" hidden="false" customHeight="false" outlineLevel="0" collapsed="false">
      <c r="A4149" s="5" t="s">
        <v>822</v>
      </c>
      <c r="B4149" s="5" t="s">
        <v>103</v>
      </c>
      <c r="C4149" s="5" t="n">
        <v>2024</v>
      </c>
      <c r="D4149" s="5" t="s">
        <v>104</v>
      </c>
      <c r="E4149" s="5" t="s">
        <v>75</v>
      </c>
      <c r="F4149" s="5" t="s">
        <v>39</v>
      </c>
      <c r="G4149" s="6" t="n">
        <v>571</v>
      </c>
      <c r="H4149" s="6" t="n">
        <v>15</v>
      </c>
      <c r="I4149" s="7" t="n">
        <f aca="false">(G4149-H4149)/G4149</f>
        <v>0.973730297723292</v>
      </c>
      <c r="J4149" s="15" t="n">
        <v>0.5117</v>
      </c>
      <c r="K4149" s="11" t="str">
        <f aca="false">IF(I4149&lt;J4149,"TAK","NIE")</f>
        <v>NIE</v>
      </c>
    </row>
    <row r="4150" customFormat="false" ht="15" hidden="false" customHeight="false" outlineLevel="0" collapsed="false">
      <c r="A4150" s="5" t="s">
        <v>823</v>
      </c>
      <c r="B4150" s="5" t="s">
        <v>103</v>
      </c>
      <c r="C4150" s="5" t="n">
        <v>2024</v>
      </c>
      <c r="D4150" s="5" t="s">
        <v>104</v>
      </c>
      <c r="E4150" s="5" t="s">
        <v>75</v>
      </c>
      <c r="F4150" s="5" t="s">
        <v>39</v>
      </c>
      <c r="G4150" s="6" t="n">
        <v>549</v>
      </c>
      <c r="H4150" s="6" t="n">
        <v>185</v>
      </c>
      <c r="I4150" s="7" t="n">
        <f aca="false">(G4150-H4150)/G4150</f>
        <v>0.663023679417122</v>
      </c>
      <c r="J4150" s="15" t="n">
        <v>0.5117</v>
      </c>
      <c r="K4150" s="11" t="str">
        <f aca="false">IF(I4150&lt;J4150,"TAK","NIE")</f>
        <v>NIE</v>
      </c>
    </row>
    <row r="4151" customFormat="false" ht="15" hidden="false" customHeight="false" outlineLevel="0" collapsed="false">
      <c r="A4151" s="5" t="s">
        <v>824</v>
      </c>
      <c r="B4151" s="5" t="s">
        <v>103</v>
      </c>
      <c r="C4151" s="5" t="n">
        <v>2024</v>
      </c>
      <c r="D4151" s="5" t="s">
        <v>104</v>
      </c>
      <c r="E4151" s="5" t="s">
        <v>75</v>
      </c>
      <c r="F4151" s="5" t="s">
        <v>39</v>
      </c>
      <c r="G4151" s="6" t="n">
        <v>549</v>
      </c>
      <c r="H4151" s="6" t="n">
        <v>70</v>
      </c>
      <c r="I4151" s="7" t="n">
        <f aca="false">(G4151-H4151)/G4151</f>
        <v>0.872495446265938</v>
      </c>
      <c r="J4151" s="15" t="n">
        <v>0.5117</v>
      </c>
      <c r="K4151" s="11" t="str">
        <f aca="false">IF(I4151&lt;J4151,"TAK","NIE")</f>
        <v>NIE</v>
      </c>
    </row>
    <row r="4152" customFormat="false" ht="15" hidden="false" customHeight="false" outlineLevel="0" collapsed="false">
      <c r="A4152" s="5" t="s">
        <v>825</v>
      </c>
      <c r="B4152" s="5" t="s">
        <v>103</v>
      </c>
      <c r="C4152" s="5" t="n">
        <v>2024</v>
      </c>
      <c r="D4152" s="5" t="s">
        <v>104</v>
      </c>
      <c r="E4152" s="5" t="s">
        <v>75</v>
      </c>
      <c r="F4152" s="5" t="s">
        <v>39</v>
      </c>
      <c r="G4152" s="6" t="n">
        <v>555</v>
      </c>
      <c r="H4152" s="6" t="n">
        <v>89</v>
      </c>
      <c r="I4152" s="7" t="n">
        <f aca="false">(G4152-H4152)/G4152</f>
        <v>0.83963963963964</v>
      </c>
      <c r="J4152" s="15" t="n">
        <v>0.5117</v>
      </c>
      <c r="K4152" s="11" t="str">
        <f aca="false">IF(I4152&lt;J4152,"TAK","NIE")</f>
        <v>NIE</v>
      </c>
    </row>
    <row r="4153" customFormat="false" ht="15" hidden="false" customHeight="false" outlineLevel="0" collapsed="false">
      <c r="A4153" s="5" t="s">
        <v>826</v>
      </c>
      <c r="B4153" s="5" t="s">
        <v>103</v>
      </c>
      <c r="C4153" s="5" t="n">
        <v>2024</v>
      </c>
      <c r="D4153" s="5" t="s">
        <v>104</v>
      </c>
      <c r="E4153" s="5" t="s">
        <v>75</v>
      </c>
      <c r="F4153" s="5" t="s">
        <v>39</v>
      </c>
      <c r="G4153" s="6" t="n">
        <v>534</v>
      </c>
      <c r="H4153" s="6" t="n">
        <v>14</v>
      </c>
      <c r="I4153" s="7" t="n">
        <f aca="false">(G4153-H4153)/G4153</f>
        <v>0.973782771535581</v>
      </c>
      <c r="J4153" s="15" t="n">
        <v>0.5117</v>
      </c>
      <c r="K4153" s="11" t="str">
        <f aca="false">IF(I4153&lt;J4153,"TAK","NIE")</f>
        <v>NIE</v>
      </c>
    </row>
    <row r="4154" customFormat="false" ht="15" hidden="false" customHeight="false" outlineLevel="0" collapsed="false">
      <c r="A4154" s="5" t="s">
        <v>827</v>
      </c>
      <c r="B4154" s="5" t="s">
        <v>103</v>
      </c>
      <c r="C4154" s="5" t="n">
        <v>2024</v>
      </c>
      <c r="D4154" s="5" t="s">
        <v>104</v>
      </c>
      <c r="E4154" s="5" t="s">
        <v>75</v>
      </c>
      <c r="F4154" s="5" t="s">
        <v>39</v>
      </c>
      <c r="G4154" s="6" t="n">
        <v>555</v>
      </c>
      <c r="H4154" s="6" t="n">
        <v>61</v>
      </c>
      <c r="I4154" s="7" t="n">
        <f aca="false">(G4154-H4154)/G4154</f>
        <v>0.89009009009009</v>
      </c>
      <c r="J4154" s="15" t="n">
        <v>0.5117</v>
      </c>
      <c r="K4154" s="11" t="str">
        <f aca="false">IF(I4154&lt;J4154,"TAK","NIE")</f>
        <v>NIE</v>
      </c>
    </row>
    <row r="4155" customFormat="false" ht="15" hidden="false" customHeight="false" outlineLevel="0" collapsed="false">
      <c r="A4155" s="5" t="s">
        <v>828</v>
      </c>
      <c r="B4155" s="5" t="s">
        <v>103</v>
      </c>
      <c r="C4155" s="5" t="n">
        <v>2024</v>
      </c>
      <c r="D4155" s="5" t="s">
        <v>104</v>
      </c>
      <c r="E4155" s="5" t="s">
        <v>75</v>
      </c>
      <c r="F4155" s="5" t="s">
        <v>39</v>
      </c>
      <c r="G4155" s="6" t="n">
        <v>549</v>
      </c>
      <c r="H4155" s="6" t="n">
        <v>56</v>
      </c>
      <c r="I4155" s="7" t="n">
        <f aca="false">(G4155-H4155)/G4155</f>
        <v>0.897996357012751</v>
      </c>
      <c r="J4155" s="15" t="n">
        <v>0.5117</v>
      </c>
      <c r="K4155" s="11" t="str">
        <f aca="false">IF(I4155&lt;J4155,"TAK","NIE")</f>
        <v>NIE</v>
      </c>
    </row>
    <row r="4156" customFormat="false" ht="15" hidden="false" customHeight="false" outlineLevel="0" collapsed="false">
      <c r="A4156" s="5" t="s">
        <v>829</v>
      </c>
      <c r="B4156" s="5" t="s">
        <v>103</v>
      </c>
      <c r="C4156" s="5" t="n">
        <v>2024</v>
      </c>
      <c r="D4156" s="5" t="s">
        <v>104</v>
      </c>
      <c r="E4156" s="5" t="s">
        <v>75</v>
      </c>
      <c r="F4156" s="5" t="s">
        <v>39</v>
      </c>
      <c r="G4156" s="6" t="n">
        <v>555</v>
      </c>
      <c r="H4156" s="6" t="n">
        <v>106</v>
      </c>
      <c r="I4156" s="7" t="n">
        <f aca="false">(G4156-H4156)/G4156</f>
        <v>0.809009009009009</v>
      </c>
      <c r="J4156" s="15" t="n">
        <v>0.5117</v>
      </c>
      <c r="K4156" s="11" t="str">
        <f aca="false">IF(I4156&lt;J4156,"TAK","NIE")</f>
        <v>NIE</v>
      </c>
    </row>
    <row r="4157" customFormat="false" ht="15" hidden="false" customHeight="false" outlineLevel="0" collapsed="false">
      <c r="A4157" s="5" t="s">
        <v>830</v>
      </c>
      <c r="B4157" s="5" t="s">
        <v>103</v>
      </c>
      <c r="C4157" s="5" t="n">
        <v>2024</v>
      </c>
      <c r="D4157" s="5" t="s">
        <v>104</v>
      </c>
      <c r="E4157" s="5" t="s">
        <v>75</v>
      </c>
      <c r="F4157" s="5" t="s">
        <v>39</v>
      </c>
      <c r="G4157" s="6" t="n">
        <v>555</v>
      </c>
      <c r="H4157" s="6" t="n">
        <v>103</v>
      </c>
      <c r="I4157" s="7" t="n">
        <f aca="false">(G4157-H4157)/G4157</f>
        <v>0.814414414414414</v>
      </c>
      <c r="J4157" s="15" t="n">
        <v>0.5117</v>
      </c>
      <c r="K4157" s="11" t="str">
        <f aca="false">IF(I4157&lt;J4157,"TAK","NIE")</f>
        <v>NIE</v>
      </c>
    </row>
    <row r="4158" customFormat="false" ht="15" hidden="false" customHeight="false" outlineLevel="0" collapsed="false">
      <c r="A4158" s="5" t="s">
        <v>831</v>
      </c>
      <c r="B4158" s="5" t="s">
        <v>103</v>
      </c>
      <c r="C4158" s="5" t="n">
        <v>2024</v>
      </c>
      <c r="D4158" s="5" t="s">
        <v>104</v>
      </c>
      <c r="E4158" s="5" t="s">
        <v>75</v>
      </c>
      <c r="F4158" s="5" t="s">
        <v>39</v>
      </c>
      <c r="G4158" s="6" t="n">
        <v>534</v>
      </c>
      <c r="H4158" s="6" t="n">
        <v>136</v>
      </c>
      <c r="I4158" s="7" t="n">
        <f aca="false">(G4158-H4158)/G4158</f>
        <v>0.745318352059925</v>
      </c>
      <c r="J4158" s="15" t="n">
        <v>0.5117</v>
      </c>
      <c r="K4158" s="11" t="str">
        <f aca="false">IF(I4158&lt;J4158,"TAK","NIE")</f>
        <v>NIE</v>
      </c>
    </row>
    <row r="4159" customFormat="false" ht="15" hidden="false" customHeight="false" outlineLevel="0" collapsed="false">
      <c r="A4159" s="5" t="s">
        <v>832</v>
      </c>
      <c r="B4159" s="5" t="s">
        <v>103</v>
      </c>
      <c r="C4159" s="5" t="n">
        <v>2024</v>
      </c>
      <c r="D4159" s="5" t="s">
        <v>104</v>
      </c>
      <c r="E4159" s="5" t="s">
        <v>75</v>
      </c>
      <c r="F4159" s="5" t="s">
        <v>39</v>
      </c>
      <c r="G4159" s="6" t="n">
        <v>570</v>
      </c>
      <c r="H4159" s="6" t="n">
        <v>267</v>
      </c>
      <c r="I4159" s="7" t="n">
        <f aca="false">(G4159-H4159)/G4159</f>
        <v>0.531578947368421</v>
      </c>
      <c r="J4159" s="15" t="n">
        <v>0.5117</v>
      </c>
      <c r="K4159" s="11" t="str">
        <f aca="false">IF(I4159&lt;J4159,"TAK","NIE")</f>
        <v>NIE</v>
      </c>
    </row>
    <row r="4160" customFormat="false" ht="15" hidden="false" customHeight="false" outlineLevel="0" collapsed="false">
      <c r="A4160" s="5" t="s">
        <v>833</v>
      </c>
      <c r="B4160" s="5" t="s">
        <v>103</v>
      </c>
      <c r="C4160" s="5" t="n">
        <v>2024</v>
      </c>
      <c r="D4160" s="5" t="s">
        <v>104</v>
      </c>
      <c r="E4160" s="5" t="s">
        <v>75</v>
      </c>
      <c r="F4160" s="5" t="s">
        <v>39</v>
      </c>
      <c r="G4160" s="6" t="n">
        <v>555</v>
      </c>
      <c r="H4160" s="6" t="n">
        <v>122</v>
      </c>
      <c r="I4160" s="7" t="n">
        <f aca="false">(G4160-H4160)/G4160</f>
        <v>0.78018018018018</v>
      </c>
      <c r="J4160" s="15" t="n">
        <v>0.5117</v>
      </c>
      <c r="K4160" s="11" t="str">
        <f aca="false">IF(I4160&lt;J4160,"TAK","NIE")</f>
        <v>NIE</v>
      </c>
    </row>
    <row r="4161" customFormat="false" ht="15" hidden="false" customHeight="false" outlineLevel="0" collapsed="false">
      <c r="A4161" s="5" t="s">
        <v>816</v>
      </c>
      <c r="B4161" s="5" t="s">
        <v>103</v>
      </c>
      <c r="C4161" s="5" t="n">
        <v>2024</v>
      </c>
      <c r="D4161" s="5" t="s">
        <v>104</v>
      </c>
      <c r="E4161" s="5" t="s">
        <v>75</v>
      </c>
      <c r="F4161" s="5" t="s">
        <v>40</v>
      </c>
      <c r="G4161" s="6" t="n">
        <v>693</v>
      </c>
      <c r="H4161" s="6" t="n">
        <v>134</v>
      </c>
      <c r="I4161" s="7" t="n">
        <f aca="false">(G4161-H4161)/G4161</f>
        <v>0.806637806637807</v>
      </c>
      <c r="J4161" s="15" t="n">
        <v>0.519</v>
      </c>
      <c r="K4161" s="11" t="str">
        <f aca="false">IF(I4161&lt;J4161,"TAK","NIE")</f>
        <v>NIE</v>
      </c>
    </row>
    <row r="4162" customFormat="false" ht="15" hidden="false" customHeight="false" outlineLevel="0" collapsed="false">
      <c r="A4162" s="5" t="s">
        <v>817</v>
      </c>
      <c r="B4162" s="5" t="s">
        <v>103</v>
      </c>
      <c r="C4162" s="5" t="n">
        <v>2024</v>
      </c>
      <c r="D4162" s="5" t="s">
        <v>104</v>
      </c>
      <c r="E4162" s="5" t="s">
        <v>75</v>
      </c>
      <c r="F4162" s="5" t="s">
        <v>40</v>
      </c>
      <c r="G4162" s="6" t="n">
        <v>764</v>
      </c>
      <c r="H4162" s="6" t="n">
        <v>529</v>
      </c>
      <c r="I4162" s="7" t="n">
        <f aca="false">(G4162-H4162)/G4162</f>
        <v>0.307591623036649</v>
      </c>
      <c r="J4162" s="15" t="n">
        <v>0.519</v>
      </c>
      <c r="K4162" s="11" t="str">
        <f aca="false">IF(I4162&lt;J4162,"TAK","NIE")</f>
        <v>TAK</v>
      </c>
    </row>
    <row r="4163" customFormat="false" ht="15" hidden="false" customHeight="false" outlineLevel="0" collapsed="false">
      <c r="A4163" s="5" t="s">
        <v>818</v>
      </c>
      <c r="B4163" s="5" t="s">
        <v>103</v>
      </c>
      <c r="C4163" s="5" t="n">
        <v>2024</v>
      </c>
      <c r="D4163" s="5" t="s">
        <v>104</v>
      </c>
      <c r="E4163" s="5" t="s">
        <v>75</v>
      </c>
      <c r="F4163" s="5" t="s">
        <v>40</v>
      </c>
      <c r="G4163" s="6" t="n">
        <v>511</v>
      </c>
      <c r="H4163" s="6" t="n">
        <v>99</v>
      </c>
      <c r="I4163" s="7" t="n">
        <f aca="false">(G4163-H4163)/G4163</f>
        <v>0.806262230919765</v>
      </c>
      <c r="J4163" s="15" t="n">
        <v>0.519</v>
      </c>
      <c r="K4163" s="11" t="str">
        <f aca="false">IF(I4163&lt;J4163,"TAK","NIE")</f>
        <v>NIE</v>
      </c>
    </row>
    <row r="4164" customFormat="false" ht="15" hidden="false" customHeight="false" outlineLevel="0" collapsed="false">
      <c r="A4164" s="5" t="s">
        <v>819</v>
      </c>
      <c r="B4164" s="5" t="s">
        <v>103</v>
      </c>
      <c r="C4164" s="5" t="n">
        <v>2024</v>
      </c>
      <c r="D4164" s="5" t="s">
        <v>104</v>
      </c>
      <c r="E4164" s="5" t="s">
        <v>75</v>
      </c>
      <c r="F4164" s="5" t="s">
        <v>40</v>
      </c>
      <c r="G4164" s="6" t="n">
        <v>660</v>
      </c>
      <c r="H4164" s="6" t="n">
        <v>195</v>
      </c>
      <c r="I4164" s="7" t="n">
        <f aca="false">(G4164-H4164)/G4164</f>
        <v>0.704545454545455</v>
      </c>
      <c r="J4164" s="15" t="n">
        <v>0.519</v>
      </c>
      <c r="K4164" s="11" t="str">
        <f aca="false">IF(I4164&lt;J4164,"TAK","NIE")</f>
        <v>NIE</v>
      </c>
    </row>
    <row r="4165" customFormat="false" ht="15" hidden="false" customHeight="false" outlineLevel="0" collapsed="false">
      <c r="A4165" s="5" t="s">
        <v>820</v>
      </c>
      <c r="B4165" s="5" t="s">
        <v>103</v>
      </c>
      <c r="C4165" s="5" t="n">
        <v>2024</v>
      </c>
      <c r="D4165" s="5" t="s">
        <v>104</v>
      </c>
      <c r="E4165" s="5" t="s">
        <v>75</v>
      </c>
      <c r="F4165" s="5" t="s">
        <v>40</v>
      </c>
      <c r="G4165" s="6" t="n">
        <v>515</v>
      </c>
      <c r="H4165" s="6" t="n">
        <v>106</v>
      </c>
      <c r="I4165" s="7" t="n">
        <f aca="false">(G4165-H4165)/G4165</f>
        <v>0.794174757281553</v>
      </c>
      <c r="J4165" s="15" t="n">
        <v>0.519</v>
      </c>
      <c r="K4165" s="11" t="str">
        <f aca="false">IF(I4165&lt;J4165,"TAK","NIE")</f>
        <v>NIE</v>
      </c>
    </row>
    <row r="4166" customFormat="false" ht="15" hidden="false" customHeight="false" outlineLevel="0" collapsed="false">
      <c r="A4166" s="5" t="s">
        <v>821</v>
      </c>
      <c r="B4166" s="5" t="s">
        <v>103</v>
      </c>
      <c r="C4166" s="5" t="n">
        <v>2024</v>
      </c>
      <c r="D4166" s="5" t="s">
        <v>104</v>
      </c>
      <c r="E4166" s="5" t="s">
        <v>75</v>
      </c>
      <c r="F4166" s="5" t="s">
        <v>40</v>
      </c>
      <c r="G4166" s="6" t="n">
        <v>693</v>
      </c>
      <c r="H4166" s="6" t="n">
        <v>205</v>
      </c>
      <c r="I4166" s="7" t="n">
        <f aca="false">(G4166-H4166)/G4166</f>
        <v>0.704184704184704</v>
      </c>
      <c r="J4166" s="15" t="n">
        <v>0.519</v>
      </c>
      <c r="K4166" s="11" t="str">
        <f aca="false">IF(I4166&lt;J4166,"TAK","NIE")</f>
        <v>NIE</v>
      </c>
    </row>
    <row r="4167" customFormat="false" ht="15" hidden="false" customHeight="false" outlineLevel="0" collapsed="false">
      <c r="A4167" s="5" t="s">
        <v>822</v>
      </c>
      <c r="B4167" s="5" t="s">
        <v>103</v>
      </c>
      <c r="C4167" s="5" t="n">
        <v>2024</v>
      </c>
      <c r="D4167" s="5" t="s">
        <v>104</v>
      </c>
      <c r="E4167" s="5" t="s">
        <v>75</v>
      </c>
      <c r="F4167" s="5" t="s">
        <v>40</v>
      </c>
      <c r="G4167" s="6" t="n">
        <v>688</v>
      </c>
      <c r="H4167" s="6" t="n">
        <v>65</v>
      </c>
      <c r="I4167" s="7" t="n">
        <f aca="false">(G4167-H4167)/G4167</f>
        <v>0.905523255813954</v>
      </c>
      <c r="J4167" s="15" t="n">
        <v>0.519</v>
      </c>
      <c r="K4167" s="11" t="str">
        <f aca="false">IF(I4167&lt;J4167,"TAK","NIE")</f>
        <v>NIE</v>
      </c>
    </row>
    <row r="4168" customFormat="false" ht="15" hidden="false" customHeight="false" outlineLevel="0" collapsed="false">
      <c r="A4168" s="5" t="s">
        <v>823</v>
      </c>
      <c r="B4168" s="5" t="s">
        <v>103</v>
      </c>
      <c r="C4168" s="5" t="n">
        <v>2024</v>
      </c>
      <c r="D4168" s="5" t="s">
        <v>104</v>
      </c>
      <c r="E4168" s="5" t="s">
        <v>75</v>
      </c>
      <c r="F4168" s="5" t="s">
        <v>40</v>
      </c>
      <c r="G4168" s="6" t="n">
        <v>660</v>
      </c>
      <c r="H4168" s="6" t="n">
        <v>256</v>
      </c>
      <c r="I4168" s="7" t="n">
        <f aca="false">(G4168-H4168)/G4168</f>
        <v>0.612121212121212</v>
      </c>
      <c r="J4168" s="15" t="n">
        <v>0.519</v>
      </c>
      <c r="K4168" s="11" t="str">
        <f aca="false">IF(I4168&lt;J4168,"TAK","NIE")</f>
        <v>NIE</v>
      </c>
    </row>
    <row r="4169" customFormat="false" ht="15" hidden="false" customHeight="false" outlineLevel="0" collapsed="false">
      <c r="A4169" s="5" t="s">
        <v>824</v>
      </c>
      <c r="B4169" s="5" t="s">
        <v>103</v>
      </c>
      <c r="C4169" s="5" t="n">
        <v>2024</v>
      </c>
      <c r="D4169" s="5" t="s">
        <v>104</v>
      </c>
      <c r="E4169" s="5" t="s">
        <v>75</v>
      </c>
      <c r="F4169" s="5" t="s">
        <v>40</v>
      </c>
      <c r="G4169" s="6" t="n">
        <v>660</v>
      </c>
      <c r="H4169" s="6" t="n">
        <v>172</v>
      </c>
      <c r="I4169" s="7" t="n">
        <f aca="false">(G4169-H4169)/G4169</f>
        <v>0.739393939393939</v>
      </c>
      <c r="J4169" s="15" t="n">
        <v>0.519</v>
      </c>
      <c r="K4169" s="11" t="str">
        <f aca="false">IF(I4169&lt;J4169,"TAK","NIE")</f>
        <v>NIE</v>
      </c>
    </row>
    <row r="4170" customFormat="false" ht="15" hidden="false" customHeight="false" outlineLevel="0" collapsed="false">
      <c r="A4170" s="5" t="s">
        <v>825</v>
      </c>
      <c r="B4170" s="5" t="s">
        <v>103</v>
      </c>
      <c r="C4170" s="5" t="n">
        <v>2024</v>
      </c>
      <c r="D4170" s="5" t="s">
        <v>104</v>
      </c>
      <c r="E4170" s="5" t="s">
        <v>75</v>
      </c>
      <c r="F4170" s="5" t="s">
        <v>40</v>
      </c>
      <c r="G4170" s="6" t="n">
        <v>728</v>
      </c>
      <c r="H4170" s="6" t="n">
        <v>165</v>
      </c>
      <c r="I4170" s="7" t="n">
        <f aca="false">(G4170-H4170)/G4170</f>
        <v>0.773351648351648</v>
      </c>
      <c r="J4170" s="15" t="n">
        <v>0.519</v>
      </c>
      <c r="K4170" s="11" t="str">
        <f aca="false">IF(I4170&lt;J4170,"TAK","NIE")</f>
        <v>NIE</v>
      </c>
    </row>
    <row r="4171" customFormat="false" ht="15" hidden="false" customHeight="false" outlineLevel="0" collapsed="false">
      <c r="A4171" s="5" t="s">
        <v>826</v>
      </c>
      <c r="B4171" s="5" t="s">
        <v>103</v>
      </c>
      <c r="C4171" s="5" t="n">
        <v>2024</v>
      </c>
      <c r="D4171" s="5" t="s">
        <v>104</v>
      </c>
      <c r="E4171" s="5" t="s">
        <v>75</v>
      </c>
      <c r="F4171" s="5" t="s">
        <v>40</v>
      </c>
      <c r="G4171" s="6" t="n">
        <v>692</v>
      </c>
      <c r="H4171" s="6" t="n">
        <v>89</v>
      </c>
      <c r="I4171" s="7" t="n">
        <f aca="false">(G4171-H4171)/G4171</f>
        <v>0.871387283236994</v>
      </c>
      <c r="J4171" s="15" t="n">
        <v>0.519</v>
      </c>
      <c r="K4171" s="11" t="str">
        <f aca="false">IF(I4171&lt;J4171,"TAK","NIE")</f>
        <v>NIE</v>
      </c>
    </row>
    <row r="4172" customFormat="false" ht="15" hidden="false" customHeight="false" outlineLevel="0" collapsed="false">
      <c r="A4172" s="5" t="s">
        <v>827</v>
      </c>
      <c r="B4172" s="5" t="s">
        <v>103</v>
      </c>
      <c r="C4172" s="5" t="n">
        <v>2024</v>
      </c>
      <c r="D4172" s="5" t="s">
        <v>104</v>
      </c>
      <c r="E4172" s="5" t="s">
        <v>75</v>
      </c>
      <c r="F4172" s="5" t="s">
        <v>40</v>
      </c>
      <c r="G4172" s="6" t="n">
        <v>728</v>
      </c>
      <c r="H4172" s="6" t="n">
        <v>174</v>
      </c>
      <c r="I4172" s="7" t="n">
        <f aca="false">(G4172-H4172)/G4172</f>
        <v>0.760989010989011</v>
      </c>
      <c r="J4172" s="15" t="n">
        <v>0.519</v>
      </c>
      <c r="K4172" s="11" t="str">
        <f aca="false">IF(I4172&lt;J4172,"TAK","NIE")</f>
        <v>NIE</v>
      </c>
    </row>
    <row r="4173" customFormat="false" ht="15" hidden="false" customHeight="false" outlineLevel="0" collapsed="false">
      <c r="A4173" s="5" t="s">
        <v>834</v>
      </c>
      <c r="B4173" s="5" t="s">
        <v>103</v>
      </c>
      <c r="C4173" s="5" t="n">
        <v>2024</v>
      </c>
      <c r="D4173" s="5" t="s">
        <v>104</v>
      </c>
      <c r="E4173" s="5" t="s">
        <v>75</v>
      </c>
      <c r="F4173" s="5" t="s">
        <v>40</v>
      </c>
      <c r="G4173" s="6" t="n">
        <v>461</v>
      </c>
      <c r="H4173" s="6" t="n">
        <v>64</v>
      </c>
      <c r="I4173" s="7" t="n">
        <f aca="false">(G4173-H4173)/G4173</f>
        <v>0.86117136659436</v>
      </c>
      <c r="J4173" s="15" t="n">
        <v>0.519</v>
      </c>
      <c r="K4173" s="11" t="str">
        <f aca="false">IF(I4173&lt;J4173,"TAK","NIE")</f>
        <v>NIE</v>
      </c>
    </row>
    <row r="4174" customFormat="false" ht="15" hidden="false" customHeight="false" outlineLevel="0" collapsed="false">
      <c r="A4174" s="5" t="s">
        <v>828</v>
      </c>
      <c r="B4174" s="5" t="s">
        <v>103</v>
      </c>
      <c r="C4174" s="5" t="n">
        <v>2024</v>
      </c>
      <c r="D4174" s="5" t="s">
        <v>104</v>
      </c>
      <c r="E4174" s="5" t="s">
        <v>75</v>
      </c>
      <c r="F4174" s="5" t="s">
        <v>40</v>
      </c>
      <c r="G4174" s="6" t="n">
        <v>660</v>
      </c>
      <c r="H4174" s="6" t="n">
        <v>101</v>
      </c>
      <c r="I4174" s="7" t="n">
        <f aca="false">(G4174-H4174)/G4174</f>
        <v>0.846969696969697</v>
      </c>
      <c r="J4174" s="15" t="n">
        <v>0.519</v>
      </c>
      <c r="K4174" s="11" t="str">
        <f aca="false">IF(I4174&lt;J4174,"TAK","NIE")</f>
        <v>NIE</v>
      </c>
    </row>
    <row r="4175" customFormat="false" ht="15" hidden="false" customHeight="false" outlineLevel="0" collapsed="false">
      <c r="A4175" s="5" t="s">
        <v>829</v>
      </c>
      <c r="B4175" s="5" t="s">
        <v>103</v>
      </c>
      <c r="C4175" s="5" t="n">
        <v>2024</v>
      </c>
      <c r="D4175" s="5" t="s">
        <v>104</v>
      </c>
      <c r="E4175" s="5" t="s">
        <v>75</v>
      </c>
      <c r="F4175" s="5" t="s">
        <v>40</v>
      </c>
      <c r="G4175" s="6" t="n">
        <v>728</v>
      </c>
      <c r="H4175" s="6" t="n">
        <v>233</v>
      </c>
      <c r="I4175" s="7" t="n">
        <f aca="false">(G4175-H4175)/G4175</f>
        <v>0.679945054945055</v>
      </c>
      <c r="J4175" s="15" t="n">
        <v>0.519</v>
      </c>
      <c r="K4175" s="11" t="str">
        <f aca="false">IF(I4175&lt;J4175,"TAK","NIE")</f>
        <v>NIE</v>
      </c>
    </row>
    <row r="4176" customFormat="false" ht="15" hidden="false" customHeight="false" outlineLevel="0" collapsed="false">
      <c r="A4176" s="5" t="s">
        <v>830</v>
      </c>
      <c r="B4176" s="5" t="s">
        <v>103</v>
      </c>
      <c r="C4176" s="5" t="n">
        <v>2024</v>
      </c>
      <c r="D4176" s="5" t="s">
        <v>104</v>
      </c>
      <c r="E4176" s="5" t="s">
        <v>75</v>
      </c>
      <c r="F4176" s="5" t="s">
        <v>40</v>
      </c>
      <c r="G4176" s="6" t="n">
        <v>728</v>
      </c>
      <c r="H4176" s="6" t="n">
        <v>216</v>
      </c>
      <c r="I4176" s="7" t="n">
        <f aca="false">(G4176-H4176)/G4176</f>
        <v>0.703296703296703</v>
      </c>
      <c r="J4176" s="15" t="n">
        <v>0.519</v>
      </c>
      <c r="K4176" s="11" t="str">
        <f aca="false">IF(I4176&lt;J4176,"TAK","NIE")</f>
        <v>NIE</v>
      </c>
    </row>
    <row r="4177" customFormat="false" ht="15" hidden="false" customHeight="false" outlineLevel="0" collapsed="false">
      <c r="A4177" s="5" t="s">
        <v>831</v>
      </c>
      <c r="B4177" s="5" t="s">
        <v>103</v>
      </c>
      <c r="C4177" s="5" t="n">
        <v>2024</v>
      </c>
      <c r="D4177" s="5" t="s">
        <v>104</v>
      </c>
      <c r="E4177" s="5" t="s">
        <v>75</v>
      </c>
      <c r="F4177" s="5" t="s">
        <v>40</v>
      </c>
      <c r="G4177" s="6" t="n">
        <v>692</v>
      </c>
      <c r="H4177" s="6" t="n">
        <v>172</v>
      </c>
      <c r="I4177" s="7" t="n">
        <f aca="false">(G4177-H4177)/G4177</f>
        <v>0.751445086705202</v>
      </c>
      <c r="J4177" s="15" t="n">
        <v>0.519</v>
      </c>
      <c r="K4177" s="11" t="str">
        <f aca="false">IF(I4177&lt;J4177,"TAK","NIE")</f>
        <v>NIE</v>
      </c>
    </row>
    <row r="4178" customFormat="false" ht="15" hidden="false" customHeight="false" outlineLevel="0" collapsed="false">
      <c r="A4178" s="5" t="s">
        <v>832</v>
      </c>
      <c r="B4178" s="5" t="s">
        <v>103</v>
      </c>
      <c r="C4178" s="5" t="n">
        <v>2024</v>
      </c>
      <c r="D4178" s="5" t="s">
        <v>104</v>
      </c>
      <c r="E4178" s="5" t="s">
        <v>75</v>
      </c>
      <c r="F4178" s="5" t="s">
        <v>40</v>
      </c>
      <c r="G4178" s="6" t="n">
        <v>701</v>
      </c>
      <c r="H4178" s="6" t="n">
        <v>488</v>
      </c>
      <c r="I4178" s="7" t="n">
        <f aca="false">(G4178-H4178)/G4178</f>
        <v>0.303851640513552</v>
      </c>
      <c r="J4178" s="15" t="n">
        <v>0.519</v>
      </c>
      <c r="K4178" s="11" t="str">
        <f aca="false">IF(I4178&lt;J4178,"TAK","NIE")</f>
        <v>TAK</v>
      </c>
    </row>
    <row r="4179" customFormat="false" ht="15" hidden="false" customHeight="false" outlineLevel="0" collapsed="false">
      <c r="A4179" s="5" t="s">
        <v>833</v>
      </c>
      <c r="B4179" s="5" t="s">
        <v>103</v>
      </c>
      <c r="C4179" s="5" t="n">
        <v>2024</v>
      </c>
      <c r="D4179" s="5" t="s">
        <v>104</v>
      </c>
      <c r="E4179" s="5" t="s">
        <v>75</v>
      </c>
      <c r="F4179" s="5" t="s">
        <v>40</v>
      </c>
      <c r="G4179" s="6" t="n">
        <v>728</v>
      </c>
      <c r="H4179" s="6" t="n">
        <v>293</v>
      </c>
      <c r="I4179" s="7" t="n">
        <f aca="false">(G4179-H4179)/G4179</f>
        <v>0.597527472527473</v>
      </c>
      <c r="J4179" s="15" t="n">
        <v>0.519</v>
      </c>
      <c r="K4179" s="11" t="str">
        <f aca="false">IF(I4179&lt;J4179,"TAK","NIE")</f>
        <v>NIE</v>
      </c>
    </row>
    <row r="4180" customFormat="false" ht="15" hidden="false" customHeight="false" outlineLevel="0" collapsed="false">
      <c r="A4180" s="5" t="s">
        <v>835</v>
      </c>
      <c r="B4180" s="5" t="s">
        <v>96</v>
      </c>
      <c r="C4180" s="5" t="n">
        <v>2024</v>
      </c>
      <c r="D4180" s="5" t="s">
        <v>64</v>
      </c>
      <c r="E4180" s="5" t="s">
        <v>75</v>
      </c>
      <c r="F4180" s="5" t="s">
        <v>39</v>
      </c>
      <c r="G4180" s="6" t="n">
        <v>554</v>
      </c>
      <c r="H4180" s="6" t="n">
        <v>16</v>
      </c>
      <c r="I4180" s="7" t="n">
        <f aca="false">(G4180-H4180)/G4180</f>
        <v>0.971119133574007</v>
      </c>
      <c r="J4180" s="15" t="n">
        <v>0.595</v>
      </c>
      <c r="K4180" s="11" t="str">
        <f aca="false">IF(I4180&lt;J4180,"TAK","NIE")</f>
        <v>NIE</v>
      </c>
    </row>
    <row r="4181" customFormat="false" ht="15" hidden="false" customHeight="false" outlineLevel="0" collapsed="false">
      <c r="A4181" s="5" t="s">
        <v>836</v>
      </c>
      <c r="B4181" s="5" t="s">
        <v>96</v>
      </c>
      <c r="C4181" s="5" t="n">
        <v>2024</v>
      </c>
      <c r="D4181" s="5" t="s">
        <v>64</v>
      </c>
      <c r="E4181" s="5" t="s">
        <v>75</v>
      </c>
      <c r="F4181" s="5" t="s">
        <v>39</v>
      </c>
      <c r="G4181" s="6" t="n">
        <v>149</v>
      </c>
      <c r="H4181" s="6" t="n">
        <v>44</v>
      </c>
      <c r="I4181" s="7" t="n">
        <f aca="false">(G4181-H4181)/G4181</f>
        <v>0.704697986577181</v>
      </c>
      <c r="J4181" s="15" t="n">
        <v>0.595</v>
      </c>
      <c r="K4181" s="11" t="str">
        <f aca="false">IF(I4181&lt;J4181,"TAK","NIE")</f>
        <v>NIE</v>
      </c>
    </row>
    <row r="4182" customFormat="false" ht="15" hidden="false" customHeight="false" outlineLevel="0" collapsed="false">
      <c r="A4182" s="5" t="s">
        <v>837</v>
      </c>
      <c r="B4182" s="5" t="s">
        <v>96</v>
      </c>
      <c r="C4182" s="5" t="n">
        <v>2024</v>
      </c>
      <c r="D4182" s="5" t="s">
        <v>64</v>
      </c>
      <c r="E4182" s="5" t="s">
        <v>75</v>
      </c>
      <c r="F4182" s="5" t="s">
        <v>39</v>
      </c>
      <c r="G4182" s="6" t="n">
        <v>30</v>
      </c>
      <c r="H4182" s="6" t="n">
        <v>0</v>
      </c>
      <c r="I4182" s="7" t="n">
        <f aca="false">(G4182-H4182)/G4182</f>
        <v>1</v>
      </c>
      <c r="J4182" s="15" t="n">
        <v>0.595</v>
      </c>
      <c r="K4182" s="11" t="str">
        <f aca="false">IF(I4182&lt;J4182,"TAK","NIE")</f>
        <v>NIE</v>
      </c>
    </row>
    <row r="4183" customFormat="false" ht="15" hidden="false" customHeight="false" outlineLevel="0" collapsed="false">
      <c r="A4183" s="5" t="s">
        <v>838</v>
      </c>
      <c r="B4183" s="5" t="s">
        <v>96</v>
      </c>
      <c r="C4183" s="5" t="n">
        <v>2024</v>
      </c>
      <c r="D4183" s="5" t="s">
        <v>64</v>
      </c>
      <c r="E4183" s="5" t="s">
        <v>75</v>
      </c>
      <c r="F4183" s="5" t="s">
        <v>39</v>
      </c>
      <c r="G4183" s="6" t="n">
        <v>554</v>
      </c>
      <c r="H4183" s="6" t="n">
        <v>104</v>
      </c>
      <c r="I4183" s="7" t="n">
        <f aca="false">(G4183-H4183)/G4183</f>
        <v>0.812274368231047</v>
      </c>
      <c r="J4183" s="15" t="n">
        <v>0.595</v>
      </c>
      <c r="K4183" s="11" t="str">
        <f aca="false">IF(I4183&lt;J4183,"TAK","NIE")</f>
        <v>NIE</v>
      </c>
    </row>
    <row r="4184" customFormat="false" ht="15" hidden="false" customHeight="false" outlineLevel="0" collapsed="false">
      <c r="A4184" s="5" t="s">
        <v>839</v>
      </c>
      <c r="B4184" s="5" t="s">
        <v>96</v>
      </c>
      <c r="C4184" s="5" t="n">
        <v>2024</v>
      </c>
      <c r="D4184" s="5" t="s">
        <v>64</v>
      </c>
      <c r="E4184" s="5" t="s">
        <v>75</v>
      </c>
      <c r="F4184" s="5" t="s">
        <v>39</v>
      </c>
      <c r="G4184" s="6" t="n">
        <v>554</v>
      </c>
      <c r="H4184" s="6" t="n">
        <v>107</v>
      </c>
      <c r="I4184" s="7" t="n">
        <f aca="false">(G4184-H4184)/G4184</f>
        <v>0.806859205776173</v>
      </c>
      <c r="J4184" s="15" t="n">
        <v>0.595</v>
      </c>
      <c r="K4184" s="11" t="str">
        <f aca="false">IF(I4184&lt;J4184,"TAK","NIE")</f>
        <v>NIE</v>
      </c>
    </row>
    <row r="4185" customFormat="false" ht="15" hidden="false" customHeight="false" outlineLevel="0" collapsed="false">
      <c r="A4185" s="5" t="s">
        <v>840</v>
      </c>
      <c r="B4185" s="5" t="s">
        <v>96</v>
      </c>
      <c r="C4185" s="5" t="n">
        <v>2024</v>
      </c>
      <c r="D4185" s="5" t="s">
        <v>64</v>
      </c>
      <c r="E4185" s="5" t="s">
        <v>75</v>
      </c>
      <c r="F4185" s="5" t="s">
        <v>39</v>
      </c>
      <c r="G4185" s="6" t="n">
        <v>554</v>
      </c>
      <c r="H4185" s="6" t="n">
        <v>51</v>
      </c>
      <c r="I4185" s="7" t="n">
        <f aca="false">(G4185-H4185)/G4185</f>
        <v>0.907942238267148</v>
      </c>
      <c r="J4185" s="15" t="n">
        <v>0.595</v>
      </c>
      <c r="K4185" s="11" t="str">
        <f aca="false">IF(I4185&lt;J4185,"TAK","NIE")</f>
        <v>NIE</v>
      </c>
    </row>
    <row r="4186" customFormat="false" ht="15" hidden="false" customHeight="false" outlineLevel="0" collapsed="false">
      <c r="A4186" s="5" t="s">
        <v>841</v>
      </c>
      <c r="B4186" s="5" t="s">
        <v>96</v>
      </c>
      <c r="C4186" s="5" t="n">
        <v>2024</v>
      </c>
      <c r="D4186" s="5" t="s">
        <v>64</v>
      </c>
      <c r="E4186" s="5" t="s">
        <v>75</v>
      </c>
      <c r="F4186" s="5" t="s">
        <v>39</v>
      </c>
      <c r="G4186" s="6" t="n">
        <v>553</v>
      </c>
      <c r="H4186" s="6" t="n">
        <v>51</v>
      </c>
      <c r="I4186" s="7" t="n">
        <f aca="false">(G4186-H4186)/G4186</f>
        <v>0.907775768535262</v>
      </c>
      <c r="J4186" s="15" t="n">
        <v>0.595</v>
      </c>
      <c r="K4186" s="11" t="str">
        <f aca="false">IF(I4186&lt;J4186,"TAK","NIE")</f>
        <v>NIE</v>
      </c>
    </row>
    <row r="4187" customFormat="false" ht="15" hidden="false" customHeight="false" outlineLevel="0" collapsed="false">
      <c r="A4187" s="5" t="s">
        <v>842</v>
      </c>
      <c r="B4187" s="5" t="s">
        <v>96</v>
      </c>
      <c r="C4187" s="5" t="n">
        <v>2024</v>
      </c>
      <c r="D4187" s="5" t="s">
        <v>64</v>
      </c>
      <c r="E4187" s="5" t="s">
        <v>75</v>
      </c>
      <c r="F4187" s="5" t="s">
        <v>39</v>
      </c>
      <c r="G4187" s="6" t="n">
        <v>463</v>
      </c>
      <c r="H4187" s="6" t="n">
        <v>40</v>
      </c>
      <c r="I4187" s="7" t="n">
        <f aca="false">(G4187-H4187)/G4187</f>
        <v>0.913606911447084</v>
      </c>
      <c r="J4187" s="15" t="n">
        <v>0.595</v>
      </c>
      <c r="K4187" s="11" t="str">
        <f aca="false">IF(I4187&lt;J4187,"TAK","NIE")</f>
        <v>NIE</v>
      </c>
    </row>
    <row r="4188" customFormat="false" ht="15" hidden="false" customHeight="false" outlineLevel="0" collapsed="false">
      <c r="A4188" s="5" t="s">
        <v>843</v>
      </c>
      <c r="B4188" s="5" t="s">
        <v>96</v>
      </c>
      <c r="C4188" s="5" t="n">
        <v>2024</v>
      </c>
      <c r="D4188" s="5" t="s">
        <v>64</v>
      </c>
      <c r="E4188" s="5" t="s">
        <v>75</v>
      </c>
      <c r="F4188" s="5" t="s">
        <v>39</v>
      </c>
      <c r="G4188" s="6" t="n">
        <v>554</v>
      </c>
      <c r="H4188" s="6" t="n">
        <v>38</v>
      </c>
      <c r="I4188" s="7" t="n">
        <f aca="false">(G4188-H4188)/G4188</f>
        <v>0.931407942238267</v>
      </c>
      <c r="J4188" s="15" t="n">
        <v>0.595</v>
      </c>
      <c r="K4188" s="11" t="str">
        <f aca="false">IF(I4188&lt;J4188,"TAK","NIE")</f>
        <v>NIE</v>
      </c>
    </row>
    <row r="4189" customFormat="false" ht="15" hidden="false" customHeight="false" outlineLevel="0" collapsed="false">
      <c r="A4189" s="5" t="s">
        <v>844</v>
      </c>
      <c r="B4189" s="5" t="s">
        <v>96</v>
      </c>
      <c r="C4189" s="5" t="n">
        <v>2024</v>
      </c>
      <c r="D4189" s="5" t="s">
        <v>64</v>
      </c>
      <c r="E4189" s="5" t="s">
        <v>75</v>
      </c>
      <c r="F4189" s="5" t="s">
        <v>39</v>
      </c>
      <c r="G4189" s="6" t="n">
        <v>553</v>
      </c>
      <c r="H4189" s="6" t="n">
        <v>63</v>
      </c>
      <c r="I4189" s="7" t="n">
        <f aca="false">(G4189-H4189)/G4189</f>
        <v>0.886075949367089</v>
      </c>
      <c r="J4189" s="15" t="n">
        <v>0.595</v>
      </c>
      <c r="K4189" s="11" t="str">
        <f aca="false">IF(I4189&lt;J4189,"TAK","NIE")</f>
        <v>NIE</v>
      </c>
    </row>
    <row r="4190" customFormat="false" ht="15" hidden="false" customHeight="false" outlineLevel="0" collapsed="false">
      <c r="A4190" s="5" t="s">
        <v>845</v>
      </c>
      <c r="B4190" s="5" t="s">
        <v>96</v>
      </c>
      <c r="C4190" s="5" t="n">
        <v>2024</v>
      </c>
      <c r="D4190" s="5" t="s">
        <v>64</v>
      </c>
      <c r="E4190" s="5" t="s">
        <v>75</v>
      </c>
      <c r="F4190" s="5" t="s">
        <v>39</v>
      </c>
      <c r="G4190" s="6" t="n">
        <v>554</v>
      </c>
      <c r="H4190" s="6" t="n">
        <v>11</v>
      </c>
      <c r="I4190" s="7" t="n">
        <f aca="false">(G4190-H4190)/G4190</f>
        <v>0.98014440433213</v>
      </c>
      <c r="J4190" s="15" t="n">
        <v>0.595</v>
      </c>
      <c r="K4190" s="11" t="str">
        <f aca="false">IF(I4190&lt;J4190,"TAK","NIE")</f>
        <v>NIE</v>
      </c>
    </row>
    <row r="4191" customFormat="false" ht="15" hidden="false" customHeight="false" outlineLevel="0" collapsed="false">
      <c r="A4191" s="5" t="s">
        <v>846</v>
      </c>
      <c r="B4191" s="5" t="s">
        <v>96</v>
      </c>
      <c r="C4191" s="5" t="n">
        <v>2024</v>
      </c>
      <c r="D4191" s="5" t="s">
        <v>64</v>
      </c>
      <c r="E4191" s="5" t="s">
        <v>75</v>
      </c>
      <c r="F4191" s="5" t="s">
        <v>39</v>
      </c>
      <c r="G4191" s="6" t="n">
        <v>531</v>
      </c>
      <c r="H4191" s="6" t="n">
        <v>55</v>
      </c>
      <c r="I4191" s="7" t="n">
        <f aca="false">(G4191-H4191)/G4191</f>
        <v>0.896421845574388</v>
      </c>
      <c r="J4191" s="15" t="n">
        <v>0.595</v>
      </c>
      <c r="K4191" s="11" t="str">
        <f aca="false">IF(I4191&lt;J4191,"TAK","NIE")</f>
        <v>NIE</v>
      </c>
    </row>
    <row r="4192" customFormat="false" ht="15" hidden="false" customHeight="false" outlineLevel="0" collapsed="false">
      <c r="A4192" s="5" t="s">
        <v>847</v>
      </c>
      <c r="B4192" s="5" t="s">
        <v>96</v>
      </c>
      <c r="C4192" s="5" t="n">
        <v>2024</v>
      </c>
      <c r="D4192" s="5" t="s">
        <v>64</v>
      </c>
      <c r="E4192" s="5" t="s">
        <v>75</v>
      </c>
      <c r="F4192" s="5" t="s">
        <v>39</v>
      </c>
      <c r="G4192" s="6" t="n">
        <v>554</v>
      </c>
      <c r="H4192" s="6" t="n">
        <v>85</v>
      </c>
      <c r="I4192" s="7" t="n">
        <f aca="false">(G4192-H4192)/G4192</f>
        <v>0.846570397111913</v>
      </c>
      <c r="J4192" s="15" t="n">
        <v>0.595</v>
      </c>
      <c r="K4192" s="11" t="str">
        <f aca="false">IF(I4192&lt;J4192,"TAK","NIE")</f>
        <v>NIE</v>
      </c>
    </row>
    <row r="4193" customFormat="false" ht="15" hidden="false" customHeight="false" outlineLevel="0" collapsed="false">
      <c r="A4193" s="5" t="s">
        <v>848</v>
      </c>
      <c r="B4193" s="5" t="s">
        <v>96</v>
      </c>
      <c r="C4193" s="5" t="n">
        <v>2024</v>
      </c>
      <c r="D4193" s="5" t="s">
        <v>64</v>
      </c>
      <c r="E4193" s="5" t="s">
        <v>75</v>
      </c>
      <c r="F4193" s="5" t="s">
        <v>39</v>
      </c>
      <c r="G4193" s="6" t="n">
        <v>531</v>
      </c>
      <c r="H4193" s="6" t="n">
        <v>85</v>
      </c>
      <c r="I4193" s="7" t="n">
        <f aca="false">(G4193-H4193)/G4193</f>
        <v>0.839924670433145</v>
      </c>
      <c r="J4193" s="15" t="n">
        <v>0.595</v>
      </c>
      <c r="K4193" s="11" t="str">
        <f aca="false">IF(I4193&lt;J4193,"TAK","NIE")</f>
        <v>NIE</v>
      </c>
    </row>
    <row r="4194" customFormat="false" ht="15" hidden="false" customHeight="false" outlineLevel="0" collapsed="false">
      <c r="A4194" s="5" t="s">
        <v>849</v>
      </c>
      <c r="B4194" s="5" t="s">
        <v>96</v>
      </c>
      <c r="C4194" s="5" t="n">
        <v>2024</v>
      </c>
      <c r="D4194" s="5" t="s">
        <v>64</v>
      </c>
      <c r="E4194" s="5" t="s">
        <v>75</v>
      </c>
      <c r="F4194" s="5" t="s">
        <v>39</v>
      </c>
      <c r="G4194" s="6" t="n">
        <v>531</v>
      </c>
      <c r="H4194" s="6" t="n">
        <v>158</v>
      </c>
      <c r="I4194" s="7" t="n">
        <f aca="false">(G4194-H4194)/G4194</f>
        <v>0.702448210922787</v>
      </c>
      <c r="J4194" s="15" t="n">
        <v>0.595</v>
      </c>
      <c r="K4194" s="11" t="str">
        <f aca="false">IF(I4194&lt;J4194,"TAK","NIE")</f>
        <v>NIE</v>
      </c>
    </row>
    <row r="4195" customFormat="false" ht="15" hidden="false" customHeight="false" outlineLevel="0" collapsed="false">
      <c r="A4195" s="5" t="s">
        <v>850</v>
      </c>
      <c r="B4195" s="5" t="s">
        <v>96</v>
      </c>
      <c r="C4195" s="5" t="n">
        <v>2024</v>
      </c>
      <c r="D4195" s="5" t="s">
        <v>64</v>
      </c>
      <c r="E4195" s="5" t="s">
        <v>75</v>
      </c>
      <c r="F4195" s="5" t="s">
        <v>39</v>
      </c>
      <c r="G4195" s="6" t="n">
        <v>531</v>
      </c>
      <c r="H4195" s="6" t="n">
        <v>22</v>
      </c>
      <c r="I4195" s="7" t="n">
        <f aca="false">(G4195-H4195)/G4195</f>
        <v>0.958568738229755</v>
      </c>
      <c r="J4195" s="15" t="n">
        <v>0.595</v>
      </c>
      <c r="K4195" s="11" t="str">
        <f aca="false">IF(I4195&lt;J4195,"TAK","NIE")</f>
        <v>NIE</v>
      </c>
    </row>
    <row r="4196" customFormat="false" ht="15" hidden="false" customHeight="false" outlineLevel="0" collapsed="false">
      <c r="A4196" s="5" t="s">
        <v>851</v>
      </c>
      <c r="B4196" s="5" t="s">
        <v>96</v>
      </c>
      <c r="C4196" s="5" t="n">
        <v>2024</v>
      </c>
      <c r="D4196" s="5" t="s">
        <v>64</v>
      </c>
      <c r="E4196" s="5" t="s">
        <v>75</v>
      </c>
      <c r="F4196" s="5" t="s">
        <v>39</v>
      </c>
      <c r="G4196" s="6" t="n">
        <v>531</v>
      </c>
      <c r="H4196" s="6" t="n">
        <v>119</v>
      </c>
      <c r="I4196" s="7" t="n">
        <f aca="false">(G4196-H4196)/G4196</f>
        <v>0.775894538606403</v>
      </c>
      <c r="J4196" s="15" t="n">
        <v>0.595</v>
      </c>
      <c r="K4196" s="11" t="str">
        <f aca="false">IF(I4196&lt;J4196,"TAK","NIE")</f>
        <v>NIE</v>
      </c>
    </row>
    <row r="4197" customFormat="false" ht="15" hidden="false" customHeight="false" outlineLevel="0" collapsed="false">
      <c r="A4197" s="5" t="s">
        <v>852</v>
      </c>
      <c r="B4197" s="5" t="s">
        <v>96</v>
      </c>
      <c r="C4197" s="5" t="n">
        <v>2024</v>
      </c>
      <c r="D4197" s="5" t="s">
        <v>64</v>
      </c>
      <c r="E4197" s="5" t="s">
        <v>75</v>
      </c>
      <c r="F4197" s="5" t="s">
        <v>39</v>
      </c>
      <c r="G4197" s="6" t="n">
        <v>553</v>
      </c>
      <c r="H4197" s="6" t="n">
        <v>141</v>
      </c>
      <c r="I4197" s="7" t="n">
        <f aca="false">(G4197-H4197)/G4197</f>
        <v>0.74502712477396</v>
      </c>
      <c r="J4197" s="15" t="n">
        <v>0.595</v>
      </c>
      <c r="K4197" s="11" t="str">
        <f aca="false">IF(I4197&lt;J4197,"TAK","NIE")</f>
        <v>NIE</v>
      </c>
    </row>
    <row r="4198" customFormat="false" ht="15" hidden="false" customHeight="false" outlineLevel="0" collapsed="false">
      <c r="A4198" s="5" t="s">
        <v>853</v>
      </c>
      <c r="B4198" s="5" t="s">
        <v>96</v>
      </c>
      <c r="C4198" s="5" t="n">
        <v>2024</v>
      </c>
      <c r="D4198" s="5" t="s">
        <v>64</v>
      </c>
      <c r="E4198" s="5" t="s">
        <v>75</v>
      </c>
      <c r="F4198" s="5" t="s">
        <v>39</v>
      </c>
      <c r="G4198" s="6" t="n">
        <v>554</v>
      </c>
      <c r="H4198" s="6" t="n">
        <v>172</v>
      </c>
      <c r="I4198" s="7" t="n">
        <f aca="false">(G4198-H4198)/G4198</f>
        <v>0.689530685920578</v>
      </c>
      <c r="J4198" s="15" t="n">
        <v>0.595</v>
      </c>
      <c r="K4198" s="11" t="str">
        <f aca="false">IF(I4198&lt;J4198,"TAK","NIE")</f>
        <v>NIE</v>
      </c>
    </row>
    <row r="4199" customFormat="false" ht="15" hidden="false" customHeight="false" outlineLevel="0" collapsed="false">
      <c r="A4199" s="5" t="s">
        <v>816</v>
      </c>
      <c r="B4199" s="5" t="s">
        <v>96</v>
      </c>
      <c r="C4199" s="5" t="n">
        <v>2024</v>
      </c>
      <c r="D4199" s="5" t="s">
        <v>64</v>
      </c>
      <c r="E4199" s="5" t="s">
        <v>75</v>
      </c>
      <c r="F4199" s="5" t="s">
        <v>40</v>
      </c>
      <c r="G4199" s="6" t="n">
        <v>73</v>
      </c>
      <c r="H4199" s="6" t="n">
        <v>35</v>
      </c>
      <c r="I4199" s="7" t="n">
        <f aca="false">(G4199-H4199)/G4199</f>
        <v>0.520547945205479</v>
      </c>
      <c r="J4199" s="15" t="n">
        <v>0.3957</v>
      </c>
      <c r="K4199" s="11" t="str">
        <f aca="false">IF(I4199&lt;J4199,"TAK","NIE")</f>
        <v>NIE</v>
      </c>
    </row>
    <row r="4200" customFormat="false" ht="15" hidden="false" customHeight="false" outlineLevel="0" collapsed="false">
      <c r="A4200" s="5" t="s">
        <v>835</v>
      </c>
      <c r="B4200" s="5" t="s">
        <v>96</v>
      </c>
      <c r="C4200" s="5" t="n">
        <v>2024</v>
      </c>
      <c r="D4200" s="5" t="s">
        <v>64</v>
      </c>
      <c r="E4200" s="5" t="s">
        <v>75</v>
      </c>
      <c r="F4200" s="5" t="s">
        <v>40</v>
      </c>
      <c r="G4200" s="6" t="n">
        <v>729</v>
      </c>
      <c r="H4200" s="6" t="n">
        <v>35</v>
      </c>
      <c r="I4200" s="7" t="n">
        <f aca="false">(G4200-H4200)/G4200</f>
        <v>0.9519890260631</v>
      </c>
      <c r="J4200" s="15" t="n">
        <v>0.3957</v>
      </c>
      <c r="K4200" s="11" t="str">
        <f aca="false">IF(I4200&lt;J4200,"TAK","NIE")</f>
        <v>NIE</v>
      </c>
    </row>
    <row r="4201" customFormat="false" ht="15" hidden="false" customHeight="false" outlineLevel="0" collapsed="false">
      <c r="A4201" s="5" t="s">
        <v>838</v>
      </c>
      <c r="B4201" s="5" t="s">
        <v>96</v>
      </c>
      <c r="C4201" s="5" t="n">
        <v>2024</v>
      </c>
      <c r="D4201" s="5" t="s">
        <v>64</v>
      </c>
      <c r="E4201" s="5" t="s">
        <v>75</v>
      </c>
      <c r="F4201" s="5" t="s">
        <v>40</v>
      </c>
      <c r="G4201" s="6" t="n">
        <v>729</v>
      </c>
      <c r="H4201" s="6" t="n">
        <v>293</v>
      </c>
      <c r="I4201" s="7" t="n">
        <f aca="false">(G4201-H4201)/G4201</f>
        <v>0.598079561042524</v>
      </c>
      <c r="J4201" s="15" t="n">
        <v>0.3957</v>
      </c>
      <c r="K4201" s="11" t="str">
        <f aca="false">IF(I4201&lt;J4201,"TAK","NIE")</f>
        <v>NIE</v>
      </c>
    </row>
    <row r="4202" customFormat="false" ht="15" hidden="false" customHeight="false" outlineLevel="0" collapsed="false">
      <c r="A4202" s="5" t="s">
        <v>821</v>
      </c>
      <c r="B4202" s="5" t="s">
        <v>96</v>
      </c>
      <c r="C4202" s="5" t="n">
        <v>2024</v>
      </c>
      <c r="D4202" s="5" t="s">
        <v>64</v>
      </c>
      <c r="E4202" s="5" t="s">
        <v>75</v>
      </c>
      <c r="F4202" s="5" t="s">
        <v>40</v>
      </c>
      <c r="G4202" s="6" t="n">
        <v>59</v>
      </c>
      <c r="H4202" s="6" t="n">
        <v>44</v>
      </c>
      <c r="I4202" s="7" t="n">
        <f aca="false">(G4202-H4202)/G4202</f>
        <v>0.254237288135593</v>
      </c>
      <c r="J4202" s="15" t="n">
        <v>0.3957</v>
      </c>
      <c r="K4202" s="11" t="str">
        <f aca="false">IF(I4202&lt;J4202,"TAK","NIE")</f>
        <v>TAK</v>
      </c>
    </row>
    <row r="4203" customFormat="false" ht="15" hidden="false" customHeight="false" outlineLevel="0" collapsed="false">
      <c r="A4203" s="5" t="s">
        <v>839</v>
      </c>
      <c r="B4203" s="5" t="s">
        <v>96</v>
      </c>
      <c r="C4203" s="5" t="n">
        <v>2024</v>
      </c>
      <c r="D4203" s="5" t="s">
        <v>64</v>
      </c>
      <c r="E4203" s="5" t="s">
        <v>75</v>
      </c>
      <c r="F4203" s="5" t="s">
        <v>40</v>
      </c>
      <c r="G4203" s="6" t="n">
        <v>729</v>
      </c>
      <c r="H4203" s="6" t="n">
        <v>155</v>
      </c>
      <c r="I4203" s="7" t="n">
        <f aca="false">(G4203-H4203)/G4203</f>
        <v>0.787379972565158</v>
      </c>
      <c r="J4203" s="15" t="n">
        <v>0.3957</v>
      </c>
      <c r="K4203" s="11" t="str">
        <f aca="false">IF(I4203&lt;J4203,"TAK","NIE")</f>
        <v>NIE</v>
      </c>
    </row>
    <row r="4204" customFormat="false" ht="15" hidden="false" customHeight="false" outlineLevel="0" collapsed="false">
      <c r="A4204" s="5" t="s">
        <v>840</v>
      </c>
      <c r="B4204" s="5" t="s">
        <v>96</v>
      </c>
      <c r="C4204" s="5" t="n">
        <v>2024</v>
      </c>
      <c r="D4204" s="5" t="s">
        <v>64</v>
      </c>
      <c r="E4204" s="5" t="s">
        <v>75</v>
      </c>
      <c r="F4204" s="5" t="s">
        <v>40</v>
      </c>
      <c r="G4204" s="6" t="n">
        <v>729</v>
      </c>
      <c r="H4204" s="6" t="n">
        <v>191</v>
      </c>
      <c r="I4204" s="7" t="n">
        <f aca="false">(G4204-H4204)/G4204</f>
        <v>0.737997256515775</v>
      </c>
      <c r="J4204" s="15" t="n">
        <v>0.3957</v>
      </c>
      <c r="K4204" s="11" t="str">
        <f aca="false">IF(I4204&lt;J4204,"TAK","NIE")</f>
        <v>NIE</v>
      </c>
    </row>
    <row r="4205" customFormat="false" ht="15" hidden="false" customHeight="false" outlineLevel="0" collapsed="false">
      <c r="A4205" s="5" t="s">
        <v>841</v>
      </c>
      <c r="B4205" s="5" t="s">
        <v>96</v>
      </c>
      <c r="C4205" s="5" t="n">
        <v>2024</v>
      </c>
      <c r="D4205" s="5" t="s">
        <v>64</v>
      </c>
      <c r="E4205" s="5" t="s">
        <v>75</v>
      </c>
      <c r="F4205" s="5" t="s">
        <v>40</v>
      </c>
      <c r="G4205" s="6" t="n">
        <v>738</v>
      </c>
      <c r="H4205" s="6" t="n">
        <v>227</v>
      </c>
      <c r="I4205" s="7" t="n">
        <f aca="false">(G4205-H4205)/G4205</f>
        <v>0.692411924119241</v>
      </c>
      <c r="J4205" s="15" t="n">
        <v>0.3957</v>
      </c>
      <c r="K4205" s="11" t="str">
        <f aca="false">IF(I4205&lt;J4205,"TAK","NIE")</f>
        <v>NIE</v>
      </c>
    </row>
    <row r="4206" customFormat="false" ht="15" hidden="false" customHeight="false" outlineLevel="0" collapsed="false">
      <c r="A4206" s="5" t="s">
        <v>842</v>
      </c>
      <c r="B4206" s="5" t="s">
        <v>96</v>
      </c>
      <c r="C4206" s="5" t="n">
        <v>2024</v>
      </c>
      <c r="D4206" s="5" t="s">
        <v>64</v>
      </c>
      <c r="E4206" s="5" t="s">
        <v>75</v>
      </c>
      <c r="F4206" s="5" t="s">
        <v>40</v>
      </c>
      <c r="G4206" s="6" t="n">
        <v>599</v>
      </c>
      <c r="H4206" s="6" t="n">
        <v>187</v>
      </c>
      <c r="I4206" s="7" t="n">
        <f aca="false">(G4206-H4206)/G4206</f>
        <v>0.687813021702838</v>
      </c>
      <c r="J4206" s="15" t="n">
        <v>0.3957</v>
      </c>
      <c r="K4206" s="11" t="str">
        <f aca="false">IF(I4206&lt;J4206,"TAK","NIE")</f>
        <v>NIE</v>
      </c>
    </row>
    <row r="4207" customFormat="false" ht="15" hidden="false" customHeight="false" outlineLevel="0" collapsed="false">
      <c r="A4207" s="5" t="s">
        <v>822</v>
      </c>
      <c r="B4207" s="5" t="s">
        <v>96</v>
      </c>
      <c r="C4207" s="5" t="n">
        <v>2024</v>
      </c>
      <c r="D4207" s="5" t="s">
        <v>64</v>
      </c>
      <c r="E4207" s="5" t="s">
        <v>75</v>
      </c>
      <c r="F4207" s="5" t="s">
        <v>40</v>
      </c>
      <c r="G4207" s="6" t="n">
        <v>75</v>
      </c>
      <c r="H4207" s="6" t="n">
        <v>53</v>
      </c>
      <c r="I4207" s="7" t="n">
        <f aca="false">(G4207-H4207)/G4207</f>
        <v>0.293333333333333</v>
      </c>
      <c r="J4207" s="15" t="n">
        <v>0.3957</v>
      </c>
      <c r="K4207" s="11" t="str">
        <f aca="false">IF(I4207&lt;J4207,"TAK","NIE")</f>
        <v>TAK</v>
      </c>
    </row>
    <row r="4208" customFormat="false" ht="15" hidden="false" customHeight="false" outlineLevel="0" collapsed="false">
      <c r="A4208" s="5" t="s">
        <v>843</v>
      </c>
      <c r="B4208" s="5" t="s">
        <v>96</v>
      </c>
      <c r="C4208" s="5" t="n">
        <v>2024</v>
      </c>
      <c r="D4208" s="5" t="s">
        <v>64</v>
      </c>
      <c r="E4208" s="5" t="s">
        <v>75</v>
      </c>
      <c r="F4208" s="5" t="s">
        <v>40</v>
      </c>
      <c r="G4208" s="6" t="n">
        <v>729</v>
      </c>
      <c r="H4208" s="6" t="n">
        <v>166</v>
      </c>
      <c r="I4208" s="7" t="n">
        <f aca="false">(G4208-H4208)/G4208</f>
        <v>0.772290809327846</v>
      </c>
      <c r="J4208" s="15" t="n">
        <v>0.3957</v>
      </c>
      <c r="K4208" s="11" t="str">
        <f aca="false">IF(I4208&lt;J4208,"TAK","NIE")</f>
        <v>NIE</v>
      </c>
    </row>
    <row r="4209" customFormat="false" ht="15" hidden="false" customHeight="false" outlineLevel="0" collapsed="false">
      <c r="A4209" s="5" t="s">
        <v>844</v>
      </c>
      <c r="B4209" s="5" t="s">
        <v>96</v>
      </c>
      <c r="C4209" s="5" t="n">
        <v>2024</v>
      </c>
      <c r="D4209" s="5" t="s">
        <v>64</v>
      </c>
      <c r="E4209" s="5" t="s">
        <v>75</v>
      </c>
      <c r="F4209" s="5" t="s">
        <v>40</v>
      </c>
      <c r="G4209" s="6" t="n">
        <v>738</v>
      </c>
      <c r="H4209" s="6" t="n">
        <v>233</v>
      </c>
      <c r="I4209" s="7" t="n">
        <f aca="false">(G4209-H4209)/G4209</f>
        <v>0.684281842818428</v>
      </c>
      <c r="J4209" s="15" t="n">
        <v>0.3957</v>
      </c>
      <c r="K4209" s="11" t="str">
        <f aca="false">IF(I4209&lt;J4209,"TAK","NIE")</f>
        <v>NIE</v>
      </c>
    </row>
    <row r="4210" customFormat="false" ht="15" hidden="false" customHeight="false" outlineLevel="0" collapsed="false">
      <c r="A4210" s="5" t="s">
        <v>845</v>
      </c>
      <c r="B4210" s="5" t="s">
        <v>96</v>
      </c>
      <c r="C4210" s="5" t="n">
        <v>2024</v>
      </c>
      <c r="D4210" s="5" t="s">
        <v>64</v>
      </c>
      <c r="E4210" s="5" t="s">
        <v>75</v>
      </c>
      <c r="F4210" s="5" t="s">
        <v>40</v>
      </c>
      <c r="G4210" s="6" t="n">
        <v>729</v>
      </c>
      <c r="H4210" s="6" t="n">
        <v>39</v>
      </c>
      <c r="I4210" s="7" t="n">
        <f aca="false">(G4210-H4210)/G4210</f>
        <v>0.946502057613169</v>
      </c>
      <c r="J4210" s="15" t="n">
        <v>0.3957</v>
      </c>
      <c r="K4210" s="11" t="str">
        <f aca="false">IF(I4210&lt;J4210,"TAK","NIE")</f>
        <v>NIE</v>
      </c>
    </row>
    <row r="4211" customFormat="false" ht="15" hidden="false" customHeight="false" outlineLevel="0" collapsed="false">
      <c r="A4211" s="5" t="s">
        <v>846</v>
      </c>
      <c r="B4211" s="5" t="s">
        <v>96</v>
      </c>
      <c r="C4211" s="5" t="n">
        <v>2024</v>
      </c>
      <c r="D4211" s="5" t="s">
        <v>64</v>
      </c>
      <c r="E4211" s="5" t="s">
        <v>75</v>
      </c>
      <c r="F4211" s="5" t="s">
        <v>40</v>
      </c>
      <c r="G4211" s="6" t="n">
        <v>711</v>
      </c>
      <c r="H4211" s="6" t="n">
        <v>124</v>
      </c>
      <c r="I4211" s="7" t="n">
        <f aca="false">(G4211-H4211)/G4211</f>
        <v>0.825597749648383</v>
      </c>
      <c r="J4211" s="15" t="n">
        <v>0.3957</v>
      </c>
      <c r="K4211" s="11" t="str">
        <f aca="false">IF(I4211&lt;J4211,"TAK","NIE")</f>
        <v>NIE</v>
      </c>
    </row>
    <row r="4212" customFormat="false" ht="15" hidden="false" customHeight="false" outlineLevel="0" collapsed="false">
      <c r="A4212" s="5" t="s">
        <v>847</v>
      </c>
      <c r="B4212" s="5" t="s">
        <v>96</v>
      </c>
      <c r="C4212" s="5" t="n">
        <v>2024</v>
      </c>
      <c r="D4212" s="5" t="s">
        <v>64</v>
      </c>
      <c r="E4212" s="5" t="s">
        <v>75</v>
      </c>
      <c r="F4212" s="5" t="s">
        <v>40</v>
      </c>
      <c r="G4212" s="6" t="n">
        <v>729</v>
      </c>
      <c r="H4212" s="6" t="n">
        <v>239</v>
      </c>
      <c r="I4212" s="7" t="n">
        <f aca="false">(G4212-H4212)/G4212</f>
        <v>0.672153635116598</v>
      </c>
      <c r="J4212" s="15" t="n">
        <v>0.3957</v>
      </c>
      <c r="K4212" s="11" t="str">
        <f aca="false">IF(I4212&lt;J4212,"TAK","NIE")</f>
        <v>NIE</v>
      </c>
    </row>
    <row r="4213" customFormat="false" ht="15" hidden="false" customHeight="false" outlineLevel="0" collapsed="false">
      <c r="A4213" s="5" t="s">
        <v>848</v>
      </c>
      <c r="B4213" s="5" t="s">
        <v>96</v>
      </c>
      <c r="C4213" s="5" t="n">
        <v>2024</v>
      </c>
      <c r="D4213" s="5" t="s">
        <v>64</v>
      </c>
      <c r="E4213" s="5" t="s">
        <v>75</v>
      </c>
      <c r="F4213" s="5" t="s">
        <v>40</v>
      </c>
      <c r="G4213" s="6" t="n">
        <v>711</v>
      </c>
      <c r="H4213" s="6" t="n">
        <v>180</v>
      </c>
      <c r="I4213" s="7" t="n">
        <f aca="false">(G4213-H4213)/G4213</f>
        <v>0.746835443037975</v>
      </c>
      <c r="J4213" s="15" t="n">
        <v>0.3957</v>
      </c>
      <c r="K4213" s="11" t="str">
        <f aca="false">IF(I4213&lt;J4213,"TAK","NIE")</f>
        <v>NIE</v>
      </c>
    </row>
    <row r="4214" customFormat="false" ht="15" hidden="false" customHeight="false" outlineLevel="0" collapsed="false">
      <c r="A4214" s="5" t="s">
        <v>849</v>
      </c>
      <c r="B4214" s="5" t="s">
        <v>96</v>
      </c>
      <c r="C4214" s="5" t="n">
        <v>2024</v>
      </c>
      <c r="D4214" s="5" t="s">
        <v>64</v>
      </c>
      <c r="E4214" s="5" t="s">
        <v>75</v>
      </c>
      <c r="F4214" s="5" t="s">
        <v>40</v>
      </c>
      <c r="G4214" s="6" t="n">
        <v>711</v>
      </c>
      <c r="H4214" s="6" t="n">
        <v>263</v>
      </c>
      <c r="I4214" s="7" t="n">
        <f aca="false">(G4214-H4214)/G4214</f>
        <v>0.630098452883263</v>
      </c>
      <c r="J4214" s="15" t="n">
        <v>0.3957</v>
      </c>
      <c r="K4214" s="11" t="str">
        <f aca="false">IF(I4214&lt;J4214,"TAK","NIE")</f>
        <v>NIE</v>
      </c>
    </row>
    <row r="4215" customFormat="false" ht="15" hidden="false" customHeight="false" outlineLevel="0" collapsed="false">
      <c r="A4215" s="5" t="s">
        <v>850</v>
      </c>
      <c r="B4215" s="5" t="s">
        <v>96</v>
      </c>
      <c r="C4215" s="5" t="n">
        <v>2024</v>
      </c>
      <c r="D4215" s="5" t="s">
        <v>64</v>
      </c>
      <c r="E4215" s="5" t="s">
        <v>75</v>
      </c>
      <c r="F4215" s="5" t="s">
        <v>40</v>
      </c>
      <c r="G4215" s="6" t="n">
        <v>711</v>
      </c>
      <c r="H4215" s="6" t="n">
        <v>135</v>
      </c>
      <c r="I4215" s="7" t="n">
        <f aca="false">(G4215-H4215)/G4215</f>
        <v>0.810126582278481</v>
      </c>
      <c r="J4215" s="15" t="n">
        <v>0.3957</v>
      </c>
      <c r="K4215" s="11" t="str">
        <f aca="false">IF(I4215&lt;J4215,"TAK","NIE")</f>
        <v>NIE</v>
      </c>
    </row>
    <row r="4216" customFormat="false" ht="15" hidden="false" customHeight="false" outlineLevel="0" collapsed="false">
      <c r="A4216" s="5" t="s">
        <v>851</v>
      </c>
      <c r="B4216" s="5" t="s">
        <v>96</v>
      </c>
      <c r="C4216" s="5" t="n">
        <v>2024</v>
      </c>
      <c r="D4216" s="5" t="s">
        <v>64</v>
      </c>
      <c r="E4216" s="5" t="s">
        <v>75</v>
      </c>
      <c r="F4216" s="5" t="s">
        <v>40</v>
      </c>
      <c r="G4216" s="6" t="n">
        <v>711</v>
      </c>
      <c r="H4216" s="6" t="n">
        <v>227</v>
      </c>
      <c r="I4216" s="7" t="n">
        <f aca="false">(G4216-H4216)/G4216</f>
        <v>0.680731364275668</v>
      </c>
      <c r="J4216" s="15" t="n">
        <v>0.3957</v>
      </c>
      <c r="K4216" s="11" t="str">
        <f aca="false">IF(I4216&lt;J4216,"TAK","NIE")</f>
        <v>NIE</v>
      </c>
    </row>
    <row r="4217" customFormat="false" ht="15" hidden="false" customHeight="false" outlineLevel="0" collapsed="false">
      <c r="A4217" s="5" t="s">
        <v>852</v>
      </c>
      <c r="B4217" s="5" t="s">
        <v>96</v>
      </c>
      <c r="C4217" s="5" t="n">
        <v>2024</v>
      </c>
      <c r="D4217" s="5" t="s">
        <v>64</v>
      </c>
      <c r="E4217" s="5" t="s">
        <v>75</v>
      </c>
      <c r="F4217" s="5" t="s">
        <v>40</v>
      </c>
      <c r="G4217" s="6" t="n">
        <v>738</v>
      </c>
      <c r="H4217" s="6" t="n">
        <v>248</v>
      </c>
      <c r="I4217" s="7" t="n">
        <f aca="false">(G4217-H4217)/G4217</f>
        <v>0.663956639566396</v>
      </c>
      <c r="J4217" s="15" t="n">
        <v>0.3957</v>
      </c>
      <c r="K4217" s="11" t="str">
        <f aca="false">IF(I4217&lt;J4217,"TAK","NIE")</f>
        <v>NIE</v>
      </c>
    </row>
    <row r="4218" customFormat="false" ht="15" hidden="false" customHeight="false" outlineLevel="0" collapsed="false">
      <c r="A4218" s="5" t="s">
        <v>853</v>
      </c>
      <c r="B4218" s="5" t="s">
        <v>96</v>
      </c>
      <c r="C4218" s="5" t="n">
        <v>2024</v>
      </c>
      <c r="D4218" s="5" t="s">
        <v>64</v>
      </c>
      <c r="E4218" s="5" t="s">
        <v>75</v>
      </c>
      <c r="F4218" s="5" t="s">
        <v>40</v>
      </c>
      <c r="G4218" s="6" t="n">
        <v>664</v>
      </c>
      <c r="H4218" s="6" t="n">
        <v>262</v>
      </c>
      <c r="I4218" s="7" t="n">
        <f aca="false">(G4218-H4218)/G4218</f>
        <v>0.605421686746988</v>
      </c>
      <c r="J4218" s="15" t="n">
        <v>0.3957</v>
      </c>
      <c r="K4218" s="11" t="str">
        <f aca="false">IF(I4218&lt;J4218,"TAK","NIE")</f>
        <v>NIE</v>
      </c>
    </row>
    <row r="4219" customFormat="false" ht="15" hidden="false" customHeight="false" outlineLevel="0" collapsed="false">
      <c r="A4219" s="5" t="s">
        <v>816</v>
      </c>
      <c r="B4219" s="5" t="s">
        <v>105</v>
      </c>
      <c r="C4219" s="5" t="n">
        <v>2024</v>
      </c>
      <c r="D4219" s="5" t="s">
        <v>106</v>
      </c>
      <c r="E4219" s="5" t="s">
        <v>89</v>
      </c>
      <c r="F4219" s="5" t="s">
        <v>39</v>
      </c>
      <c r="G4219" s="6" t="n">
        <v>554</v>
      </c>
      <c r="H4219" s="6" t="n">
        <v>73</v>
      </c>
      <c r="I4219" s="7" t="n">
        <f aca="false">(G4219-H4219)/G4219</f>
        <v>0.868231046931408</v>
      </c>
      <c r="J4219" s="15" t="n">
        <v>0.4629</v>
      </c>
      <c r="K4219" s="11" t="str">
        <f aca="false">IF(I4219&lt;J4219,"TAK","NIE")</f>
        <v>NIE</v>
      </c>
    </row>
    <row r="4220" customFormat="false" ht="15" hidden="false" customHeight="false" outlineLevel="0" collapsed="false">
      <c r="A4220" s="5" t="s">
        <v>835</v>
      </c>
      <c r="B4220" s="5" t="s">
        <v>105</v>
      </c>
      <c r="C4220" s="5" t="n">
        <v>2024</v>
      </c>
      <c r="D4220" s="5" t="s">
        <v>106</v>
      </c>
      <c r="E4220" s="5" t="s">
        <v>89</v>
      </c>
      <c r="F4220" s="5" t="s">
        <v>39</v>
      </c>
      <c r="G4220" s="6" t="n">
        <v>556</v>
      </c>
      <c r="H4220" s="6" t="n">
        <v>65</v>
      </c>
      <c r="I4220" s="7" t="n">
        <f aca="false">(G4220-H4220)/G4220</f>
        <v>0.883093525179856</v>
      </c>
      <c r="J4220" s="15" t="n">
        <v>0.4629</v>
      </c>
      <c r="K4220" s="11" t="str">
        <f aca="false">IF(I4220&lt;J4220,"TAK","NIE")</f>
        <v>NIE</v>
      </c>
    </row>
    <row r="4221" customFormat="false" ht="15" hidden="false" customHeight="false" outlineLevel="0" collapsed="false">
      <c r="A4221" s="5" t="s">
        <v>648</v>
      </c>
      <c r="B4221" s="5" t="s">
        <v>105</v>
      </c>
      <c r="C4221" s="5" t="n">
        <v>2024</v>
      </c>
      <c r="D4221" s="5" t="s">
        <v>106</v>
      </c>
      <c r="E4221" s="5" t="s">
        <v>89</v>
      </c>
      <c r="F4221" s="5" t="s">
        <v>39</v>
      </c>
      <c r="G4221" s="6" t="n">
        <v>539</v>
      </c>
      <c r="H4221" s="6" t="n">
        <v>324</v>
      </c>
      <c r="I4221" s="7" t="n">
        <f aca="false">(G4221-H4221)/G4221</f>
        <v>0.398886827458256</v>
      </c>
      <c r="J4221" s="15" t="n">
        <v>0.4629</v>
      </c>
      <c r="K4221" s="11" t="str">
        <f aca="false">IF(I4221&lt;J4221,"TAK","NIE")</f>
        <v>TAK</v>
      </c>
    </row>
    <row r="4222" customFormat="false" ht="15" hidden="false" customHeight="false" outlineLevel="0" collapsed="false">
      <c r="A4222" s="5" t="s">
        <v>838</v>
      </c>
      <c r="B4222" s="5" t="s">
        <v>105</v>
      </c>
      <c r="C4222" s="5" t="n">
        <v>2024</v>
      </c>
      <c r="D4222" s="5" t="s">
        <v>106</v>
      </c>
      <c r="E4222" s="5" t="s">
        <v>89</v>
      </c>
      <c r="F4222" s="5" t="s">
        <v>39</v>
      </c>
      <c r="G4222" s="6" t="n">
        <v>556</v>
      </c>
      <c r="H4222" s="6" t="n">
        <v>168</v>
      </c>
      <c r="I4222" s="7" t="n">
        <f aca="false">(G4222-H4222)/G4222</f>
        <v>0.697841726618705</v>
      </c>
      <c r="J4222" s="15" t="n">
        <v>0.4629</v>
      </c>
      <c r="K4222" s="11" t="str">
        <f aca="false">IF(I4222&lt;J4222,"TAK","NIE")</f>
        <v>NIE</v>
      </c>
    </row>
    <row r="4223" customFormat="false" ht="15" hidden="false" customHeight="false" outlineLevel="0" collapsed="false">
      <c r="A4223" s="5" t="s">
        <v>820</v>
      </c>
      <c r="B4223" s="5" t="s">
        <v>105</v>
      </c>
      <c r="C4223" s="5" t="n">
        <v>2024</v>
      </c>
      <c r="D4223" s="5" t="s">
        <v>106</v>
      </c>
      <c r="E4223" s="5" t="s">
        <v>89</v>
      </c>
      <c r="F4223" s="5" t="s">
        <v>39</v>
      </c>
      <c r="G4223" s="6" t="n">
        <v>541</v>
      </c>
      <c r="H4223" s="6" t="n">
        <v>13</v>
      </c>
      <c r="I4223" s="7" t="n">
        <f aca="false">(G4223-H4223)/G4223</f>
        <v>0.975970425138632</v>
      </c>
      <c r="J4223" s="15" t="n">
        <v>0.4629</v>
      </c>
      <c r="K4223" s="11" t="str">
        <f aca="false">IF(I4223&lt;J4223,"TAK","NIE")</f>
        <v>NIE</v>
      </c>
    </row>
    <row r="4224" customFormat="false" ht="15" hidden="false" customHeight="false" outlineLevel="0" collapsed="false">
      <c r="A4224" s="5" t="s">
        <v>821</v>
      </c>
      <c r="B4224" s="5" t="s">
        <v>105</v>
      </c>
      <c r="C4224" s="5" t="n">
        <v>2024</v>
      </c>
      <c r="D4224" s="5" t="s">
        <v>106</v>
      </c>
      <c r="E4224" s="5" t="s">
        <v>89</v>
      </c>
      <c r="F4224" s="5" t="s">
        <v>39</v>
      </c>
      <c r="G4224" s="6" t="n">
        <v>554</v>
      </c>
      <c r="H4224" s="6" t="n">
        <v>131</v>
      </c>
      <c r="I4224" s="7" t="n">
        <f aca="false">(G4224-H4224)/G4224</f>
        <v>0.763537906137184</v>
      </c>
      <c r="J4224" s="15" t="n">
        <v>0.4629</v>
      </c>
      <c r="K4224" s="11" t="str">
        <f aca="false">IF(I4224&lt;J4224,"TAK","NIE")</f>
        <v>NIE</v>
      </c>
    </row>
    <row r="4225" customFormat="false" ht="15" hidden="false" customHeight="false" outlineLevel="0" collapsed="false">
      <c r="A4225" s="5" t="s">
        <v>839</v>
      </c>
      <c r="B4225" s="5" t="s">
        <v>105</v>
      </c>
      <c r="C4225" s="5" t="n">
        <v>2024</v>
      </c>
      <c r="D4225" s="5" t="s">
        <v>106</v>
      </c>
      <c r="E4225" s="5" t="s">
        <v>89</v>
      </c>
      <c r="F4225" s="5" t="s">
        <v>39</v>
      </c>
      <c r="G4225" s="6" t="n">
        <v>556</v>
      </c>
      <c r="H4225" s="6" t="n">
        <v>109</v>
      </c>
      <c r="I4225" s="7" t="n">
        <f aca="false">(G4225-H4225)/G4225</f>
        <v>0.803956834532374</v>
      </c>
      <c r="J4225" s="15" t="n">
        <v>0.4629</v>
      </c>
      <c r="K4225" s="11" t="str">
        <f aca="false">IF(I4225&lt;J4225,"TAK","NIE")</f>
        <v>NIE</v>
      </c>
    </row>
    <row r="4226" customFormat="false" ht="15" hidden="false" customHeight="false" outlineLevel="0" collapsed="false">
      <c r="A4226" s="5" t="s">
        <v>840</v>
      </c>
      <c r="B4226" s="5" t="s">
        <v>105</v>
      </c>
      <c r="C4226" s="5" t="n">
        <v>2024</v>
      </c>
      <c r="D4226" s="5" t="s">
        <v>106</v>
      </c>
      <c r="E4226" s="5" t="s">
        <v>89</v>
      </c>
      <c r="F4226" s="5" t="s">
        <v>39</v>
      </c>
      <c r="G4226" s="6" t="n">
        <v>556</v>
      </c>
      <c r="H4226" s="6" t="n">
        <v>83</v>
      </c>
      <c r="I4226" s="7" t="n">
        <f aca="false">(G4226-H4226)/G4226</f>
        <v>0.850719424460432</v>
      </c>
      <c r="J4226" s="15" t="n">
        <v>0.4629</v>
      </c>
      <c r="K4226" s="11" t="str">
        <f aca="false">IF(I4226&lt;J4226,"TAK","NIE")</f>
        <v>NIE</v>
      </c>
    </row>
    <row r="4227" customFormat="false" ht="15" hidden="false" customHeight="false" outlineLevel="0" collapsed="false">
      <c r="A4227" s="5" t="s">
        <v>842</v>
      </c>
      <c r="B4227" s="5" t="s">
        <v>105</v>
      </c>
      <c r="C4227" s="5" t="n">
        <v>2024</v>
      </c>
      <c r="D4227" s="5" t="s">
        <v>106</v>
      </c>
      <c r="E4227" s="5" t="s">
        <v>89</v>
      </c>
      <c r="F4227" s="5" t="s">
        <v>39</v>
      </c>
      <c r="G4227" s="6" t="n">
        <v>556</v>
      </c>
      <c r="H4227" s="6" t="n">
        <v>174</v>
      </c>
      <c r="I4227" s="7" t="n">
        <f aca="false">(G4227-H4227)/G4227</f>
        <v>0.68705035971223</v>
      </c>
      <c r="J4227" s="15" t="n">
        <v>0.4629</v>
      </c>
      <c r="K4227" s="11" t="str">
        <f aca="false">IF(I4227&lt;J4227,"TAK","NIE")</f>
        <v>NIE</v>
      </c>
    </row>
    <row r="4228" customFormat="false" ht="15" hidden="false" customHeight="false" outlineLevel="0" collapsed="false">
      <c r="A4228" s="5" t="s">
        <v>822</v>
      </c>
      <c r="B4228" s="5" t="s">
        <v>105</v>
      </c>
      <c r="C4228" s="5" t="n">
        <v>2024</v>
      </c>
      <c r="D4228" s="5" t="s">
        <v>106</v>
      </c>
      <c r="E4228" s="5" t="s">
        <v>89</v>
      </c>
      <c r="F4228" s="5" t="s">
        <v>39</v>
      </c>
      <c r="G4228" s="6" t="n">
        <v>554</v>
      </c>
      <c r="H4228" s="6" t="n">
        <v>59</v>
      </c>
      <c r="I4228" s="7" t="n">
        <f aca="false">(G4228-H4228)/G4228</f>
        <v>0.893501805054152</v>
      </c>
      <c r="J4228" s="15" t="n">
        <v>0.4629</v>
      </c>
      <c r="K4228" s="11" t="str">
        <f aca="false">IF(I4228&lt;J4228,"TAK","NIE")</f>
        <v>NIE</v>
      </c>
    </row>
    <row r="4229" customFormat="false" ht="15" hidden="false" customHeight="false" outlineLevel="0" collapsed="false">
      <c r="A4229" s="5" t="s">
        <v>843</v>
      </c>
      <c r="B4229" s="5" t="s">
        <v>105</v>
      </c>
      <c r="C4229" s="5" t="n">
        <v>2024</v>
      </c>
      <c r="D4229" s="5" t="s">
        <v>106</v>
      </c>
      <c r="E4229" s="5" t="s">
        <v>89</v>
      </c>
      <c r="F4229" s="5" t="s">
        <v>39</v>
      </c>
      <c r="G4229" s="6" t="n">
        <v>556</v>
      </c>
      <c r="H4229" s="6" t="n">
        <v>177</v>
      </c>
      <c r="I4229" s="7" t="n">
        <f aca="false">(G4229-H4229)/G4229</f>
        <v>0.681654676258993</v>
      </c>
      <c r="J4229" s="15" t="n">
        <v>0.4629</v>
      </c>
      <c r="K4229" s="11" t="str">
        <f aca="false">IF(I4229&lt;J4229,"TAK","NIE")</f>
        <v>NIE</v>
      </c>
    </row>
    <row r="4230" customFormat="false" ht="15" hidden="false" customHeight="false" outlineLevel="0" collapsed="false">
      <c r="A4230" s="5" t="s">
        <v>844</v>
      </c>
      <c r="B4230" s="5" t="s">
        <v>105</v>
      </c>
      <c r="C4230" s="5" t="n">
        <v>2024</v>
      </c>
      <c r="D4230" s="5" t="s">
        <v>106</v>
      </c>
      <c r="E4230" s="5" t="s">
        <v>89</v>
      </c>
      <c r="F4230" s="5" t="s">
        <v>39</v>
      </c>
      <c r="G4230" s="6" t="n">
        <v>556</v>
      </c>
      <c r="H4230" s="6" t="n">
        <v>88</v>
      </c>
      <c r="I4230" s="7" t="n">
        <f aca="false">(G4230-H4230)/G4230</f>
        <v>0.841726618705036</v>
      </c>
      <c r="J4230" s="15" t="n">
        <v>0.4629</v>
      </c>
      <c r="K4230" s="11" t="str">
        <f aca="false">IF(I4230&lt;J4230,"TAK","NIE")</f>
        <v>NIE</v>
      </c>
    </row>
    <row r="4231" customFormat="false" ht="15" hidden="false" customHeight="false" outlineLevel="0" collapsed="false">
      <c r="A4231" s="5" t="s">
        <v>845</v>
      </c>
      <c r="B4231" s="5" t="s">
        <v>105</v>
      </c>
      <c r="C4231" s="5" t="n">
        <v>2024</v>
      </c>
      <c r="D4231" s="5" t="s">
        <v>106</v>
      </c>
      <c r="E4231" s="5" t="s">
        <v>89</v>
      </c>
      <c r="F4231" s="5" t="s">
        <v>39</v>
      </c>
      <c r="G4231" s="6" t="n">
        <v>556</v>
      </c>
      <c r="H4231" s="6" t="n">
        <v>24</v>
      </c>
      <c r="I4231" s="7" t="n">
        <f aca="false">(G4231-H4231)/G4231</f>
        <v>0.956834532374101</v>
      </c>
      <c r="J4231" s="15" t="n">
        <v>0.4629</v>
      </c>
      <c r="K4231" s="11" t="str">
        <f aca="false">IF(I4231&lt;J4231,"TAK","NIE")</f>
        <v>NIE</v>
      </c>
    </row>
    <row r="4232" customFormat="false" ht="15" hidden="false" customHeight="false" outlineLevel="0" collapsed="false">
      <c r="A4232" s="5" t="s">
        <v>825</v>
      </c>
      <c r="B4232" s="5" t="s">
        <v>105</v>
      </c>
      <c r="C4232" s="5" t="n">
        <v>2024</v>
      </c>
      <c r="D4232" s="5" t="s">
        <v>106</v>
      </c>
      <c r="E4232" s="5" t="s">
        <v>89</v>
      </c>
      <c r="F4232" s="5" t="s">
        <v>39</v>
      </c>
      <c r="G4232" s="6" t="n">
        <v>541</v>
      </c>
      <c r="H4232" s="6" t="n">
        <v>80</v>
      </c>
      <c r="I4232" s="7" t="n">
        <f aca="false">(G4232-H4232)/G4232</f>
        <v>0.852125693160813</v>
      </c>
      <c r="J4232" s="15" t="n">
        <v>0.4629</v>
      </c>
      <c r="K4232" s="11" t="str">
        <f aca="false">IF(I4232&lt;J4232,"TAK","NIE")</f>
        <v>NIE</v>
      </c>
    </row>
    <row r="4233" customFormat="false" ht="15" hidden="false" customHeight="false" outlineLevel="0" collapsed="false">
      <c r="A4233" s="5" t="s">
        <v>846</v>
      </c>
      <c r="B4233" s="5" t="s">
        <v>105</v>
      </c>
      <c r="C4233" s="5" t="n">
        <v>2024</v>
      </c>
      <c r="D4233" s="5" t="s">
        <v>106</v>
      </c>
      <c r="E4233" s="5" t="s">
        <v>89</v>
      </c>
      <c r="F4233" s="5" t="s">
        <v>39</v>
      </c>
      <c r="G4233" s="6" t="n">
        <v>556</v>
      </c>
      <c r="H4233" s="6" t="n">
        <v>61</v>
      </c>
      <c r="I4233" s="7" t="n">
        <f aca="false">(G4233-H4233)/G4233</f>
        <v>0.890287769784173</v>
      </c>
      <c r="J4233" s="15" t="n">
        <v>0.4629</v>
      </c>
      <c r="K4233" s="11" t="str">
        <f aca="false">IF(I4233&lt;J4233,"TAK","NIE")</f>
        <v>NIE</v>
      </c>
    </row>
    <row r="4234" customFormat="false" ht="15" hidden="false" customHeight="false" outlineLevel="0" collapsed="false">
      <c r="A4234" s="5" t="s">
        <v>847</v>
      </c>
      <c r="B4234" s="5" t="s">
        <v>105</v>
      </c>
      <c r="C4234" s="5" t="n">
        <v>2024</v>
      </c>
      <c r="D4234" s="5" t="s">
        <v>106</v>
      </c>
      <c r="E4234" s="5" t="s">
        <v>89</v>
      </c>
      <c r="F4234" s="5" t="s">
        <v>39</v>
      </c>
      <c r="G4234" s="6" t="n">
        <v>556</v>
      </c>
      <c r="H4234" s="6" t="n">
        <v>152</v>
      </c>
      <c r="I4234" s="7" t="n">
        <f aca="false">(G4234-H4234)/G4234</f>
        <v>0.726618705035971</v>
      </c>
      <c r="J4234" s="15" t="n">
        <v>0.4629</v>
      </c>
      <c r="K4234" s="11" t="str">
        <f aca="false">IF(I4234&lt;J4234,"TAK","NIE")</f>
        <v>NIE</v>
      </c>
    </row>
    <row r="4235" customFormat="false" ht="15" hidden="false" customHeight="false" outlineLevel="0" collapsed="false">
      <c r="A4235" s="5" t="s">
        <v>826</v>
      </c>
      <c r="B4235" s="5" t="s">
        <v>105</v>
      </c>
      <c r="C4235" s="5" t="n">
        <v>2024</v>
      </c>
      <c r="D4235" s="5" t="s">
        <v>106</v>
      </c>
      <c r="E4235" s="5" t="s">
        <v>89</v>
      </c>
      <c r="F4235" s="5" t="s">
        <v>39</v>
      </c>
      <c r="G4235" s="6" t="n">
        <v>528</v>
      </c>
      <c r="H4235" s="6" t="n">
        <v>54</v>
      </c>
      <c r="I4235" s="7" t="n">
        <f aca="false">(G4235-H4235)/G4235</f>
        <v>0.897727272727273</v>
      </c>
      <c r="J4235" s="15" t="n">
        <v>0.4629</v>
      </c>
      <c r="K4235" s="11" t="str">
        <f aca="false">IF(I4235&lt;J4235,"TAK","NIE")</f>
        <v>NIE</v>
      </c>
    </row>
    <row r="4236" customFormat="false" ht="15" hidden="false" customHeight="false" outlineLevel="0" collapsed="false">
      <c r="A4236" s="5" t="s">
        <v>827</v>
      </c>
      <c r="B4236" s="5" t="s">
        <v>105</v>
      </c>
      <c r="C4236" s="5" t="n">
        <v>2024</v>
      </c>
      <c r="D4236" s="5" t="s">
        <v>106</v>
      </c>
      <c r="E4236" s="5" t="s">
        <v>89</v>
      </c>
      <c r="F4236" s="5" t="s">
        <v>39</v>
      </c>
      <c r="G4236" s="6" t="n">
        <v>541</v>
      </c>
      <c r="H4236" s="6" t="n">
        <v>25</v>
      </c>
      <c r="I4236" s="7" t="n">
        <f aca="false">(G4236-H4236)/G4236</f>
        <v>0.953789279112754</v>
      </c>
      <c r="J4236" s="15" t="n">
        <v>0.4629</v>
      </c>
      <c r="K4236" s="11" t="str">
        <f aca="false">IF(I4236&lt;J4236,"TAK","NIE")</f>
        <v>NIE</v>
      </c>
    </row>
    <row r="4237" customFormat="false" ht="15" hidden="false" customHeight="false" outlineLevel="0" collapsed="false">
      <c r="A4237" s="5" t="s">
        <v>848</v>
      </c>
      <c r="B4237" s="5" t="s">
        <v>105</v>
      </c>
      <c r="C4237" s="5" t="n">
        <v>2024</v>
      </c>
      <c r="D4237" s="5" t="s">
        <v>106</v>
      </c>
      <c r="E4237" s="5" t="s">
        <v>89</v>
      </c>
      <c r="F4237" s="5" t="s">
        <v>39</v>
      </c>
      <c r="G4237" s="6" t="n">
        <v>543</v>
      </c>
      <c r="H4237" s="6" t="n">
        <v>109</v>
      </c>
      <c r="I4237" s="7" t="n">
        <f aca="false">(G4237-H4237)/G4237</f>
        <v>0.79926335174954</v>
      </c>
      <c r="J4237" s="15" t="n">
        <v>0.4629</v>
      </c>
      <c r="K4237" s="11" t="str">
        <f aca="false">IF(I4237&lt;J4237,"TAK","NIE")</f>
        <v>NIE</v>
      </c>
    </row>
    <row r="4238" customFormat="false" ht="15" hidden="false" customHeight="false" outlineLevel="0" collapsed="false">
      <c r="A4238" s="5" t="s">
        <v>849</v>
      </c>
      <c r="B4238" s="5" t="s">
        <v>105</v>
      </c>
      <c r="C4238" s="5" t="n">
        <v>2024</v>
      </c>
      <c r="D4238" s="5" t="s">
        <v>106</v>
      </c>
      <c r="E4238" s="5" t="s">
        <v>89</v>
      </c>
      <c r="F4238" s="5" t="s">
        <v>39</v>
      </c>
      <c r="G4238" s="6" t="n">
        <v>543</v>
      </c>
      <c r="H4238" s="6" t="n">
        <v>206</v>
      </c>
      <c r="I4238" s="7" t="n">
        <f aca="false">(G4238-H4238)/G4238</f>
        <v>0.620626151012891</v>
      </c>
      <c r="J4238" s="15" t="n">
        <v>0.4629</v>
      </c>
      <c r="K4238" s="11" t="str">
        <f aca="false">IF(I4238&lt;J4238,"TAK","NIE")</f>
        <v>NIE</v>
      </c>
    </row>
    <row r="4239" customFormat="false" ht="15" hidden="false" customHeight="false" outlineLevel="0" collapsed="false">
      <c r="A4239" s="5" t="s">
        <v>834</v>
      </c>
      <c r="B4239" s="5" t="s">
        <v>105</v>
      </c>
      <c r="C4239" s="5" t="n">
        <v>2024</v>
      </c>
      <c r="D4239" s="5" t="s">
        <v>106</v>
      </c>
      <c r="E4239" s="5" t="s">
        <v>89</v>
      </c>
      <c r="F4239" s="5" t="s">
        <v>39</v>
      </c>
      <c r="G4239" s="6" t="n">
        <v>541</v>
      </c>
      <c r="H4239" s="6" t="n">
        <v>11</v>
      </c>
      <c r="I4239" s="7" t="n">
        <f aca="false">(G4239-H4239)/G4239</f>
        <v>0.979667282809612</v>
      </c>
      <c r="J4239" s="15" t="n">
        <v>0.4629</v>
      </c>
      <c r="K4239" s="11" t="str">
        <f aca="false">IF(I4239&lt;J4239,"TAK","NIE")</f>
        <v>NIE</v>
      </c>
    </row>
    <row r="4240" customFormat="false" ht="15" hidden="false" customHeight="false" outlineLevel="0" collapsed="false">
      <c r="A4240" s="5" t="s">
        <v>850</v>
      </c>
      <c r="B4240" s="5" t="s">
        <v>105</v>
      </c>
      <c r="C4240" s="5" t="n">
        <v>2024</v>
      </c>
      <c r="D4240" s="5" t="s">
        <v>106</v>
      </c>
      <c r="E4240" s="5" t="s">
        <v>89</v>
      </c>
      <c r="F4240" s="5" t="s">
        <v>39</v>
      </c>
      <c r="G4240" s="6" t="n">
        <v>543</v>
      </c>
      <c r="H4240" s="6" t="n">
        <v>55</v>
      </c>
      <c r="I4240" s="7" t="n">
        <f aca="false">(G4240-H4240)/G4240</f>
        <v>0.898710865561694</v>
      </c>
      <c r="J4240" s="15" t="n">
        <v>0.4629</v>
      </c>
      <c r="K4240" s="11" t="str">
        <f aca="false">IF(I4240&lt;J4240,"TAK","NIE")</f>
        <v>NIE</v>
      </c>
    </row>
    <row r="4241" customFormat="false" ht="15" hidden="false" customHeight="false" outlineLevel="0" collapsed="false">
      <c r="A4241" s="5" t="s">
        <v>851</v>
      </c>
      <c r="B4241" s="5" t="s">
        <v>105</v>
      </c>
      <c r="C4241" s="5" t="n">
        <v>2024</v>
      </c>
      <c r="D4241" s="5" t="s">
        <v>106</v>
      </c>
      <c r="E4241" s="5" t="s">
        <v>89</v>
      </c>
      <c r="F4241" s="5" t="s">
        <v>39</v>
      </c>
      <c r="G4241" s="6" t="n">
        <v>543</v>
      </c>
      <c r="H4241" s="6" t="n">
        <v>195</v>
      </c>
      <c r="I4241" s="7" t="n">
        <f aca="false">(G4241-H4241)/G4241</f>
        <v>0.640883977900553</v>
      </c>
      <c r="J4241" s="15" t="n">
        <v>0.4629</v>
      </c>
      <c r="K4241" s="11" t="str">
        <f aca="false">IF(I4241&lt;J4241,"TAK","NIE")</f>
        <v>NIE</v>
      </c>
    </row>
    <row r="4242" customFormat="false" ht="15" hidden="false" customHeight="false" outlineLevel="0" collapsed="false">
      <c r="A4242" s="5" t="s">
        <v>829</v>
      </c>
      <c r="B4242" s="5" t="s">
        <v>105</v>
      </c>
      <c r="C4242" s="5" t="n">
        <v>2024</v>
      </c>
      <c r="D4242" s="5" t="s">
        <v>106</v>
      </c>
      <c r="E4242" s="5" t="s">
        <v>89</v>
      </c>
      <c r="F4242" s="5" t="s">
        <v>39</v>
      </c>
      <c r="G4242" s="6" t="n">
        <v>541</v>
      </c>
      <c r="H4242" s="6" t="n">
        <v>115</v>
      </c>
      <c r="I4242" s="7" t="n">
        <f aca="false">(G4242-H4242)/G4242</f>
        <v>0.787430683918669</v>
      </c>
      <c r="J4242" s="15" t="n">
        <v>0.4629</v>
      </c>
      <c r="K4242" s="11" t="str">
        <f aca="false">IF(I4242&lt;J4242,"TAK","NIE")</f>
        <v>NIE</v>
      </c>
    </row>
    <row r="4243" customFormat="false" ht="15" hidden="false" customHeight="false" outlineLevel="0" collapsed="false">
      <c r="A4243" s="5" t="s">
        <v>830</v>
      </c>
      <c r="B4243" s="5" t="s">
        <v>105</v>
      </c>
      <c r="C4243" s="5" t="n">
        <v>2024</v>
      </c>
      <c r="D4243" s="5" t="s">
        <v>106</v>
      </c>
      <c r="E4243" s="5" t="s">
        <v>89</v>
      </c>
      <c r="F4243" s="5" t="s">
        <v>39</v>
      </c>
      <c r="G4243" s="6" t="n">
        <v>541</v>
      </c>
      <c r="H4243" s="6" t="n">
        <v>109</v>
      </c>
      <c r="I4243" s="7" t="n">
        <f aca="false">(G4243-H4243)/G4243</f>
        <v>0.798521256931608</v>
      </c>
      <c r="J4243" s="15" t="n">
        <v>0.4629</v>
      </c>
      <c r="K4243" s="11" t="str">
        <f aca="false">IF(I4243&lt;J4243,"TAK","NIE")</f>
        <v>NIE</v>
      </c>
    </row>
    <row r="4244" customFormat="false" ht="15" hidden="false" customHeight="false" outlineLevel="0" collapsed="false">
      <c r="A4244" s="5" t="s">
        <v>831</v>
      </c>
      <c r="B4244" s="5" t="s">
        <v>105</v>
      </c>
      <c r="C4244" s="5" t="n">
        <v>2024</v>
      </c>
      <c r="D4244" s="5" t="s">
        <v>106</v>
      </c>
      <c r="E4244" s="5" t="s">
        <v>89</v>
      </c>
      <c r="F4244" s="5" t="s">
        <v>39</v>
      </c>
      <c r="G4244" s="6" t="n">
        <v>528</v>
      </c>
      <c r="H4244" s="6" t="n">
        <v>118</v>
      </c>
      <c r="I4244" s="7" t="n">
        <f aca="false">(G4244-H4244)/G4244</f>
        <v>0.776515151515152</v>
      </c>
      <c r="J4244" s="15" t="n">
        <v>0.4629</v>
      </c>
      <c r="K4244" s="11" t="str">
        <f aca="false">IF(I4244&lt;J4244,"TAK","NIE")</f>
        <v>NIE</v>
      </c>
    </row>
    <row r="4245" customFormat="false" ht="15" hidden="false" customHeight="false" outlineLevel="0" collapsed="false">
      <c r="A4245" s="5" t="s">
        <v>852</v>
      </c>
      <c r="B4245" s="5" t="s">
        <v>105</v>
      </c>
      <c r="C4245" s="5" t="n">
        <v>2024</v>
      </c>
      <c r="D4245" s="5" t="s">
        <v>106</v>
      </c>
      <c r="E4245" s="5" t="s">
        <v>89</v>
      </c>
      <c r="F4245" s="5" t="s">
        <v>39</v>
      </c>
      <c r="G4245" s="6" t="n">
        <v>556</v>
      </c>
      <c r="H4245" s="6" t="n">
        <v>205</v>
      </c>
      <c r="I4245" s="7" t="n">
        <f aca="false">(G4245-H4245)/G4245</f>
        <v>0.631294964028777</v>
      </c>
      <c r="J4245" s="15" t="n">
        <v>0.4629</v>
      </c>
      <c r="K4245" s="11" t="str">
        <f aca="false">IF(I4245&lt;J4245,"TAK","NIE")</f>
        <v>NIE</v>
      </c>
    </row>
    <row r="4246" customFormat="false" ht="15" hidden="false" customHeight="false" outlineLevel="0" collapsed="false">
      <c r="A4246" s="5" t="s">
        <v>833</v>
      </c>
      <c r="B4246" s="5" t="s">
        <v>105</v>
      </c>
      <c r="C4246" s="5" t="n">
        <v>2024</v>
      </c>
      <c r="D4246" s="5" t="s">
        <v>106</v>
      </c>
      <c r="E4246" s="5" t="s">
        <v>89</v>
      </c>
      <c r="F4246" s="5" t="s">
        <v>39</v>
      </c>
      <c r="G4246" s="6" t="n">
        <v>541</v>
      </c>
      <c r="H4246" s="6" t="n">
        <v>138</v>
      </c>
      <c r="I4246" s="7" t="n">
        <f aca="false">(G4246-H4246)/G4246</f>
        <v>0.744916820702403</v>
      </c>
      <c r="J4246" s="15" t="n">
        <v>0.4629</v>
      </c>
      <c r="K4246" s="11" t="str">
        <f aca="false">IF(I4246&lt;J4246,"TAK","NIE")</f>
        <v>NIE</v>
      </c>
    </row>
    <row r="4247" customFormat="false" ht="15" hidden="false" customHeight="false" outlineLevel="0" collapsed="false">
      <c r="A4247" s="5" t="s">
        <v>816</v>
      </c>
      <c r="B4247" s="5" t="s">
        <v>105</v>
      </c>
      <c r="C4247" s="5" t="n">
        <v>2024</v>
      </c>
      <c r="D4247" s="5" t="s">
        <v>106</v>
      </c>
      <c r="E4247" s="5" t="s">
        <v>89</v>
      </c>
      <c r="F4247" s="5" t="s">
        <v>40</v>
      </c>
      <c r="G4247" s="6" t="n">
        <v>717</v>
      </c>
      <c r="H4247" s="6" t="n">
        <v>239</v>
      </c>
      <c r="I4247" s="7" t="n">
        <f aca="false">(G4247-H4247)/G4247</f>
        <v>0.666666666666667</v>
      </c>
      <c r="J4247" s="15" t="n">
        <v>0.4386</v>
      </c>
      <c r="K4247" s="11" t="str">
        <f aca="false">IF(I4247&lt;J4247,"TAK","NIE")</f>
        <v>NIE</v>
      </c>
    </row>
    <row r="4248" customFormat="false" ht="15" hidden="false" customHeight="false" outlineLevel="0" collapsed="false">
      <c r="A4248" s="5" t="s">
        <v>835</v>
      </c>
      <c r="B4248" s="5" t="s">
        <v>105</v>
      </c>
      <c r="C4248" s="5" t="n">
        <v>2024</v>
      </c>
      <c r="D4248" s="5" t="s">
        <v>106</v>
      </c>
      <c r="E4248" s="5" t="s">
        <v>89</v>
      </c>
      <c r="F4248" s="5" t="s">
        <v>40</v>
      </c>
      <c r="G4248" s="6" t="n">
        <v>713</v>
      </c>
      <c r="H4248" s="6" t="n">
        <v>109</v>
      </c>
      <c r="I4248" s="7" t="n">
        <f aca="false">(G4248-H4248)/G4248</f>
        <v>0.847124824684432</v>
      </c>
      <c r="J4248" s="15" t="n">
        <v>0.4386</v>
      </c>
      <c r="K4248" s="11" t="str">
        <f aca="false">IF(I4248&lt;J4248,"TAK","NIE")</f>
        <v>NIE</v>
      </c>
    </row>
    <row r="4249" customFormat="false" ht="15" hidden="false" customHeight="false" outlineLevel="0" collapsed="false">
      <c r="A4249" s="5" t="s">
        <v>648</v>
      </c>
      <c r="B4249" s="5" t="s">
        <v>105</v>
      </c>
      <c r="C4249" s="5" t="n">
        <v>2024</v>
      </c>
      <c r="D4249" s="5" t="s">
        <v>106</v>
      </c>
      <c r="E4249" s="5" t="s">
        <v>89</v>
      </c>
      <c r="F4249" s="5" t="s">
        <v>40</v>
      </c>
      <c r="G4249" s="6" t="n">
        <v>44</v>
      </c>
      <c r="H4249" s="6" t="n">
        <v>41</v>
      </c>
      <c r="I4249" s="7" t="n">
        <f aca="false">(G4249-H4249)/G4249</f>
        <v>0.0681818181818182</v>
      </c>
      <c r="J4249" s="15" t="n">
        <v>0.4386</v>
      </c>
      <c r="K4249" s="11" t="str">
        <f aca="false">IF(I4249&lt;J4249,"TAK","NIE")</f>
        <v>TAK</v>
      </c>
    </row>
    <row r="4250" customFormat="false" ht="15" hidden="false" customHeight="false" outlineLevel="0" collapsed="false">
      <c r="A4250" s="5" t="s">
        <v>838</v>
      </c>
      <c r="B4250" s="5" t="s">
        <v>105</v>
      </c>
      <c r="C4250" s="5" t="n">
        <v>2024</v>
      </c>
      <c r="D4250" s="5" t="s">
        <v>106</v>
      </c>
      <c r="E4250" s="5" t="s">
        <v>89</v>
      </c>
      <c r="F4250" s="5" t="s">
        <v>40</v>
      </c>
      <c r="G4250" s="6" t="n">
        <v>713</v>
      </c>
      <c r="H4250" s="6" t="n">
        <v>247</v>
      </c>
      <c r="I4250" s="7" t="n">
        <f aca="false">(G4250-H4250)/G4250</f>
        <v>0.653576437587658</v>
      </c>
      <c r="J4250" s="15" t="n">
        <v>0.4386</v>
      </c>
      <c r="K4250" s="11" t="str">
        <f aca="false">IF(I4250&lt;J4250,"TAK","NIE")</f>
        <v>NIE</v>
      </c>
    </row>
    <row r="4251" customFormat="false" ht="15" hidden="false" customHeight="false" outlineLevel="0" collapsed="false">
      <c r="A4251" s="5" t="s">
        <v>820</v>
      </c>
      <c r="B4251" s="5" t="s">
        <v>105</v>
      </c>
      <c r="C4251" s="5" t="n">
        <v>2024</v>
      </c>
      <c r="D4251" s="5" t="s">
        <v>106</v>
      </c>
      <c r="E4251" s="5" t="s">
        <v>89</v>
      </c>
      <c r="F4251" s="5" t="s">
        <v>40</v>
      </c>
      <c r="G4251" s="6" t="n">
        <v>700</v>
      </c>
      <c r="H4251" s="6" t="n">
        <v>142</v>
      </c>
      <c r="I4251" s="7" t="n">
        <f aca="false">(G4251-H4251)/G4251</f>
        <v>0.797142857142857</v>
      </c>
      <c r="J4251" s="15" t="n">
        <v>0.4386</v>
      </c>
      <c r="K4251" s="11" t="str">
        <f aca="false">IF(I4251&lt;J4251,"TAK","NIE")</f>
        <v>NIE</v>
      </c>
    </row>
    <row r="4252" customFormat="false" ht="15" hidden="false" customHeight="false" outlineLevel="0" collapsed="false">
      <c r="A4252" s="5" t="s">
        <v>821</v>
      </c>
      <c r="B4252" s="5" t="s">
        <v>105</v>
      </c>
      <c r="C4252" s="5" t="n">
        <v>2024</v>
      </c>
      <c r="D4252" s="5" t="s">
        <v>106</v>
      </c>
      <c r="E4252" s="5" t="s">
        <v>89</v>
      </c>
      <c r="F4252" s="5" t="s">
        <v>40</v>
      </c>
      <c r="G4252" s="6" t="n">
        <v>717</v>
      </c>
      <c r="H4252" s="6" t="n">
        <v>276</v>
      </c>
      <c r="I4252" s="7" t="n">
        <f aca="false">(G4252-H4252)/G4252</f>
        <v>0.615062761506276</v>
      </c>
      <c r="J4252" s="15" t="n">
        <v>0.4386</v>
      </c>
      <c r="K4252" s="11" t="str">
        <f aca="false">IF(I4252&lt;J4252,"TAK","NIE")</f>
        <v>NIE</v>
      </c>
    </row>
    <row r="4253" customFormat="false" ht="15" hidden="false" customHeight="false" outlineLevel="0" collapsed="false">
      <c r="A4253" s="5" t="s">
        <v>839</v>
      </c>
      <c r="B4253" s="5" t="s">
        <v>105</v>
      </c>
      <c r="C4253" s="5" t="n">
        <v>2024</v>
      </c>
      <c r="D4253" s="5" t="s">
        <v>106</v>
      </c>
      <c r="E4253" s="5" t="s">
        <v>89</v>
      </c>
      <c r="F4253" s="5" t="s">
        <v>40</v>
      </c>
      <c r="G4253" s="6" t="n">
        <v>713</v>
      </c>
      <c r="H4253" s="6" t="n">
        <v>175</v>
      </c>
      <c r="I4253" s="7" t="n">
        <f aca="false">(G4253-H4253)/G4253</f>
        <v>0.754558204768584</v>
      </c>
      <c r="J4253" s="15" t="n">
        <v>0.4386</v>
      </c>
      <c r="K4253" s="11" t="str">
        <f aca="false">IF(I4253&lt;J4253,"TAK","NIE")</f>
        <v>NIE</v>
      </c>
    </row>
    <row r="4254" customFormat="false" ht="15" hidden="false" customHeight="false" outlineLevel="0" collapsed="false">
      <c r="A4254" s="5" t="s">
        <v>840</v>
      </c>
      <c r="B4254" s="5" t="s">
        <v>105</v>
      </c>
      <c r="C4254" s="5" t="n">
        <v>2024</v>
      </c>
      <c r="D4254" s="5" t="s">
        <v>106</v>
      </c>
      <c r="E4254" s="5" t="s">
        <v>89</v>
      </c>
      <c r="F4254" s="5" t="s">
        <v>40</v>
      </c>
      <c r="G4254" s="6" t="n">
        <v>713</v>
      </c>
      <c r="H4254" s="6" t="n">
        <v>293</v>
      </c>
      <c r="I4254" s="7" t="n">
        <f aca="false">(G4254-H4254)/G4254</f>
        <v>0.5890603085554</v>
      </c>
      <c r="J4254" s="15" t="n">
        <v>0.4386</v>
      </c>
      <c r="K4254" s="11" t="str">
        <f aca="false">IF(I4254&lt;J4254,"TAK","NIE")</f>
        <v>NIE</v>
      </c>
    </row>
    <row r="4255" customFormat="false" ht="15" hidden="false" customHeight="false" outlineLevel="0" collapsed="false">
      <c r="A4255" s="5" t="s">
        <v>842</v>
      </c>
      <c r="B4255" s="5" t="s">
        <v>105</v>
      </c>
      <c r="C4255" s="5" t="n">
        <v>2024</v>
      </c>
      <c r="D4255" s="5" t="s">
        <v>106</v>
      </c>
      <c r="E4255" s="5" t="s">
        <v>89</v>
      </c>
      <c r="F4255" s="5" t="s">
        <v>40</v>
      </c>
      <c r="G4255" s="6" t="n">
        <v>713</v>
      </c>
      <c r="H4255" s="6" t="n">
        <v>318</v>
      </c>
      <c r="I4255" s="7" t="n">
        <f aca="false">(G4255-H4255)/G4255</f>
        <v>0.553997194950912</v>
      </c>
      <c r="J4255" s="15" t="n">
        <v>0.4386</v>
      </c>
      <c r="K4255" s="11" t="str">
        <f aca="false">IF(I4255&lt;J4255,"TAK","NIE")</f>
        <v>NIE</v>
      </c>
    </row>
    <row r="4256" customFormat="false" ht="15" hidden="false" customHeight="false" outlineLevel="0" collapsed="false">
      <c r="A4256" s="5" t="s">
        <v>822</v>
      </c>
      <c r="B4256" s="5" t="s">
        <v>105</v>
      </c>
      <c r="C4256" s="5" t="n">
        <v>2024</v>
      </c>
      <c r="D4256" s="5" t="s">
        <v>106</v>
      </c>
      <c r="E4256" s="5" t="s">
        <v>89</v>
      </c>
      <c r="F4256" s="5" t="s">
        <v>40</v>
      </c>
      <c r="G4256" s="6" t="n">
        <v>578</v>
      </c>
      <c r="H4256" s="6" t="n">
        <v>183</v>
      </c>
      <c r="I4256" s="7" t="n">
        <f aca="false">(G4256-H4256)/G4256</f>
        <v>0.683391003460208</v>
      </c>
      <c r="J4256" s="15" t="n">
        <v>0.4386</v>
      </c>
      <c r="K4256" s="11" t="str">
        <f aca="false">IF(I4256&lt;J4256,"TAK","NIE")</f>
        <v>NIE</v>
      </c>
    </row>
    <row r="4257" customFormat="false" ht="15" hidden="false" customHeight="false" outlineLevel="0" collapsed="false">
      <c r="A4257" s="5" t="s">
        <v>843</v>
      </c>
      <c r="B4257" s="5" t="s">
        <v>105</v>
      </c>
      <c r="C4257" s="5" t="n">
        <v>2024</v>
      </c>
      <c r="D4257" s="5" t="s">
        <v>106</v>
      </c>
      <c r="E4257" s="5" t="s">
        <v>89</v>
      </c>
      <c r="F4257" s="5" t="s">
        <v>40</v>
      </c>
      <c r="G4257" s="6" t="n">
        <v>713</v>
      </c>
      <c r="H4257" s="6" t="n">
        <v>322</v>
      </c>
      <c r="I4257" s="7" t="n">
        <f aca="false">(G4257-H4257)/G4257</f>
        <v>0.548387096774194</v>
      </c>
      <c r="J4257" s="15" t="n">
        <v>0.4386</v>
      </c>
      <c r="K4257" s="11" t="str">
        <f aca="false">IF(I4257&lt;J4257,"TAK","NIE")</f>
        <v>NIE</v>
      </c>
    </row>
    <row r="4258" customFormat="false" ht="15" hidden="false" customHeight="false" outlineLevel="0" collapsed="false">
      <c r="A4258" s="5" t="s">
        <v>844</v>
      </c>
      <c r="B4258" s="5" t="s">
        <v>105</v>
      </c>
      <c r="C4258" s="5" t="n">
        <v>2024</v>
      </c>
      <c r="D4258" s="5" t="s">
        <v>106</v>
      </c>
      <c r="E4258" s="5" t="s">
        <v>89</v>
      </c>
      <c r="F4258" s="5" t="s">
        <v>40</v>
      </c>
      <c r="G4258" s="6" t="n">
        <v>713</v>
      </c>
      <c r="H4258" s="6" t="n">
        <v>196</v>
      </c>
      <c r="I4258" s="7" t="n">
        <f aca="false">(G4258-H4258)/G4258</f>
        <v>0.725105189340814</v>
      </c>
      <c r="J4258" s="15" t="n">
        <v>0.4386</v>
      </c>
      <c r="K4258" s="11" t="str">
        <f aca="false">IF(I4258&lt;J4258,"TAK","NIE")</f>
        <v>NIE</v>
      </c>
    </row>
    <row r="4259" customFormat="false" ht="15" hidden="false" customHeight="false" outlineLevel="0" collapsed="false">
      <c r="A4259" s="5" t="s">
        <v>845</v>
      </c>
      <c r="B4259" s="5" t="s">
        <v>105</v>
      </c>
      <c r="C4259" s="5" t="n">
        <v>2024</v>
      </c>
      <c r="D4259" s="5" t="s">
        <v>106</v>
      </c>
      <c r="E4259" s="5" t="s">
        <v>89</v>
      </c>
      <c r="F4259" s="5" t="s">
        <v>40</v>
      </c>
      <c r="G4259" s="6" t="n">
        <v>713</v>
      </c>
      <c r="H4259" s="6" t="n">
        <v>126</v>
      </c>
      <c r="I4259" s="7" t="n">
        <f aca="false">(G4259-H4259)/G4259</f>
        <v>0.82328190743338</v>
      </c>
      <c r="J4259" s="15" t="n">
        <v>0.4386</v>
      </c>
      <c r="K4259" s="11" t="str">
        <f aca="false">IF(I4259&lt;J4259,"TAK","NIE")</f>
        <v>NIE</v>
      </c>
    </row>
    <row r="4260" customFormat="false" ht="15" hidden="false" customHeight="false" outlineLevel="0" collapsed="false">
      <c r="A4260" s="5" t="s">
        <v>825</v>
      </c>
      <c r="B4260" s="5" t="s">
        <v>105</v>
      </c>
      <c r="C4260" s="5" t="n">
        <v>2024</v>
      </c>
      <c r="D4260" s="5" t="s">
        <v>106</v>
      </c>
      <c r="E4260" s="5" t="s">
        <v>89</v>
      </c>
      <c r="F4260" s="5" t="s">
        <v>40</v>
      </c>
      <c r="G4260" s="6" t="n">
        <v>700</v>
      </c>
      <c r="H4260" s="6" t="n">
        <v>235</v>
      </c>
      <c r="I4260" s="7" t="n">
        <f aca="false">(G4260-H4260)/G4260</f>
        <v>0.664285714285714</v>
      </c>
      <c r="J4260" s="15" t="n">
        <v>0.4386</v>
      </c>
      <c r="K4260" s="11" t="str">
        <f aca="false">IF(I4260&lt;J4260,"TAK","NIE")</f>
        <v>NIE</v>
      </c>
    </row>
    <row r="4261" customFormat="false" ht="15" hidden="false" customHeight="false" outlineLevel="0" collapsed="false">
      <c r="A4261" s="5" t="s">
        <v>846</v>
      </c>
      <c r="B4261" s="5" t="s">
        <v>105</v>
      </c>
      <c r="C4261" s="5" t="n">
        <v>2024</v>
      </c>
      <c r="D4261" s="5" t="s">
        <v>106</v>
      </c>
      <c r="E4261" s="5" t="s">
        <v>89</v>
      </c>
      <c r="F4261" s="5" t="s">
        <v>40</v>
      </c>
      <c r="G4261" s="6" t="n">
        <v>713</v>
      </c>
      <c r="H4261" s="6" t="n">
        <v>270</v>
      </c>
      <c r="I4261" s="7" t="n">
        <f aca="false">(G4261-H4261)/G4261</f>
        <v>0.621318373071529</v>
      </c>
      <c r="J4261" s="15" t="n">
        <v>0.4386</v>
      </c>
      <c r="K4261" s="11" t="str">
        <f aca="false">IF(I4261&lt;J4261,"TAK","NIE")</f>
        <v>NIE</v>
      </c>
    </row>
    <row r="4262" customFormat="false" ht="15" hidden="false" customHeight="false" outlineLevel="0" collapsed="false">
      <c r="A4262" s="5" t="s">
        <v>847</v>
      </c>
      <c r="B4262" s="5" t="s">
        <v>105</v>
      </c>
      <c r="C4262" s="5" t="n">
        <v>2024</v>
      </c>
      <c r="D4262" s="5" t="s">
        <v>106</v>
      </c>
      <c r="E4262" s="5" t="s">
        <v>89</v>
      </c>
      <c r="F4262" s="5" t="s">
        <v>40</v>
      </c>
      <c r="G4262" s="6" t="n">
        <v>713</v>
      </c>
      <c r="H4262" s="6" t="n">
        <v>282</v>
      </c>
      <c r="I4262" s="7" t="n">
        <f aca="false">(G4262-H4262)/G4262</f>
        <v>0.604488078541374</v>
      </c>
      <c r="J4262" s="15" t="n">
        <v>0.4386</v>
      </c>
      <c r="K4262" s="11" t="str">
        <f aca="false">IF(I4262&lt;J4262,"TAK","NIE")</f>
        <v>NIE</v>
      </c>
    </row>
    <row r="4263" customFormat="false" ht="15" hidden="false" customHeight="false" outlineLevel="0" collapsed="false">
      <c r="A4263" s="5" t="s">
        <v>826</v>
      </c>
      <c r="B4263" s="5" t="s">
        <v>105</v>
      </c>
      <c r="C4263" s="5" t="n">
        <v>2024</v>
      </c>
      <c r="D4263" s="5" t="s">
        <v>106</v>
      </c>
      <c r="E4263" s="5" t="s">
        <v>89</v>
      </c>
      <c r="F4263" s="5" t="s">
        <v>40</v>
      </c>
      <c r="G4263" s="6" t="n">
        <v>681</v>
      </c>
      <c r="H4263" s="6" t="n">
        <v>179</v>
      </c>
      <c r="I4263" s="7" t="n">
        <f aca="false">(G4263-H4263)/G4263</f>
        <v>0.737151248164464</v>
      </c>
      <c r="J4263" s="15" t="n">
        <v>0.4386</v>
      </c>
      <c r="K4263" s="11" t="str">
        <f aca="false">IF(I4263&lt;J4263,"TAK","NIE")</f>
        <v>NIE</v>
      </c>
    </row>
    <row r="4264" customFormat="false" ht="15" hidden="false" customHeight="false" outlineLevel="0" collapsed="false">
      <c r="A4264" s="5" t="s">
        <v>827</v>
      </c>
      <c r="B4264" s="5" t="s">
        <v>105</v>
      </c>
      <c r="C4264" s="5" t="n">
        <v>2024</v>
      </c>
      <c r="D4264" s="5" t="s">
        <v>106</v>
      </c>
      <c r="E4264" s="5" t="s">
        <v>89</v>
      </c>
      <c r="F4264" s="5" t="s">
        <v>40</v>
      </c>
      <c r="G4264" s="6" t="n">
        <v>700</v>
      </c>
      <c r="H4264" s="6" t="n">
        <v>111</v>
      </c>
      <c r="I4264" s="7" t="n">
        <f aca="false">(G4264-H4264)/G4264</f>
        <v>0.841428571428571</v>
      </c>
      <c r="J4264" s="15" t="n">
        <v>0.4386</v>
      </c>
      <c r="K4264" s="11" t="str">
        <f aca="false">IF(I4264&lt;J4264,"TAK","NIE")</f>
        <v>NIE</v>
      </c>
    </row>
    <row r="4265" customFormat="false" ht="15" hidden="false" customHeight="false" outlineLevel="0" collapsed="false">
      <c r="A4265" s="5" t="s">
        <v>848</v>
      </c>
      <c r="B4265" s="5" t="s">
        <v>105</v>
      </c>
      <c r="C4265" s="5" t="n">
        <v>2024</v>
      </c>
      <c r="D4265" s="5" t="s">
        <v>106</v>
      </c>
      <c r="E4265" s="5" t="s">
        <v>89</v>
      </c>
      <c r="F4265" s="5" t="s">
        <v>40</v>
      </c>
      <c r="G4265" s="6" t="n">
        <v>694</v>
      </c>
      <c r="H4265" s="6" t="n">
        <v>205</v>
      </c>
      <c r="I4265" s="7" t="n">
        <f aca="false">(G4265-H4265)/G4265</f>
        <v>0.704610951008646</v>
      </c>
      <c r="J4265" s="15" t="n">
        <v>0.4386</v>
      </c>
      <c r="K4265" s="11" t="str">
        <f aca="false">IF(I4265&lt;J4265,"TAK","NIE")</f>
        <v>NIE</v>
      </c>
    </row>
    <row r="4266" customFormat="false" ht="15" hidden="false" customHeight="false" outlineLevel="0" collapsed="false">
      <c r="A4266" s="5" t="s">
        <v>849</v>
      </c>
      <c r="B4266" s="5" t="s">
        <v>105</v>
      </c>
      <c r="C4266" s="5" t="n">
        <v>2024</v>
      </c>
      <c r="D4266" s="5" t="s">
        <v>106</v>
      </c>
      <c r="E4266" s="5" t="s">
        <v>89</v>
      </c>
      <c r="F4266" s="5" t="s">
        <v>40</v>
      </c>
      <c r="G4266" s="6" t="n">
        <v>694</v>
      </c>
      <c r="H4266" s="6" t="n">
        <v>232</v>
      </c>
      <c r="I4266" s="7" t="n">
        <f aca="false">(G4266-H4266)/G4266</f>
        <v>0.665706051873199</v>
      </c>
      <c r="J4266" s="15" t="n">
        <v>0.4386</v>
      </c>
      <c r="K4266" s="11" t="str">
        <f aca="false">IF(I4266&lt;J4266,"TAK","NIE")</f>
        <v>NIE</v>
      </c>
    </row>
    <row r="4267" customFormat="false" ht="15" hidden="false" customHeight="false" outlineLevel="0" collapsed="false">
      <c r="A4267" s="5" t="s">
        <v>834</v>
      </c>
      <c r="B4267" s="5" t="s">
        <v>105</v>
      </c>
      <c r="C4267" s="5" t="n">
        <v>2024</v>
      </c>
      <c r="D4267" s="5" t="s">
        <v>106</v>
      </c>
      <c r="E4267" s="5" t="s">
        <v>89</v>
      </c>
      <c r="F4267" s="5" t="s">
        <v>40</v>
      </c>
      <c r="G4267" s="6" t="n">
        <v>700</v>
      </c>
      <c r="H4267" s="6" t="n">
        <v>116</v>
      </c>
      <c r="I4267" s="7" t="n">
        <f aca="false">(G4267-H4267)/G4267</f>
        <v>0.834285714285714</v>
      </c>
      <c r="J4267" s="15" t="n">
        <v>0.4386</v>
      </c>
      <c r="K4267" s="11" t="str">
        <f aca="false">IF(I4267&lt;J4267,"TAK","NIE")</f>
        <v>NIE</v>
      </c>
    </row>
    <row r="4268" customFormat="false" ht="15" hidden="false" customHeight="false" outlineLevel="0" collapsed="false">
      <c r="A4268" s="5" t="s">
        <v>850</v>
      </c>
      <c r="B4268" s="5" t="s">
        <v>105</v>
      </c>
      <c r="C4268" s="5" t="n">
        <v>2024</v>
      </c>
      <c r="D4268" s="5" t="s">
        <v>106</v>
      </c>
      <c r="E4268" s="5" t="s">
        <v>89</v>
      </c>
      <c r="F4268" s="5" t="s">
        <v>40</v>
      </c>
      <c r="G4268" s="6" t="n">
        <v>694</v>
      </c>
      <c r="H4268" s="6" t="n">
        <v>191</v>
      </c>
      <c r="I4268" s="7" t="n">
        <f aca="false">(G4268-H4268)/G4268</f>
        <v>0.72478386167147</v>
      </c>
      <c r="J4268" s="15" t="n">
        <v>0.4386</v>
      </c>
      <c r="K4268" s="11" t="str">
        <f aca="false">IF(I4268&lt;J4268,"TAK","NIE")</f>
        <v>NIE</v>
      </c>
    </row>
    <row r="4269" customFormat="false" ht="15" hidden="false" customHeight="false" outlineLevel="0" collapsed="false">
      <c r="A4269" s="5" t="s">
        <v>851</v>
      </c>
      <c r="B4269" s="5" t="s">
        <v>105</v>
      </c>
      <c r="C4269" s="5" t="n">
        <v>2024</v>
      </c>
      <c r="D4269" s="5" t="s">
        <v>106</v>
      </c>
      <c r="E4269" s="5" t="s">
        <v>89</v>
      </c>
      <c r="F4269" s="5" t="s">
        <v>40</v>
      </c>
      <c r="G4269" s="6" t="n">
        <v>45</v>
      </c>
      <c r="H4269" s="6" t="n">
        <v>44</v>
      </c>
      <c r="I4269" s="7" t="n">
        <f aca="false">(G4269-H4269)/G4269</f>
        <v>0.0222222222222222</v>
      </c>
      <c r="J4269" s="15" t="n">
        <v>0.4386</v>
      </c>
      <c r="K4269" s="11" t="str">
        <f aca="false">IF(I4269&lt;J4269,"TAK","NIE")</f>
        <v>TAK</v>
      </c>
    </row>
    <row r="4270" customFormat="false" ht="15" hidden="false" customHeight="false" outlineLevel="0" collapsed="false">
      <c r="A4270" s="5" t="s">
        <v>829</v>
      </c>
      <c r="B4270" s="5" t="s">
        <v>105</v>
      </c>
      <c r="C4270" s="5" t="n">
        <v>2024</v>
      </c>
      <c r="D4270" s="5" t="s">
        <v>106</v>
      </c>
      <c r="E4270" s="5" t="s">
        <v>89</v>
      </c>
      <c r="F4270" s="5" t="s">
        <v>40</v>
      </c>
      <c r="G4270" s="6" t="n">
        <v>700</v>
      </c>
      <c r="H4270" s="6" t="n">
        <v>295</v>
      </c>
      <c r="I4270" s="7" t="n">
        <f aca="false">(G4270-H4270)/G4270</f>
        <v>0.578571428571429</v>
      </c>
      <c r="J4270" s="15" t="n">
        <v>0.4386</v>
      </c>
      <c r="K4270" s="11" t="str">
        <f aca="false">IF(I4270&lt;J4270,"TAK","NIE")</f>
        <v>NIE</v>
      </c>
    </row>
    <row r="4271" customFormat="false" ht="15" hidden="false" customHeight="false" outlineLevel="0" collapsed="false">
      <c r="A4271" s="5" t="s">
        <v>830</v>
      </c>
      <c r="B4271" s="5" t="s">
        <v>105</v>
      </c>
      <c r="C4271" s="5" t="n">
        <v>2024</v>
      </c>
      <c r="D4271" s="5" t="s">
        <v>106</v>
      </c>
      <c r="E4271" s="5" t="s">
        <v>89</v>
      </c>
      <c r="F4271" s="5" t="s">
        <v>40</v>
      </c>
      <c r="G4271" s="6" t="n">
        <v>700</v>
      </c>
      <c r="H4271" s="6" t="n">
        <v>236</v>
      </c>
      <c r="I4271" s="7" t="n">
        <f aca="false">(G4271-H4271)/G4271</f>
        <v>0.662857142857143</v>
      </c>
      <c r="J4271" s="15" t="n">
        <v>0.4386</v>
      </c>
      <c r="K4271" s="11" t="str">
        <f aca="false">IF(I4271&lt;J4271,"TAK","NIE")</f>
        <v>NIE</v>
      </c>
    </row>
    <row r="4272" customFormat="false" ht="15" hidden="false" customHeight="false" outlineLevel="0" collapsed="false">
      <c r="A4272" s="5" t="s">
        <v>831</v>
      </c>
      <c r="B4272" s="5" t="s">
        <v>105</v>
      </c>
      <c r="C4272" s="5" t="n">
        <v>2024</v>
      </c>
      <c r="D4272" s="5" t="s">
        <v>106</v>
      </c>
      <c r="E4272" s="5" t="s">
        <v>89</v>
      </c>
      <c r="F4272" s="5" t="s">
        <v>40</v>
      </c>
      <c r="G4272" s="6" t="n">
        <v>681</v>
      </c>
      <c r="H4272" s="6" t="n">
        <v>250</v>
      </c>
      <c r="I4272" s="7" t="n">
        <f aca="false">(G4272-H4272)/G4272</f>
        <v>0.632892804698972</v>
      </c>
      <c r="J4272" s="15" t="n">
        <v>0.4386</v>
      </c>
      <c r="K4272" s="11" t="str">
        <f aca="false">IF(I4272&lt;J4272,"TAK","NIE")</f>
        <v>NIE</v>
      </c>
    </row>
    <row r="4273" customFormat="false" ht="15" hidden="false" customHeight="false" outlineLevel="0" collapsed="false">
      <c r="A4273" s="5" t="s">
        <v>852</v>
      </c>
      <c r="B4273" s="5" t="s">
        <v>105</v>
      </c>
      <c r="C4273" s="5" t="n">
        <v>2024</v>
      </c>
      <c r="D4273" s="5" t="s">
        <v>106</v>
      </c>
      <c r="E4273" s="5" t="s">
        <v>89</v>
      </c>
      <c r="F4273" s="5" t="s">
        <v>40</v>
      </c>
      <c r="G4273" s="6" t="n">
        <v>713</v>
      </c>
      <c r="H4273" s="6" t="n">
        <v>262</v>
      </c>
      <c r="I4273" s="7" t="n">
        <f aca="false">(G4273-H4273)/G4273</f>
        <v>0.632538569424965</v>
      </c>
      <c r="J4273" s="15" t="n">
        <v>0.4386</v>
      </c>
      <c r="K4273" s="11" t="str">
        <f aca="false">IF(I4273&lt;J4273,"TAK","NIE")</f>
        <v>NIE</v>
      </c>
    </row>
    <row r="4274" customFormat="false" ht="15" hidden="false" customHeight="false" outlineLevel="0" collapsed="false">
      <c r="A4274" s="5" t="s">
        <v>833</v>
      </c>
      <c r="B4274" s="5" t="s">
        <v>105</v>
      </c>
      <c r="C4274" s="5" t="n">
        <v>2024</v>
      </c>
      <c r="D4274" s="5" t="s">
        <v>106</v>
      </c>
      <c r="E4274" s="5" t="s">
        <v>89</v>
      </c>
      <c r="F4274" s="5" t="s">
        <v>40</v>
      </c>
      <c r="G4274" s="6" t="n">
        <v>700</v>
      </c>
      <c r="H4274" s="6" t="n">
        <v>227</v>
      </c>
      <c r="I4274" s="7" t="n">
        <f aca="false">(G4274-H4274)/G4274</f>
        <v>0.675714285714286</v>
      </c>
      <c r="J4274" s="15" t="n">
        <v>0.4386</v>
      </c>
      <c r="K4274" s="11" t="str">
        <f aca="false">IF(I4274&lt;J4274,"TAK","NIE")</f>
        <v>NIE</v>
      </c>
    </row>
    <row r="4275" customFormat="false" ht="15" hidden="false" customHeight="false" outlineLevel="0" collapsed="false">
      <c r="A4275" s="5" t="s">
        <v>854</v>
      </c>
      <c r="B4275" s="5" t="s">
        <v>98</v>
      </c>
      <c r="C4275" s="5" t="n">
        <v>2024</v>
      </c>
      <c r="D4275" s="5" t="s">
        <v>99</v>
      </c>
      <c r="E4275" s="5" t="s">
        <v>75</v>
      </c>
      <c r="F4275" s="5" t="s">
        <v>39</v>
      </c>
      <c r="G4275" s="6" t="n">
        <v>527</v>
      </c>
      <c r="H4275" s="6" t="n">
        <v>93</v>
      </c>
      <c r="I4275" s="7" t="n">
        <f aca="false">(G4275-H4275)/G4275</f>
        <v>0.823529411764706</v>
      </c>
      <c r="J4275" s="15" t="n">
        <v>0.5993</v>
      </c>
      <c r="K4275" s="11" t="str">
        <f aca="false">IF(I4275&lt;J4275,"TAK","NIE")</f>
        <v>NIE</v>
      </c>
    </row>
    <row r="4276" customFormat="false" ht="15" hidden="false" customHeight="false" outlineLevel="0" collapsed="false">
      <c r="A4276" s="5" t="s">
        <v>837</v>
      </c>
      <c r="B4276" s="5" t="s">
        <v>98</v>
      </c>
      <c r="C4276" s="5" t="n">
        <v>2024</v>
      </c>
      <c r="D4276" s="5" t="s">
        <v>99</v>
      </c>
      <c r="E4276" s="5" t="s">
        <v>75</v>
      </c>
      <c r="F4276" s="5" t="s">
        <v>39</v>
      </c>
      <c r="G4276" s="6" t="n">
        <v>509</v>
      </c>
      <c r="H4276" s="6" t="n">
        <v>22</v>
      </c>
      <c r="I4276" s="7" t="n">
        <f aca="false">(G4276-H4276)/G4276</f>
        <v>0.956777996070727</v>
      </c>
      <c r="J4276" s="15" t="n">
        <v>0.5993</v>
      </c>
      <c r="K4276" s="11" t="str">
        <f aca="false">IF(I4276&lt;J4276,"TAK","NIE")</f>
        <v>NIE</v>
      </c>
    </row>
    <row r="4277" customFormat="false" ht="15" hidden="false" customHeight="false" outlineLevel="0" collapsed="false">
      <c r="A4277" s="5" t="s">
        <v>855</v>
      </c>
      <c r="B4277" s="5" t="s">
        <v>98</v>
      </c>
      <c r="C4277" s="5" t="n">
        <v>2024</v>
      </c>
      <c r="D4277" s="5" t="s">
        <v>99</v>
      </c>
      <c r="E4277" s="5" t="s">
        <v>75</v>
      </c>
      <c r="F4277" s="5" t="s">
        <v>39</v>
      </c>
      <c r="G4277" s="6" t="n">
        <v>520</v>
      </c>
      <c r="H4277" s="6" t="n">
        <v>85</v>
      </c>
      <c r="I4277" s="7" t="n">
        <f aca="false">(G4277-H4277)/G4277</f>
        <v>0.836538461538462</v>
      </c>
      <c r="J4277" s="15" t="n">
        <v>0.5993</v>
      </c>
      <c r="K4277" s="11" t="str">
        <f aca="false">IF(I4277&lt;J4277,"TAK","NIE")</f>
        <v>NIE</v>
      </c>
    </row>
    <row r="4278" customFormat="false" ht="15" hidden="false" customHeight="false" outlineLevel="0" collapsed="false">
      <c r="A4278" s="5" t="s">
        <v>856</v>
      </c>
      <c r="B4278" s="5" t="s">
        <v>98</v>
      </c>
      <c r="C4278" s="5" t="n">
        <v>2024</v>
      </c>
      <c r="D4278" s="5" t="s">
        <v>99</v>
      </c>
      <c r="E4278" s="5" t="s">
        <v>75</v>
      </c>
      <c r="F4278" s="5" t="s">
        <v>39</v>
      </c>
      <c r="G4278" s="6" t="n">
        <v>527</v>
      </c>
      <c r="H4278" s="6" t="n">
        <v>79</v>
      </c>
      <c r="I4278" s="7" t="n">
        <f aca="false">(G4278-H4278)/G4278</f>
        <v>0.850094876660342</v>
      </c>
      <c r="J4278" s="15" t="n">
        <v>0.5993</v>
      </c>
      <c r="K4278" s="11" t="str">
        <f aca="false">IF(I4278&lt;J4278,"TAK","NIE")</f>
        <v>NIE</v>
      </c>
    </row>
    <row r="4279" customFormat="false" ht="15" hidden="false" customHeight="false" outlineLevel="0" collapsed="false">
      <c r="A4279" s="5" t="s">
        <v>857</v>
      </c>
      <c r="B4279" s="5" t="s">
        <v>98</v>
      </c>
      <c r="C4279" s="5" t="n">
        <v>2024</v>
      </c>
      <c r="D4279" s="5" t="s">
        <v>99</v>
      </c>
      <c r="E4279" s="5" t="s">
        <v>75</v>
      </c>
      <c r="F4279" s="5" t="s">
        <v>39</v>
      </c>
      <c r="G4279" s="6" t="n">
        <v>545</v>
      </c>
      <c r="H4279" s="6" t="n">
        <v>162</v>
      </c>
      <c r="I4279" s="7" t="n">
        <f aca="false">(G4279-H4279)/G4279</f>
        <v>0.702752293577982</v>
      </c>
      <c r="J4279" s="15" t="n">
        <v>0.5993</v>
      </c>
      <c r="K4279" s="11" t="str">
        <f aca="false">IF(I4279&lt;J4279,"TAK","NIE")</f>
        <v>NIE</v>
      </c>
    </row>
    <row r="4280" customFormat="false" ht="15" hidden="false" customHeight="false" outlineLevel="0" collapsed="false">
      <c r="A4280" s="5" t="s">
        <v>858</v>
      </c>
      <c r="B4280" s="5" t="s">
        <v>98</v>
      </c>
      <c r="C4280" s="5" t="n">
        <v>2024</v>
      </c>
      <c r="D4280" s="5" t="s">
        <v>99</v>
      </c>
      <c r="E4280" s="5" t="s">
        <v>75</v>
      </c>
      <c r="F4280" s="5" t="s">
        <v>39</v>
      </c>
      <c r="G4280" s="6" t="n">
        <v>545</v>
      </c>
      <c r="H4280" s="6" t="n">
        <v>15</v>
      </c>
      <c r="I4280" s="7" t="n">
        <f aca="false">(G4280-H4280)/G4280</f>
        <v>0.972477064220184</v>
      </c>
      <c r="J4280" s="15" t="n">
        <v>0.5993</v>
      </c>
      <c r="K4280" s="11" t="str">
        <f aca="false">IF(I4280&lt;J4280,"TAK","NIE")</f>
        <v>NIE</v>
      </c>
    </row>
    <row r="4281" customFormat="false" ht="15" hidden="false" customHeight="false" outlineLevel="0" collapsed="false">
      <c r="A4281" s="5" t="s">
        <v>859</v>
      </c>
      <c r="B4281" s="5" t="s">
        <v>98</v>
      </c>
      <c r="C4281" s="5" t="n">
        <v>2024</v>
      </c>
      <c r="D4281" s="5" t="s">
        <v>99</v>
      </c>
      <c r="E4281" s="5" t="s">
        <v>75</v>
      </c>
      <c r="F4281" s="5" t="s">
        <v>39</v>
      </c>
      <c r="G4281" s="6" t="n">
        <v>527</v>
      </c>
      <c r="H4281" s="6" t="n">
        <v>124</v>
      </c>
      <c r="I4281" s="7" t="n">
        <f aca="false">(G4281-H4281)/G4281</f>
        <v>0.764705882352941</v>
      </c>
      <c r="J4281" s="15" t="n">
        <v>0.5993</v>
      </c>
      <c r="K4281" s="11" t="str">
        <f aca="false">IF(I4281&lt;J4281,"TAK","NIE")</f>
        <v>NIE</v>
      </c>
    </row>
    <row r="4282" customFormat="false" ht="15" hidden="false" customHeight="false" outlineLevel="0" collapsed="false">
      <c r="A4282" s="5" t="s">
        <v>860</v>
      </c>
      <c r="B4282" s="5" t="s">
        <v>98</v>
      </c>
      <c r="C4282" s="5" t="n">
        <v>2024</v>
      </c>
      <c r="D4282" s="5" t="s">
        <v>99</v>
      </c>
      <c r="E4282" s="5" t="s">
        <v>75</v>
      </c>
      <c r="F4282" s="5" t="s">
        <v>39</v>
      </c>
      <c r="G4282" s="6" t="n">
        <v>527</v>
      </c>
      <c r="H4282" s="6" t="n">
        <v>123</v>
      </c>
      <c r="I4282" s="7" t="n">
        <f aca="false">(G4282-H4282)/G4282</f>
        <v>0.766603415559772</v>
      </c>
      <c r="J4282" s="15" t="n">
        <v>0.5993</v>
      </c>
      <c r="K4282" s="11" t="str">
        <f aca="false">IF(I4282&lt;J4282,"TAK","NIE")</f>
        <v>NIE</v>
      </c>
    </row>
    <row r="4283" customFormat="false" ht="15" hidden="false" customHeight="false" outlineLevel="0" collapsed="false">
      <c r="A4283" s="5" t="s">
        <v>861</v>
      </c>
      <c r="B4283" s="5" t="s">
        <v>98</v>
      </c>
      <c r="C4283" s="5" t="n">
        <v>2024</v>
      </c>
      <c r="D4283" s="5" t="s">
        <v>99</v>
      </c>
      <c r="E4283" s="5" t="s">
        <v>75</v>
      </c>
      <c r="F4283" s="5" t="s">
        <v>39</v>
      </c>
      <c r="G4283" s="6" t="n">
        <v>539</v>
      </c>
      <c r="H4283" s="6" t="n">
        <v>111</v>
      </c>
      <c r="I4283" s="7" t="n">
        <f aca="false">(G4283-H4283)/G4283</f>
        <v>0.794063079777366</v>
      </c>
      <c r="J4283" s="15" t="n">
        <v>0.5993</v>
      </c>
      <c r="K4283" s="11" t="str">
        <f aca="false">IF(I4283&lt;J4283,"TAK","NIE")</f>
        <v>NIE</v>
      </c>
    </row>
    <row r="4284" customFormat="false" ht="15" hidden="false" customHeight="false" outlineLevel="0" collapsed="false">
      <c r="A4284" s="5" t="s">
        <v>862</v>
      </c>
      <c r="B4284" s="5" t="s">
        <v>98</v>
      </c>
      <c r="C4284" s="5" t="n">
        <v>2024</v>
      </c>
      <c r="D4284" s="5" t="s">
        <v>99</v>
      </c>
      <c r="E4284" s="5" t="s">
        <v>75</v>
      </c>
      <c r="F4284" s="5" t="s">
        <v>39</v>
      </c>
      <c r="G4284" s="6" t="n">
        <v>545</v>
      </c>
      <c r="H4284" s="6" t="n">
        <v>104</v>
      </c>
      <c r="I4284" s="7" t="n">
        <f aca="false">(G4284-H4284)/G4284</f>
        <v>0.809174311926606</v>
      </c>
      <c r="J4284" s="15" t="n">
        <v>0.5993</v>
      </c>
      <c r="K4284" s="11" t="str">
        <f aca="false">IF(I4284&lt;J4284,"TAK","NIE")</f>
        <v>NIE</v>
      </c>
    </row>
    <row r="4285" customFormat="false" ht="15" hidden="false" customHeight="false" outlineLevel="0" collapsed="false">
      <c r="A4285" s="5" t="s">
        <v>863</v>
      </c>
      <c r="B4285" s="5" t="s">
        <v>98</v>
      </c>
      <c r="C4285" s="5" t="n">
        <v>2024</v>
      </c>
      <c r="D4285" s="5" t="s">
        <v>99</v>
      </c>
      <c r="E4285" s="5" t="s">
        <v>75</v>
      </c>
      <c r="F4285" s="5" t="s">
        <v>39</v>
      </c>
      <c r="G4285" s="6" t="n">
        <v>539</v>
      </c>
      <c r="H4285" s="6" t="n">
        <v>103</v>
      </c>
      <c r="I4285" s="7" t="n">
        <f aca="false">(G4285-H4285)/G4285</f>
        <v>0.808905380333952</v>
      </c>
      <c r="J4285" s="15" t="n">
        <v>0.5993</v>
      </c>
      <c r="K4285" s="11" t="str">
        <f aca="false">IF(I4285&lt;J4285,"TAK","NIE")</f>
        <v>NIE</v>
      </c>
    </row>
    <row r="4286" customFormat="false" ht="15" hidden="false" customHeight="false" outlineLevel="0" collapsed="false">
      <c r="A4286" s="5" t="s">
        <v>864</v>
      </c>
      <c r="B4286" s="5" t="s">
        <v>98</v>
      </c>
      <c r="C4286" s="5" t="n">
        <v>2024</v>
      </c>
      <c r="D4286" s="5" t="s">
        <v>99</v>
      </c>
      <c r="E4286" s="5" t="s">
        <v>75</v>
      </c>
      <c r="F4286" s="5" t="s">
        <v>39</v>
      </c>
      <c r="G4286" s="6" t="n">
        <v>545</v>
      </c>
      <c r="H4286" s="6" t="n">
        <v>46</v>
      </c>
      <c r="I4286" s="7" t="n">
        <f aca="false">(G4286-H4286)/G4286</f>
        <v>0.915596330275229</v>
      </c>
      <c r="J4286" s="15" t="n">
        <v>0.5993</v>
      </c>
      <c r="K4286" s="11" t="str">
        <f aca="false">IF(I4286&lt;J4286,"TAK","NIE")</f>
        <v>NIE</v>
      </c>
    </row>
    <row r="4287" customFormat="false" ht="15" hidden="false" customHeight="false" outlineLevel="0" collapsed="false">
      <c r="A4287" s="5" t="s">
        <v>865</v>
      </c>
      <c r="B4287" s="5" t="s">
        <v>98</v>
      </c>
      <c r="C4287" s="5" t="n">
        <v>2024</v>
      </c>
      <c r="D4287" s="5" t="s">
        <v>99</v>
      </c>
      <c r="E4287" s="5" t="s">
        <v>75</v>
      </c>
      <c r="F4287" s="5" t="s">
        <v>39</v>
      </c>
      <c r="G4287" s="6" t="n">
        <v>104</v>
      </c>
      <c r="H4287" s="6" t="n">
        <v>65</v>
      </c>
      <c r="I4287" s="7" t="n">
        <f aca="false">(G4287-H4287)/G4287</f>
        <v>0.375</v>
      </c>
      <c r="J4287" s="15" t="n">
        <v>0.5993</v>
      </c>
      <c r="K4287" s="11" t="str">
        <f aca="false">IF(I4287&lt;J4287,"TAK","NIE")</f>
        <v>TAK</v>
      </c>
    </row>
    <row r="4288" customFormat="false" ht="15" hidden="false" customHeight="false" outlineLevel="0" collapsed="false">
      <c r="A4288" s="5" t="s">
        <v>866</v>
      </c>
      <c r="B4288" s="5" t="s">
        <v>98</v>
      </c>
      <c r="C4288" s="5" t="n">
        <v>2024</v>
      </c>
      <c r="D4288" s="5" t="s">
        <v>99</v>
      </c>
      <c r="E4288" s="5" t="s">
        <v>75</v>
      </c>
      <c r="F4288" s="5" t="s">
        <v>39</v>
      </c>
      <c r="G4288" s="6" t="n">
        <v>545</v>
      </c>
      <c r="H4288" s="6" t="n">
        <v>28</v>
      </c>
      <c r="I4288" s="7" t="n">
        <f aca="false">(G4288-H4288)/G4288</f>
        <v>0.948623853211009</v>
      </c>
      <c r="J4288" s="15" t="n">
        <v>0.5993</v>
      </c>
      <c r="K4288" s="11" t="str">
        <f aca="false">IF(I4288&lt;J4288,"TAK","NIE")</f>
        <v>NIE</v>
      </c>
    </row>
    <row r="4289" customFormat="false" ht="15" hidden="false" customHeight="false" outlineLevel="0" collapsed="false">
      <c r="A4289" s="5" t="s">
        <v>867</v>
      </c>
      <c r="B4289" s="5" t="s">
        <v>98</v>
      </c>
      <c r="C4289" s="5" t="n">
        <v>2024</v>
      </c>
      <c r="D4289" s="5" t="s">
        <v>99</v>
      </c>
      <c r="E4289" s="5" t="s">
        <v>75</v>
      </c>
      <c r="F4289" s="5" t="s">
        <v>39</v>
      </c>
      <c r="G4289" s="6" t="n">
        <v>527</v>
      </c>
      <c r="H4289" s="6" t="n">
        <v>45</v>
      </c>
      <c r="I4289" s="7" t="n">
        <f aca="false">(G4289-H4289)/G4289</f>
        <v>0.9146110056926</v>
      </c>
      <c r="J4289" s="15" t="n">
        <v>0.5993</v>
      </c>
      <c r="K4289" s="11" t="str">
        <f aca="false">IF(I4289&lt;J4289,"TAK","NIE")</f>
        <v>NIE</v>
      </c>
    </row>
    <row r="4290" customFormat="false" ht="15" hidden="false" customHeight="false" outlineLevel="0" collapsed="false">
      <c r="A4290" s="5" t="s">
        <v>868</v>
      </c>
      <c r="B4290" s="5" t="s">
        <v>98</v>
      </c>
      <c r="C4290" s="5" t="n">
        <v>2024</v>
      </c>
      <c r="D4290" s="5" t="s">
        <v>99</v>
      </c>
      <c r="E4290" s="5" t="s">
        <v>75</v>
      </c>
      <c r="F4290" s="5" t="s">
        <v>39</v>
      </c>
      <c r="G4290" s="6" t="n">
        <v>545</v>
      </c>
      <c r="H4290" s="6" t="n">
        <v>49</v>
      </c>
      <c r="I4290" s="7" t="n">
        <f aca="false">(G4290-H4290)/G4290</f>
        <v>0.910091743119266</v>
      </c>
      <c r="J4290" s="15" t="n">
        <v>0.5993</v>
      </c>
      <c r="K4290" s="11" t="str">
        <f aca="false">IF(I4290&lt;J4290,"TAK","NIE")</f>
        <v>NIE</v>
      </c>
    </row>
    <row r="4291" customFormat="false" ht="15" hidden="false" customHeight="false" outlineLevel="0" collapsed="false">
      <c r="A4291" s="5" t="s">
        <v>869</v>
      </c>
      <c r="B4291" s="5" t="s">
        <v>98</v>
      </c>
      <c r="C4291" s="5" t="n">
        <v>2024</v>
      </c>
      <c r="D4291" s="5" t="s">
        <v>99</v>
      </c>
      <c r="E4291" s="5" t="s">
        <v>75</v>
      </c>
      <c r="F4291" s="5" t="s">
        <v>39</v>
      </c>
      <c r="G4291" s="6" t="n">
        <v>539</v>
      </c>
      <c r="H4291" s="6" t="n">
        <v>52</v>
      </c>
      <c r="I4291" s="7" t="n">
        <f aca="false">(G4291-H4291)/G4291</f>
        <v>0.903525046382189</v>
      </c>
      <c r="J4291" s="15" t="n">
        <v>0.5993</v>
      </c>
      <c r="K4291" s="11" t="str">
        <f aca="false">IF(I4291&lt;J4291,"TAK","NIE")</f>
        <v>NIE</v>
      </c>
    </row>
    <row r="4292" customFormat="false" ht="15" hidden="false" customHeight="false" outlineLevel="0" collapsed="false">
      <c r="A4292" s="5" t="s">
        <v>870</v>
      </c>
      <c r="B4292" s="5" t="s">
        <v>98</v>
      </c>
      <c r="C4292" s="5" t="n">
        <v>2024</v>
      </c>
      <c r="D4292" s="5" t="s">
        <v>99</v>
      </c>
      <c r="E4292" s="5" t="s">
        <v>75</v>
      </c>
      <c r="F4292" s="5" t="s">
        <v>39</v>
      </c>
      <c r="G4292" s="6" t="n">
        <v>527</v>
      </c>
      <c r="H4292" s="6" t="n">
        <v>114</v>
      </c>
      <c r="I4292" s="7" t="n">
        <f aca="false">(G4292-H4292)/G4292</f>
        <v>0.783681214421252</v>
      </c>
      <c r="J4292" s="15" t="n">
        <v>0.5993</v>
      </c>
      <c r="K4292" s="11" t="str">
        <f aca="false">IF(I4292&lt;J4292,"TAK","NIE")</f>
        <v>NIE</v>
      </c>
    </row>
    <row r="4293" customFormat="false" ht="15" hidden="false" customHeight="false" outlineLevel="0" collapsed="false">
      <c r="A4293" s="5" t="s">
        <v>871</v>
      </c>
      <c r="B4293" s="5" t="s">
        <v>98</v>
      </c>
      <c r="C4293" s="5" t="n">
        <v>2024</v>
      </c>
      <c r="D4293" s="5" t="s">
        <v>99</v>
      </c>
      <c r="E4293" s="5" t="s">
        <v>75</v>
      </c>
      <c r="F4293" s="5" t="s">
        <v>39</v>
      </c>
      <c r="G4293" s="6" t="n">
        <v>545</v>
      </c>
      <c r="H4293" s="6" t="n">
        <v>37</v>
      </c>
      <c r="I4293" s="7" t="n">
        <f aca="false">(G4293-H4293)/G4293</f>
        <v>0.932110091743119</v>
      </c>
      <c r="J4293" s="15" t="n">
        <v>0.5993</v>
      </c>
      <c r="K4293" s="11" t="str">
        <f aca="false">IF(I4293&lt;J4293,"TAK","NIE")</f>
        <v>NIE</v>
      </c>
    </row>
    <row r="4294" customFormat="false" ht="15" hidden="false" customHeight="false" outlineLevel="0" collapsed="false">
      <c r="A4294" s="5" t="s">
        <v>854</v>
      </c>
      <c r="B4294" s="5" t="s">
        <v>98</v>
      </c>
      <c r="C4294" s="5" t="n">
        <v>2024</v>
      </c>
      <c r="D4294" s="5" t="s">
        <v>99</v>
      </c>
      <c r="E4294" s="5" t="s">
        <v>75</v>
      </c>
      <c r="F4294" s="5" t="s">
        <v>40</v>
      </c>
      <c r="G4294" s="6" t="n">
        <v>721</v>
      </c>
      <c r="H4294" s="6" t="n">
        <v>186</v>
      </c>
      <c r="I4294" s="7" t="n">
        <f aca="false">(G4294-H4294)/G4294</f>
        <v>0.742024965325936</v>
      </c>
      <c r="J4294" s="15" t="n">
        <v>0.5027</v>
      </c>
      <c r="K4294" s="11" t="str">
        <f aca="false">IF(I4294&lt;J4294,"TAK","NIE")</f>
        <v>NIE</v>
      </c>
    </row>
    <row r="4295" customFormat="false" ht="15" hidden="false" customHeight="false" outlineLevel="0" collapsed="false">
      <c r="A4295" s="5" t="s">
        <v>837</v>
      </c>
      <c r="B4295" s="5" t="s">
        <v>98</v>
      </c>
      <c r="C4295" s="5" t="n">
        <v>2024</v>
      </c>
      <c r="D4295" s="5" t="s">
        <v>99</v>
      </c>
      <c r="E4295" s="5" t="s">
        <v>75</v>
      </c>
      <c r="F4295" s="5" t="s">
        <v>40</v>
      </c>
      <c r="G4295" s="6" t="n">
        <v>721</v>
      </c>
      <c r="H4295" s="6" t="n">
        <v>106</v>
      </c>
      <c r="I4295" s="7" t="n">
        <f aca="false">(G4295-H4295)/G4295</f>
        <v>0.852981969486824</v>
      </c>
      <c r="J4295" s="15" t="n">
        <v>0.5027</v>
      </c>
      <c r="K4295" s="11" t="str">
        <f aca="false">IF(I4295&lt;J4295,"TAK","NIE")</f>
        <v>NIE</v>
      </c>
    </row>
    <row r="4296" customFormat="false" ht="15" hidden="false" customHeight="false" outlineLevel="0" collapsed="false">
      <c r="A4296" s="5" t="s">
        <v>855</v>
      </c>
      <c r="B4296" s="5" t="s">
        <v>98</v>
      </c>
      <c r="C4296" s="5" t="n">
        <v>2024</v>
      </c>
      <c r="D4296" s="5" t="s">
        <v>99</v>
      </c>
      <c r="E4296" s="5" t="s">
        <v>75</v>
      </c>
      <c r="F4296" s="5" t="s">
        <v>40</v>
      </c>
      <c r="G4296" s="6" t="n">
        <v>727</v>
      </c>
      <c r="H4296" s="6" t="n">
        <v>240</v>
      </c>
      <c r="I4296" s="7" t="n">
        <f aca="false">(G4296-H4296)/G4296</f>
        <v>0.669876203576341</v>
      </c>
      <c r="J4296" s="15" t="n">
        <v>0.5027</v>
      </c>
      <c r="K4296" s="11" t="str">
        <f aca="false">IF(I4296&lt;J4296,"TAK","NIE")</f>
        <v>NIE</v>
      </c>
    </row>
    <row r="4297" customFormat="false" ht="15" hidden="false" customHeight="false" outlineLevel="0" collapsed="false">
      <c r="A4297" s="5" t="s">
        <v>856</v>
      </c>
      <c r="B4297" s="5" t="s">
        <v>98</v>
      </c>
      <c r="C4297" s="5" t="n">
        <v>2024</v>
      </c>
      <c r="D4297" s="5" t="s">
        <v>99</v>
      </c>
      <c r="E4297" s="5" t="s">
        <v>75</v>
      </c>
      <c r="F4297" s="5" t="s">
        <v>40</v>
      </c>
      <c r="G4297" s="6" t="n">
        <v>727</v>
      </c>
      <c r="H4297" s="6" t="n">
        <v>216</v>
      </c>
      <c r="I4297" s="7" t="n">
        <f aca="false">(G4297-H4297)/G4297</f>
        <v>0.702888583218707</v>
      </c>
      <c r="J4297" s="15" t="n">
        <v>0.5027</v>
      </c>
      <c r="K4297" s="11" t="str">
        <f aca="false">IF(I4297&lt;J4297,"TAK","NIE")</f>
        <v>NIE</v>
      </c>
    </row>
    <row r="4298" customFormat="false" ht="15" hidden="false" customHeight="false" outlineLevel="0" collapsed="false">
      <c r="A4298" s="5" t="s">
        <v>857</v>
      </c>
      <c r="B4298" s="5" t="s">
        <v>98</v>
      </c>
      <c r="C4298" s="5" t="n">
        <v>2024</v>
      </c>
      <c r="D4298" s="5" t="s">
        <v>99</v>
      </c>
      <c r="E4298" s="5" t="s">
        <v>75</v>
      </c>
      <c r="F4298" s="5" t="s">
        <v>40</v>
      </c>
      <c r="G4298" s="6" t="n">
        <v>721</v>
      </c>
      <c r="H4298" s="6" t="n">
        <v>409</v>
      </c>
      <c r="I4298" s="7" t="n">
        <f aca="false">(G4298-H4298)/G4298</f>
        <v>0.432732316227462</v>
      </c>
      <c r="J4298" s="15" t="n">
        <v>0.5027</v>
      </c>
      <c r="K4298" s="11" t="str">
        <f aca="false">IF(I4298&lt;J4298,"TAK","NIE")</f>
        <v>TAK</v>
      </c>
    </row>
    <row r="4299" customFormat="false" ht="15" hidden="false" customHeight="false" outlineLevel="0" collapsed="false">
      <c r="A4299" s="5" t="s">
        <v>858</v>
      </c>
      <c r="B4299" s="5" t="s">
        <v>98</v>
      </c>
      <c r="C4299" s="5" t="n">
        <v>2024</v>
      </c>
      <c r="D4299" s="5" t="s">
        <v>99</v>
      </c>
      <c r="E4299" s="5" t="s">
        <v>75</v>
      </c>
      <c r="F4299" s="5" t="s">
        <v>40</v>
      </c>
      <c r="G4299" s="6" t="n">
        <v>727</v>
      </c>
      <c r="H4299" s="6" t="n">
        <v>70</v>
      </c>
      <c r="I4299" s="7" t="n">
        <f aca="false">(G4299-H4299)/G4299</f>
        <v>0.903713892709766</v>
      </c>
      <c r="J4299" s="15" t="n">
        <v>0.5027</v>
      </c>
      <c r="K4299" s="11" t="str">
        <f aca="false">IF(I4299&lt;J4299,"TAK","NIE")</f>
        <v>NIE</v>
      </c>
    </row>
    <row r="4300" customFormat="false" ht="15" hidden="false" customHeight="false" outlineLevel="0" collapsed="false">
      <c r="A4300" s="5" t="s">
        <v>859</v>
      </c>
      <c r="B4300" s="5" t="s">
        <v>98</v>
      </c>
      <c r="C4300" s="5" t="n">
        <v>2024</v>
      </c>
      <c r="D4300" s="5" t="s">
        <v>99</v>
      </c>
      <c r="E4300" s="5" t="s">
        <v>75</v>
      </c>
      <c r="F4300" s="5" t="s">
        <v>40</v>
      </c>
      <c r="G4300" s="6" t="n">
        <v>721</v>
      </c>
      <c r="H4300" s="6" t="n">
        <v>282</v>
      </c>
      <c r="I4300" s="7" t="n">
        <f aca="false">(G4300-H4300)/G4300</f>
        <v>0.608876560332871</v>
      </c>
      <c r="J4300" s="15" t="n">
        <v>0.5027</v>
      </c>
      <c r="K4300" s="11" t="str">
        <f aca="false">IF(I4300&lt;J4300,"TAK","NIE")</f>
        <v>NIE</v>
      </c>
    </row>
    <row r="4301" customFormat="false" ht="15" hidden="false" customHeight="false" outlineLevel="0" collapsed="false">
      <c r="A4301" s="5" t="s">
        <v>860</v>
      </c>
      <c r="B4301" s="5" t="s">
        <v>98</v>
      </c>
      <c r="C4301" s="5" t="n">
        <v>2024</v>
      </c>
      <c r="D4301" s="5" t="s">
        <v>99</v>
      </c>
      <c r="E4301" s="5" t="s">
        <v>75</v>
      </c>
      <c r="F4301" s="5" t="s">
        <v>40</v>
      </c>
      <c r="G4301" s="6" t="n">
        <v>727</v>
      </c>
      <c r="H4301" s="6" t="n">
        <v>229</v>
      </c>
      <c r="I4301" s="7" t="n">
        <f aca="false">(G4301-H4301)/G4301</f>
        <v>0.685006877579092</v>
      </c>
      <c r="J4301" s="15" t="n">
        <v>0.5027</v>
      </c>
      <c r="K4301" s="11" t="str">
        <f aca="false">IF(I4301&lt;J4301,"TAK","NIE")</f>
        <v>NIE</v>
      </c>
    </row>
    <row r="4302" customFormat="false" ht="15" hidden="false" customHeight="false" outlineLevel="0" collapsed="false">
      <c r="A4302" s="5" t="s">
        <v>861</v>
      </c>
      <c r="B4302" s="5" t="s">
        <v>98</v>
      </c>
      <c r="C4302" s="5" t="n">
        <v>2024</v>
      </c>
      <c r="D4302" s="5" t="s">
        <v>99</v>
      </c>
      <c r="E4302" s="5" t="s">
        <v>75</v>
      </c>
      <c r="F4302" s="5" t="s">
        <v>40</v>
      </c>
      <c r="G4302" s="6" t="n">
        <v>721</v>
      </c>
      <c r="H4302" s="6" t="n">
        <v>220</v>
      </c>
      <c r="I4302" s="7" t="n">
        <f aca="false">(G4302-H4302)/G4302</f>
        <v>0.694868238557559</v>
      </c>
      <c r="J4302" s="15" t="n">
        <v>0.5027</v>
      </c>
      <c r="K4302" s="11" t="str">
        <f aca="false">IF(I4302&lt;J4302,"TAK","NIE")</f>
        <v>NIE</v>
      </c>
    </row>
    <row r="4303" customFormat="false" ht="15" hidden="false" customHeight="false" outlineLevel="0" collapsed="false">
      <c r="A4303" s="5" t="s">
        <v>862</v>
      </c>
      <c r="B4303" s="5" t="s">
        <v>98</v>
      </c>
      <c r="C4303" s="5" t="n">
        <v>2024</v>
      </c>
      <c r="D4303" s="5" t="s">
        <v>99</v>
      </c>
      <c r="E4303" s="5" t="s">
        <v>75</v>
      </c>
      <c r="F4303" s="5" t="s">
        <v>40</v>
      </c>
      <c r="G4303" s="6" t="n">
        <v>721</v>
      </c>
      <c r="H4303" s="6" t="n">
        <v>252</v>
      </c>
      <c r="I4303" s="7" t="n">
        <f aca="false">(G4303-H4303)/G4303</f>
        <v>0.650485436893204</v>
      </c>
      <c r="J4303" s="15" t="n">
        <v>0.5027</v>
      </c>
      <c r="K4303" s="11" t="str">
        <f aca="false">IF(I4303&lt;J4303,"TAK","NIE")</f>
        <v>NIE</v>
      </c>
    </row>
    <row r="4304" customFormat="false" ht="15" hidden="false" customHeight="false" outlineLevel="0" collapsed="false">
      <c r="A4304" s="5" t="s">
        <v>863</v>
      </c>
      <c r="B4304" s="5" t="s">
        <v>98</v>
      </c>
      <c r="C4304" s="5" t="n">
        <v>2024</v>
      </c>
      <c r="D4304" s="5" t="s">
        <v>99</v>
      </c>
      <c r="E4304" s="5" t="s">
        <v>75</v>
      </c>
      <c r="F4304" s="5" t="s">
        <v>40</v>
      </c>
      <c r="G4304" s="6" t="n">
        <v>727</v>
      </c>
      <c r="H4304" s="6" t="n">
        <v>213</v>
      </c>
      <c r="I4304" s="7" t="n">
        <f aca="false">(G4304-H4304)/G4304</f>
        <v>0.707015130674003</v>
      </c>
      <c r="J4304" s="15" t="n">
        <v>0.5027</v>
      </c>
      <c r="K4304" s="11" t="str">
        <f aca="false">IF(I4304&lt;J4304,"TAK","NIE")</f>
        <v>NIE</v>
      </c>
    </row>
    <row r="4305" customFormat="false" ht="15" hidden="false" customHeight="false" outlineLevel="0" collapsed="false">
      <c r="A4305" s="5" t="s">
        <v>864</v>
      </c>
      <c r="B4305" s="5" t="s">
        <v>98</v>
      </c>
      <c r="C4305" s="5" t="n">
        <v>2024</v>
      </c>
      <c r="D4305" s="5" t="s">
        <v>99</v>
      </c>
      <c r="E4305" s="5" t="s">
        <v>75</v>
      </c>
      <c r="F4305" s="5" t="s">
        <v>40</v>
      </c>
      <c r="G4305" s="6" t="n">
        <v>721</v>
      </c>
      <c r="H4305" s="6" t="n">
        <v>196</v>
      </c>
      <c r="I4305" s="7" t="n">
        <f aca="false">(G4305-H4305)/G4305</f>
        <v>0.728155339805825</v>
      </c>
      <c r="J4305" s="15" t="n">
        <v>0.5027</v>
      </c>
      <c r="K4305" s="11" t="str">
        <f aca="false">IF(I4305&lt;J4305,"TAK","NIE")</f>
        <v>NIE</v>
      </c>
    </row>
    <row r="4306" customFormat="false" ht="15" hidden="false" customHeight="false" outlineLevel="0" collapsed="false">
      <c r="A4306" s="5" t="s">
        <v>866</v>
      </c>
      <c r="B4306" s="5" t="s">
        <v>98</v>
      </c>
      <c r="C4306" s="5" t="n">
        <v>2024</v>
      </c>
      <c r="D4306" s="5" t="s">
        <v>99</v>
      </c>
      <c r="E4306" s="5" t="s">
        <v>75</v>
      </c>
      <c r="F4306" s="5" t="s">
        <v>40</v>
      </c>
      <c r="G4306" s="6" t="n">
        <v>727</v>
      </c>
      <c r="H4306" s="6" t="n">
        <v>86</v>
      </c>
      <c r="I4306" s="7" t="n">
        <f aca="false">(G4306-H4306)/G4306</f>
        <v>0.881705639614856</v>
      </c>
      <c r="J4306" s="15" t="n">
        <v>0.5027</v>
      </c>
      <c r="K4306" s="11" t="str">
        <f aca="false">IF(I4306&lt;J4306,"TAK","NIE")</f>
        <v>NIE</v>
      </c>
    </row>
    <row r="4307" customFormat="false" ht="15" hidden="false" customHeight="false" outlineLevel="0" collapsed="false">
      <c r="A4307" s="5" t="s">
        <v>867</v>
      </c>
      <c r="B4307" s="5" t="s">
        <v>98</v>
      </c>
      <c r="C4307" s="5" t="n">
        <v>2024</v>
      </c>
      <c r="D4307" s="5" t="s">
        <v>99</v>
      </c>
      <c r="E4307" s="5" t="s">
        <v>75</v>
      </c>
      <c r="F4307" s="5" t="s">
        <v>40</v>
      </c>
      <c r="G4307" s="6" t="n">
        <v>721</v>
      </c>
      <c r="H4307" s="6" t="n">
        <v>150</v>
      </c>
      <c r="I4307" s="7" t="n">
        <f aca="false">(G4307-H4307)/G4307</f>
        <v>0.791955617198336</v>
      </c>
      <c r="J4307" s="15" t="n">
        <v>0.5027</v>
      </c>
      <c r="K4307" s="11" t="str">
        <f aca="false">IF(I4307&lt;J4307,"TAK","NIE")</f>
        <v>NIE</v>
      </c>
    </row>
    <row r="4308" customFormat="false" ht="15" hidden="false" customHeight="false" outlineLevel="0" collapsed="false">
      <c r="A4308" s="5" t="s">
        <v>868</v>
      </c>
      <c r="B4308" s="5" t="s">
        <v>98</v>
      </c>
      <c r="C4308" s="5" t="n">
        <v>2024</v>
      </c>
      <c r="D4308" s="5" t="s">
        <v>99</v>
      </c>
      <c r="E4308" s="5" t="s">
        <v>75</v>
      </c>
      <c r="F4308" s="5" t="s">
        <v>40</v>
      </c>
      <c r="G4308" s="6" t="n">
        <v>721</v>
      </c>
      <c r="H4308" s="6" t="n">
        <v>153</v>
      </c>
      <c r="I4308" s="7" t="n">
        <f aca="false">(G4308-H4308)/G4308</f>
        <v>0.787794729542302</v>
      </c>
      <c r="J4308" s="15" t="n">
        <v>0.5027</v>
      </c>
      <c r="K4308" s="11" t="str">
        <f aca="false">IF(I4308&lt;J4308,"TAK","NIE")</f>
        <v>NIE</v>
      </c>
    </row>
    <row r="4309" customFormat="false" ht="15" hidden="false" customHeight="false" outlineLevel="0" collapsed="false">
      <c r="A4309" s="5" t="s">
        <v>869</v>
      </c>
      <c r="B4309" s="5" t="s">
        <v>98</v>
      </c>
      <c r="C4309" s="5" t="n">
        <v>2024</v>
      </c>
      <c r="D4309" s="5" t="s">
        <v>99</v>
      </c>
      <c r="E4309" s="5" t="s">
        <v>75</v>
      </c>
      <c r="F4309" s="5" t="s">
        <v>40</v>
      </c>
      <c r="G4309" s="6" t="n">
        <v>721</v>
      </c>
      <c r="H4309" s="6" t="n">
        <v>147</v>
      </c>
      <c r="I4309" s="7" t="n">
        <f aca="false">(G4309-H4309)/G4309</f>
        <v>0.796116504854369</v>
      </c>
      <c r="J4309" s="15" t="n">
        <v>0.5027</v>
      </c>
      <c r="K4309" s="11" t="str">
        <f aca="false">IF(I4309&lt;J4309,"TAK","NIE")</f>
        <v>NIE</v>
      </c>
    </row>
    <row r="4310" customFormat="false" ht="15" hidden="false" customHeight="false" outlineLevel="0" collapsed="false">
      <c r="A4310" s="5" t="s">
        <v>828</v>
      </c>
      <c r="B4310" s="5" t="s">
        <v>98</v>
      </c>
      <c r="C4310" s="5" t="n">
        <v>2024</v>
      </c>
      <c r="D4310" s="5" t="s">
        <v>99</v>
      </c>
      <c r="E4310" s="5" t="s">
        <v>75</v>
      </c>
      <c r="F4310" s="5" t="s">
        <v>40</v>
      </c>
      <c r="G4310" s="6" t="n">
        <v>64</v>
      </c>
      <c r="H4310" s="6" t="n">
        <v>54</v>
      </c>
      <c r="I4310" s="7" t="n">
        <f aca="false">(G4310-H4310)/G4310</f>
        <v>0.15625</v>
      </c>
      <c r="J4310" s="15" t="n">
        <v>0.5027</v>
      </c>
      <c r="K4310" s="11" t="str">
        <f aca="false">IF(I4310&lt;J4310,"TAK","NIE")</f>
        <v>TAK</v>
      </c>
    </row>
    <row r="4311" customFormat="false" ht="15" hidden="false" customHeight="false" outlineLevel="0" collapsed="false">
      <c r="A4311" s="5" t="s">
        <v>870</v>
      </c>
      <c r="B4311" s="5" t="s">
        <v>98</v>
      </c>
      <c r="C4311" s="5" t="n">
        <v>2024</v>
      </c>
      <c r="D4311" s="5" t="s">
        <v>99</v>
      </c>
      <c r="E4311" s="5" t="s">
        <v>75</v>
      </c>
      <c r="F4311" s="5" t="s">
        <v>40</v>
      </c>
      <c r="G4311" s="6" t="n">
        <v>727</v>
      </c>
      <c r="H4311" s="6" t="n">
        <v>229</v>
      </c>
      <c r="I4311" s="7" t="n">
        <f aca="false">(G4311-H4311)/G4311</f>
        <v>0.685006877579092</v>
      </c>
      <c r="J4311" s="15" t="n">
        <v>0.5027</v>
      </c>
      <c r="K4311" s="11" t="str">
        <f aca="false">IF(I4311&lt;J4311,"TAK","NIE")</f>
        <v>NIE</v>
      </c>
    </row>
    <row r="4312" customFormat="false" ht="15" hidden="false" customHeight="false" outlineLevel="0" collapsed="false">
      <c r="A4312" s="5" t="s">
        <v>871</v>
      </c>
      <c r="B4312" s="5" t="s">
        <v>98</v>
      </c>
      <c r="C4312" s="5" t="n">
        <v>2024</v>
      </c>
      <c r="D4312" s="5" t="s">
        <v>99</v>
      </c>
      <c r="E4312" s="5" t="s">
        <v>75</v>
      </c>
      <c r="F4312" s="5" t="s">
        <v>40</v>
      </c>
      <c r="G4312" s="6" t="n">
        <v>727</v>
      </c>
      <c r="H4312" s="6" t="n">
        <v>109</v>
      </c>
      <c r="I4312" s="7" t="n">
        <f aca="false">(G4312-H4312)/G4312</f>
        <v>0.850068775790922</v>
      </c>
      <c r="J4312" s="15" t="n">
        <v>0.5027</v>
      </c>
      <c r="K4312" s="11" t="str">
        <f aca="false">IF(I4312&lt;J4312,"TAK","NIE")</f>
        <v>NIE</v>
      </c>
    </row>
    <row r="4313" customFormat="false" ht="15" hidden="false" customHeight="false" outlineLevel="0" collapsed="false">
      <c r="A4313" s="5" t="s">
        <v>854</v>
      </c>
      <c r="B4313" s="5" t="s">
        <v>100</v>
      </c>
      <c r="C4313" s="5" t="n">
        <v>2024</v>
      </c>
      <c r="D4313" s="5" t="s">
        <v>99</v>
      </c>
      <c r="E4313" s="5" t="s">
        <v>89</v>
      </c>
      <c r="F4313" s="5" t="s">
        <v>39</v>
      </c>
      <c r="G4313" s="6" t="n">
        <v>534</v>
      </c>
      <c r="H4313" s="6" t="n">
        <v>97</v>
      </c>
      <c r="I4313" s="7" t="n">
        <f aca="false">(G4313-H4313)/G4313</f>
        <v>0.818352059925094</v>
      </c>
      <c r="J4313" s="15" t="n">
        <v>0.6065</v>
      </c>
      <c r="K4313" s="11" t="str">
        <f aca="false">IF(I4313&lt;J4313,"TAK","NIE")</f>
        <v>NIE</v>
      </c>
    </row>
    <row r="4314" customFormat="false" ht="15" hidden="false" customHeight="false" outlineLevel="0" collapsed="false">
      <c r="A4314" s="5" t="s">
        <v>837</v>
      </c>
      <c r="B4314" s="5" t="s">
        <v>100</v>
      </c>
      <c r="C4314" s="5" t="n">
        <v>2024</v>
      </c>
      <c r="D4314" s="5" t="s">
        <v>99</v>
      </c>
      <c r="E4314" s="5" t="s">
        <v>89</v>
      </c>
      <c r="F4314" s="5" t="s">
        <v>39</v>
      </c>
      <c r="G4314" s="6" t="n">
        <v>547</v>
      </c>
      <c r="H4314" s="6" t="n">
        <v>16</v>
      </c>
      <c r="I4314" s="7" t="n">
        <f aca="false">(G4314-H4314)/G4314</f>
        <v>0.970749542961609</v>
      </c>
      <c r="J4314" s="15" t="n">
        <v>0.6065</v>
      </c>
      <c r="K4314" s="11" t="str">
        <f aca="false">IF(I4314&lt;J4314,"TAK","NIE")</f>
        <v>NIE</v>
      </c>
    </row>
    <row r="4315" customFormat="false" ht="15" hidden="false" customHeight="false" outlineLevel="0" collapsed="false">
      <c r="A4315" s="5" t="s">
        <v>855</v>
      </c>
      <c r="B4315" s="5" t="s">
        <v>100</v>
      </c>
      <c r="C4315" s="5" t="n">
        <v>2024</v>
      </c>
      <c r="D4315" s="5" t="s">
        <v>99</v>
      </c>
      <c r="E4315" s="5" t="s">
        <v>89</v>
      </c>
      <c r="F4315" s="5" t="s">
        <v>39</v>
      </c>
      <c r="G4315" s="6" t="n">
        <v>534</v>
      </c>
      <c r="H4315" s="6" t="n">
        <v>126</v>
      </c>
      <c r="I4315" s="7" t="n">
        <f aca="false">(G4315-H4315)/G4315</f>
        <v>0.764044943820225</v>
      </c>
      <c r="J4315" s="15" t="n">
        <v>0.6065</v>
      </c>
      <c r="K4315" s="11" t="str">
        <f aca="false">IF(I4315&lt;J4315,"TAK","NIE")</f>
        <v>NIE</v>
      </c>
    </row>
    <row r="4316" customFormat="false" ht="15" hidden="false" customHeight="false" outlineLevel="0" collapsed="false">
      <c r="A4316" s="5" t="s">
        <v>856</v>
      </c>
      <c r="B4316" s="5" t="s">
        <v>100</v>
      </c>
      <c r="C4316" s="5" t="n">
        <v>2024</v>
      </c>
      <c r="D4316" s="5" t="s">
        <v>99</v>
      </c>
      <c r="E4316" s="5" t="s">
        <v>89</v>
      </c>
      <c r="F4316" s="5" t="s">
        <v>39</v>
      </c>
      <c r="G4316" s="6" t="n">
        <v>534</v>
      </c>
      <c r="H4316" s="6" t="n">
        <v>91</v>
      </c>
      <c r="I4316" s="7" t="n">
        <f aca="false">(G4316-H4316)/G4316</f>
        <v>0.829588014981273</v>
      </c>
      <c r="J4316" s="15" t="n">
        <v>0.6065</v>
      </c>
      <c r="K4316" s="11" t="str">
        <f aca="false">IF(I4316&lt;J4316,"TAK","NIE")</f>
        <v>NIE</v>
      </c>
    </row>
    <row r="4317" customFormat="false" ht="15" hidden="false" customHeight="false" outlineLevel="0" collapsed="false">
      <c r="A4317" s="5" t="s">
        <v>857</v>
      </c>
      <c r="B4317" s="5" t="s">
        <v>100</v>
      </c>
      <c r="C4317" s="5" t="n">
        <v>2024</v>
      </c>
      <c r="D4317" s="5" t="s">
        <v>99</v>
      </c>
      <c r="E4317" s="5" t="s">
        <v>89</v>
      </c>
      <c r="F4317" s="5" t="s">
        <v>39</v>
      </c>
      <c r="G4317" s="6" t="n">
        <v>547</v>
      </c>
      <c r="H4317" s="6" t="n">
        <v>254</v>
      </c>
      <c r="I4317" s="7" t="n">
        <f aca="false">(G4317-H4317)/G4317</f>
        <v>0.535648994515539</v>
      </c>
      <c r="J4317" s="15" t="n">
        <v>0.6065</v>
      </c>
      <c r="K4317" s="11" t="str">
        <f aca="false">IF(I4317&lt;J4317,"TAK","NIE")</f>
        <v>TAK</v>
      </c>
    </row>
    <row r="4318" customFormat="false" ht="15" hidden="false" customHeight="false" outlineLevel="0" collapsed="false">
      <c r="A4318" s="5" t="s">
        <v>858</v>
      </c>
      <c r="B4318" s="5" t="s">
        <v>100</v>
      </c>
      <c r="C4318" s="5" t="n">
        <v>2024</v>
      </c>
      <c r="D4318" s="5" t="s">
        <v>99</v>
      </c>
      <c r="E4318" s="5" t="s">
        <v>89</v>
      </c>
      <c r="F4318" s="5" t="s">
        <v>39</v>
      </c>
      <c r="G4318" s="6" t="n">
        <v>547</v>
      </c>
      <c r="H4318" s="6" t="n">
        <v>20</v>
      </c>
      <c r="I4318" s="7" t="n">
        <f aca="false">(G4318-H4318)/G4318</f>
        <v>0.963436928702011</v>
      </c>
      <c r="J4318" s="15" t="n">
        <v>0.6065</v>
      </c>
      <c r="K4318" s="11" t="str">
        <f aca="false">IF(I4318&lt;J4318,"TAK","NIE")</f>
        <v>NIE</v>
      </c>
    </row>
    <row r="4319" customFormat="false" ht="15" hidden="false" customHeight="false" outlineLevel="0" collapsed="false">
      <c r="A4319" s="5" t="s">
        <v>859</v>
      </c>
      <c r="B4319" s="5" t="s">
        <v>100</v>
      </c>
      <c r="C4319" s="5" t="n">
        <v>2024</v>
      </c>
      <c r="D4319" s="5" t="s">
        <v>99</v>
      </c>
      <c r="E4319" s="5" t="s">
        <v>89</v>
      </c>
      <c r="F4319" s="5" t="s">
        <v>39</v>
      </c>
      <c r="G4319" s="6" t="n">
        <v>534</v>
      </c>
      <c r="H4319" s="6" t="n">
        <v>80</v>
      </c>
      <c r="I4319" s="7" t="n">
        <f aca="false">(G4319-H4319)/G4319</f>
        <v>0.850187265917603</v>
      </c>
      <c r="J4319" s="15" t="n">
        <v>0.6065</v>
      </c>
      <c r="K4319" s="11" t="str">
        <f aca="false">IF(I4319&lt;J4319,"TAK","NIE")</f>
        <v>NIE</v>
      </c>
    </row>
    <row r="4320" customFormat="false" ht="15" hidden="false" customHeight="false" outlineLevel="0" collapsed="false">
      <c r="A4320" s="5" t="s">
        <v>860</v>
      </c>
      <c r="B4320" s="5" t="s">
        <v>100</v>
      </c>
      <c r="C4320" s="5" t="n">
        <v>2024</v>
      </c>
      <c r="D4320" s="5" t="s">
        <v>99</v>
      </c>
      <c r="E4320" s="5" t="s">
        <v>89</v>
      </c>
      <c r="F4320" s="5" t="s">
        <v>39</v>
      </c>
      <c r="G4320" s="6" t="n">
        <v>534</v>
      </c>
      <c r="H4320" s="6" t="n">
        <v>157</v>
      </c>
      <c r="I4320" s="7" t="n">
        <f aca="false">(G4320-H4320)/G4320</f>
        <v>0.705992509363296</v>
      </c>
      <c r="J4320" s="15" t="n">
        <v>0.6065</v>
      </c>
      <c r="K4320" s="11" t="str">
        <f aca="false">IF(I4320&lt;J4320,"TAK","NIE")</f>
        <v>NIE</v>
      </c>
    </row>
    <row r="4321" customFormat="false" ht="15" hidden="false" customHeight="false" outlineLevel="0" collapsed="false">
      <c r="A4321" s="5" t="s">
        <v>861</v>
      </c>
      <c r="B4321" s="5" t="s">
        <v>100</v>
      </c>
      <c r="C4321" s="5" t="n">
        <v>2024</v>
      </c>
      <c r="D4321" s="5" t="s">
        <v>99</v>
      </c>
      <c r="E4321" s="5" t="s">
        <v>89</v>
      </c>
      <c r="F4321" s="5" t="s">
        <v>39</v>
      </c>
      <c r="G4321" s="6" t="n">
        <v>547</v>
      </c>
      <c r="H4321" s="6" t="n">
        <v>123</v>
      </c>
      <c r="I4321" s="7" t="n">
        <f aca="false">(G4321-H4321)/G4321</f>
        <v>0.775137111517367</v>
      </c>
      <c r="J4321" s="15" t="n">
        <v>0.6065</v>
      </c>
      <c r="K4321" s="11" t="str">
        <f aca="false">IF(I4321&lt;J4321,"TAK","NIE")</f>
        <v>NIE</v>
      </c>
    </row>
    <row r="4322" customFormat="false" ht="15" hidden="false" customHeight="false" outlineLevel="0" collapsed="false">
      <c r="A4322" s="5" t="s">
        <v>862</v>
      </c>
      <c r="B4322" s="5" t="s">
        <v>100</v>
      </c>
      <c r="C4322" s="5" t="n">
        <v>2024</v>
      </c>
      <c r="D4322" s="5" t="s">
        <v>99</v>
      </c>
      <c r="E4322" s="5" t="s">
        <v>89</v>
      </c>
      <c r="F4322" s="5" t="s">
        <v>39</v>
      </c>
      <c r="G4322" s="6" t="n">
        <v>547</v>
      </c>
      <c r="H4322" s="6" t="n">
        <v>86</v>
      </c>
      <c r="I4322" s="7" t="n">
        <f aca="false">(G4322-H4322)/G4322</f>
        <v>0.842778793418647</v>
      </c>
      <c r="J4322" s="15" t="n">
        <v>0.6065</v>
      </c>
      <c r="K4322" s="11" t="str">
        <f aca="false">IF(I4322&lt;J4322,"TAK","NIE")</f>
        <v>NIE</v>
      </c>
    </row>
    <row r="4323" customFormat="false" ht="15" hidden="false" customHeight="false" outlineLevel="0" collapsed="false">
      <c r="A4323" s="5" t="s">
        <v>864</v>
      </c>
      <c r="B4323" s="5" t="s">
        <v>100</v>
      </c>
      <c r="C4323" s="5" t="n">
        <v>2024</v>
      </c>
      <c r="D4323" s="5" t="s">
        <v>99</v>
      </c>
      <c r="E4323" s="5" t="s">
        <v>89</v>
      </c>
      <c r="F4323" s="5" t="s">
        <v>39</v>
      </c>
      <c r="G4323" s="6" t="n">
        <v>547</v>
      </c>
      <c r="H4323" s="6" t="n">
        <v>67</v>
      </c>
      <c r="I4323" s="7" t="n">
        <f aca="false">(G4323-H4323)/G4323</f>
        <v>0.877513711151737</v>
      </c>
      <c r="J4323" s="15" t="n">
        <v>0.6065</v>
      </c>
      <c r="K4323" s="11" t="str">
        <f aca="false">IF(I4323&lt;J4323,"TAK","NIE")</f>
        <v>NIE</v>
      </c>
    </row>
    <row r="4324" customFormat="false" ht="15" hidden="false" customHeight="false" outlineLevel="0" collapsed="false">
      <c r="A4324" s="5" t="s">
        <v>866</v>
      </c>
      <c r="B4324" s="5" t="s">
        <v>100</v>
      </c>
      <c r="C4324" s="5" t="n">
        <v>2024</v>
      </c>
      <c r="D4324" s="5" t="s">
        <v>99</v>
      </c>
      <c r="E4324" s="5" t="s">
        <v>89</v>
      </c>
      <c r="F4324" s="5" t="s">
        <v>39</v>
      </c>
      <c r="G4324" s="6" t="n">
        <v>547</v>
      </c>
      <c r="H4324" s="6" t="n">
        <v>45</v>
      </c>
      <c r="I4324" s="7" t="n">
        <f aca="false">(G4324-H4324)/G4324</f>
        <v>0.917733089579525</v>
      </c>
      <c r="J4324" s="15" t="n">
        <v>0.6065</v>
      </c>
      <c r="K4324" s="11" t="str">
        <f aca="false">IF(I4324&lt;J4324,"TAK","NIE")</f>
        <v>NIE</v>
      </c>
    </row>
    <row r="4325" customFormat="false" ht="15" hidden="false" customHeight="false" outlineLevel="0" collapsed="false">
      <c r="A4325" s="5" t="s">
        <v>867</v>
      </c>
      <c r="B4325" s="5" t="s">
        <v>100</v>
      </c>
      <c r="C4325" s="5" t="n">
        <v>2024</v>
      </c>
      <c r="D4325" s="5" t="s">
        <v>99</v>
      </c>
      <c r="E4325" s="5" t="s">
        <v>89</v>
      </c>
      <c r="F4325" s="5" t="s">
        <v>39</v>
      </c>
      <c r="G4325" s="6" t="n">
        <v>534</v>
      </c>
      <c r="H4325" s="6" t="n">
        <v>56</v>
      </c>
      <c r="I4325" s="7" t="n">
        <f aca="false">(G4325-H4325)/G4325</f>
        <v>0.895131086142322</v>
      </c>
      <c r="J4325" s="15" t="n">
        <v>0.6065</v>
      </c>
      <c r="K4325" s="11" t="str">
        <f aca="false">IF(I4325&lt;J4325,"TAK","NIE")</f>
        <v>NIE</v>
      </c>
    </row>
    <row r="4326" customFormat="false" ht="15" hidden="false" customHeight="false" outlineLevel="0" collapsed="false">
      <c r="A4326" s="5" t="s">
        <v>868</v>
      </c>
      <c r="B4326" s="5" t="s">
        <v>100</v>
      </c>
      <c r="C4326" s="5" t="n">
        <v>2024</v>
      </c>
      <c r="D4326" s="5" t="s">
        <v>99</v>
      </c>
      <c r="E4326" s="5" t="s">
        <v>89</v>
      </c>
      <c r="F4326" s="5" t="s">
        <v>39</v>
      </c>
      <c r="G4326" s="6" t="n">
        <v>547</v>
      </c>
      <c r="H4326" s="6" t="n">
        <v>62</v>
      </c>
      <c r="I4326" s="7" t="n">
        <f aca="false">(G4326-H4326)/G4326</f>
        <v>0.886654478976234</v>
      </c>
      <c r="J4326" s="15" t="n">
        <v>0.6065</v>
      </c>
      <c r="K4326" s="11" t="str">
        <f aca="false">IF(I4326&lt;J4326,"TAK","NIE")</f>
        <v>NIE</v>
      </c>
    </row>
    <row r="4327" customFormat="false" ht="15" hidden="false" customHeight="false" outlineLevel="0" collapsed="false">
      <c r="A4327" s="5" t="s">
        <v>755</v>
      </c>
      <c r="B4327" s="5" t="s">
        <v>100</v>
      </c>
      <c r="C4327" s="5" t="n">
        <v>2024</v>
      </c>
      <c r="D4327" s="5" t="s">
        <v>99</v>
      </c>
      <c r="E4327" s="5" t="s">
        <v>89</v>
      </c>
      <c r="F4327" s="5" t="s">
        <v>39</v>
      </c>
      <c r="G4327" s="6" t="n">
        <v>534</v>
      </c>
      <c r="H4327" s="6" t="n">
        <v>109</v>
      </c>
      <c r="I4327" s="7" t="n">
        <f aca="false">(G4327-H4327)/G4327</f>
        <v>0.795880149812734</v>
      </c>
      <c r="J4327" s="15" t="n">
        <v>0.6065</v>
      </c>
      <c r="K4327" s="11" t="str">
        <f aca="false">IF(I4327&lt;J4327,"TAK","NIE")</f>
        <v>NIE</v>
      </c>
    </row>
    <row r="4328" customFormat="false" ht="15" hidden="false" customHeight="false" outlineLevel="0" collapsed="false">
      <c r="A4328" s="5" t="s">
        <v>869</v>
      </c>
      <c r="B4328" s="5" t="s">
        <v>100</v>
      </c>
      <c r="C4328" s="5" t="n">
        <v>2024</v>
      </c>
      <c r="D4328" s="5" t="s">
        <v>99</v>
      </c>
      <c r="E4328" s="5" t="s">
        <v>89</v>
      </c>
      <c r="F4328" s="5" t="s">
        <v>39</v>
      </c>
      <c r="G4328" s="6" t="n">
        <v>547</v>
      </c>
      <c r="H4328" s="6" t="n">
        <v>35</v>
      </c>
      <c r="I4328" s="7" t="n">
        <f aca="false">(G4328-H4328)/G4328</f>
        <v>0.936014625228519</v>
      </c>
      <c r="J4328" s="15" t="n">
        <v>0.6065</v>
      </c>
      <c r="K4328" s="11" t="str">
        <f aca="false">IF(I4328&lt;J4328,"TAK","NIE")</f>
        <v>NIE</v>
      </c>
    </row>
    <row r="4329" customFormat="false" ht="15" hidden="false" customHeight="false" outlineLevel="0" collapsed="false">
      <c r="A4329" s="5" t="s">
        <v>828</v>
      </c>
      <c r="B4329" s="5" t="s">
        <v>100</v>
      </c>
      <c r="C4329" s="5" t="n">
        <v>2024</v>
      </c>
      <c r="D4329" s="5" t="s">
        <v>99</v>
      </c>
      <c r="E4329" s="5" t="s">
        <v>89</v>
      </c>
      <c r="F4329" s="5" t="s">
        <v>39</v>
      </c>
      <c r="G4329" s="6" t="n">
        <v>534</v>
      </c>
      <c r="H4329" s="6" t="n">
        <v>73</v>
      </c>
      <c r="I4329" s="7" t="n">
        <f aca="false">(G4329-H4329)/G4329</f>
        <v>0.863295880149813</v>
      </c>
      <c r="J4329" s="15" t="n">
        <v>0.6065</v>
      </c>
      <c r="K4329" s="11" t="str">
        <f aca="false">IF(I4329&lt;J4329,"TAK","NIE")</f>
        <v>NIE</v>
      </c>
    </row>
    <row r="4330" customFormat="false" ht="15" hidden="false" customHeight="false" outlineLevel="0" collapsed="false">
      <c r="A4330" s="5" t="s">
        <v>870</v>
      </c>
      <c r="B4330" s="5" t="s">
        <v>100</v>
      </c>
      <c r="C4330" s="5" t="n">
        <v>2024</v>
      </c>
      <c r="D4330" s="5" t="s">
        <v>99</v>
      </c>
      <c r="E4330" s="5" t="s">
        <v>89</v>
      </c>
      <c r="F4330" s="5" t="s">
        <v>39</v>
      </c>
      <c r="G4330" s="6" t="n">
        <v>534</v>
      </c>
      <c r="H4330" s="6" t="n">
        <v>119</v>
      </c>
      <c r="I4330" s="7" t="n">
        <f aca="false">(G4330-H4330)/G4330</f>
        <v>0.777153558052435</v>
      </c>
      <c r="J4330" s="15" t="n">
        <v>0.6065</v>
      </c>
      <c r="K4330" s="11" t="str">
        <f aca="false">IF(I4330&lt;J4330,"TAK","NIE")</f>
        <v>NIE</v>
      </c>
    </row>
    <row r="4331" customFormat="false" ht="15" hidden="false" customHeight="false" outlineLevel="0" collapsed="false">
      <c r="A4331" s="5" t="s">
        <v>871</v>
      </c>
      <c r="B4331" s="5" t="s">
        <v>100</v>
      </c>
      <c r="C4331" s="5" t="n">
        <v>2024</v>
      </c>
      <c r="D4331" s="5" t="s">
        <v>99</v>
      </c>
      <c r="E4331" s="5" t="s">
        <v>89</v>
      </c>
      <c r="F4331" s="5" t="s">
        <v>39</v>
      </c>
      <c r="G4331" s="6" t="n">
        <v>547</v>
      </c>
      <c r="H4331" s="6" t="n">
        <v>39</v>
      </c>
      <c r="I4331" s="7" t="n">
        <f aca="false">(G4331-H4331)/G4331</f>
        <v>0.928702010968921</v>
      </c>
      <c r="J4331" s="15" t="n">
        <v>0.6065</v>
      </c>
      <c r="K4331" s="11" t="str">
        <f aca="false">IF(I4331&lt;J4331,"TAK","NIE")</f>
        <v>NIE</v>
      </c>
    </row>
    <row r="4332" customFormat="false" ht="15" hidden="false" customHeight="false" outlineLevel="0" collapsed="false">
      <c r="A4332" s="5" t="s">
        <v>854</v>
      </c>
      <c r="B4332" s="5" t="s">
        <v>100</v>
      </c>
      <c r="C4332" s="5" t="n">
        <v>2024</v>
      </c>
      <c r="D4332" s="5" t="s">
        <v>99</v>
      </c>
      <c r="E4332" s="5" t="s">
        <v>89</v>
      </c>
      <c r="F4332" s="5" t="s">
        <v>40</v>
      </c>
      <c r="G4332" s="6" t="n">
        <v>612</v>
      </c>
      <c r="H4332" s="6" t="n">
        <v>203</v>
      </c>
      <c r="I4332" s="7" t="n">
        <f aca="false">(G4332-H4332)/G4332</f>
        <v>0.668300653594771</v>
      </c>
      <c r="J4332" s="15" t="n">
        <v>0.3945</v>
      </c>
      <c r="K4332" s="11" t="str">
        <f aca="false">IF(I4332&lt;J4332,"TAK","NIE")</f>
        <v>NIE</v>
      </c>
    </row>
    <row r="4333" customFormat="false" ht="15" hidden="false" customHeight="false" outlineLevel="0" collapsed="false">
      <c r="A4333" s="5" t="s">
        <v>837</v>
      </c>
      <c r="B4333" s="5" t="s">
        <v>100</v>
      </c>
      <c r="C4333" s="5" t="n">
        <v>2024</v>
      </c>
      <c r="D4333" s="5" t="s">
        <v>99</v>
      </c>
      <c r="E4333" s="5" t="s">
        <v>89</v>
      </c>
      <c r="F4333" s="5" t="s">
        <v>40</v>
      </c>
      <c r="G4333" s="6" t="n">
        <v>624</v>
      </c>
      <c r="H4333" s="6" t="n">
        <v>177</v>
      </c>
      <c r="I4333" s="7" t="n">
        <f aca="false">(G4333-H4333)/G4333</f>
        <v>0.716346153846154</v>
      </c>
      <c r="J4333" s="15" t="n">
        <v>0.3945</v>
      </c>
      <c r="K4333" s="11" t="str">
        <f aca="false">IF(I4333&lt;J4333,"TAK","NIE")</f>
        <v>NIE</v>
      </c>
    </row>
    <row r="4334" customFormat="false" ht="15" hidden="false" customHeight="false" outlineLevel="0" collapsed="false">
      <c r="A4334" s="5" t="s">
        <v>855</v>
      </c>
      <c r="B4334" s="5" t="s">
        <v>100</v>
      </c>
      <c r="C4334" s="5" t="n">
        <v>2024</v>
      </c>
      <c r="D4334" s="5" t="s">
        <v>99</v>
      </c>
      <c r="E4334" s="5" t="s">
        <v>89</v>
      </c>
      <c r="F4334" s="5" t="s">
        <v>40</v>
      </c>
      <c r="G4334" s="6" t="n">
        <v>612</v>
      </c>
      <c r="H4334" s="6" t="n">
        <v>259</v>
      </c>
      <c r="I4334" s="7" t="n">
        <f aca="false">(G4334-H4334)/G4334</f>
        <v>0.576797385620915</v>
      </c>
      <c r="J4334" s="15" t="n">
        <v>0.3945</v>
      </c>
      <c r="K4334" s="11" t="str">
        <f aca="false">IF(I4334&lt;J4334,"TAK","NIE")</f>
        <v>NIE</v>
      </c>
    </row>
    <row r="4335" customFormat="false" ht="15" hidden="false" customHeight="false" outlineLevel="0" collapsed="false">
      <c r="A4335" s="5" t="s">
        <v>856</v>
      </c>
      <c r="B4335" s="5" t="s">
        <v>100</v>
      </c>
      <c r="C4335" s="5" t="n">
        <v>2024</v>
      </c>
      <c r="D4335" s="5" t="s">
        <v>99</v>
      </c>
      <c r="E4335" s="5" t="s">
        <v>89</v>
      </c>
      <c r="F4335" s="5" t="s">
        <v>40</v>
      </c>
      <c r="G4335" s="6" t="n">
        <v>612</v>
      </c>
      <c r="H4335" s="6" t="n">
        <v>275</v>
      </c>
      <c r="I4335" s="7" t="n">
        <f aca="false">(G4335-H4335)/G4335</f>
        <v>0.550653594771242</v>
      </c>
      <c r="J4335" s="15" t="n">
        <v>0.3945</v>
      </c>
      <c r="K4335" s="11" t="str">
        <f aca="false">IF(I4335&lt;J4335,"TAK","NIE")</f>
        <v>NIE</v>
      </c>
    </row>
    <row r="4336" customFormat="false" ht="15" hidden="false" customHeight="false" outlineLevel="0" collapsed="false">
      <c r="A4336" s="5" t="s">
        <v>857</v>
      </c>
      <c r="B4336" s="5" t="s">
        <v>100</v>
      </c>
      <c r="C4336" s="5" t="n">
        <v>2024</v>
      </c>
      <c r="D4336" s="5" t="s">
        <v>99</v>
      </c>
      <c r="E4336" s="5" t="s">
        <v>89</v>
      </c>
      <c r="F4336" s="5" t="s">
        <v>40</v>
      </c>
      <c r="G4336" s="6" t="n">
        <v>620</v>
      </c>
      <c r="H4336" s="6" t="n">
        <v>392</v>
      </c>
      <c r="I4336" s="7" t="n">
        <f aca="false">(G4336-H4336)/G4336</f>
        <v>0.367741935483871</v>
      </c>
      <c r="J4336" s="15" t="n">
        <v>0.3945</v>
      </c>
      <c r="K4336" s="11" t="str">
        <f aca="false">IF(I4336&lt;J4336,"TAK","NIE")</f>
        <v>TAK</v>
      </c>
    </row>
    <row r="4337" customFormat="false" ht="15" hidden="false" customHeight="false" outlineLevel="0" collapsed="false">
      <c r="A4337" s="5" t="s">
        <v>858</v>
      </c>
      <c r="B4337" s="5" t="s">
        <v>100</v>
      </c>
      <c r="C4337" s="5" t="n">
        <v>2024</v>
      </c>
      <c r="D4337" s="5" t="s">
        <v>99</v>
      </c>
      <c r="E4337" s="5" t="s">
        <v>89</v>
      </c>
      <c r="F4337" s="5" t="s">
        <v>40</v>
      </c>
      <c r="G4337" s="6" t="n">
        <v>624</v>
      </c>
      <c r="H4337" s="6" t="n">
        <v>132</v>
      </c>
      <c r="I4337" s="7" t="n">
        <f aca="false">(G4337-H4337)/G4337</f>
        <v>0.788461538461538</v>
      </c>
      <c r="J4337" s="15" t="n">
        <v>0.3945</v>
      </c>
      <c r="K4337" s="11" t="str">
        <f aca="false">IF(I4337&lt;J4337,"TAK","NIE")</f>
        <v>NIE</v>
      </c>
    </row>
    <row r="4338" customFormat="false" ht="15" hidden="false" customHeight="false" outlineLevel="0" collapsed="false">
      <c r="A4338" s="5" t="s">
        <v>859</v>
      </c>
      <c r="B4338" s="5" t="s">
        <v>100</v>
      </c>
      <c r="C4338" s="5" t="n">
        <v>2024</v>
      </c>
      <c r="D4338" s="5" t="s">
        <v>99</v>
      </c>
      <c r="E4338" s="5" t="s">
        <v>89</v>
      </c>
      <c r="F4338" s="5" t="s">
        <v>40</v>
      </c>
      <c r="G4338" s="6" t="n">
        <v>612</v>
      </c>
      <c r="H4338" s="6" t="n">
        <v>201</v>
      </c>
      <c r="I4338" s="7" t="n">
        <f aca="false">(G4338-H4338)/G4338</f>
        <v>0.67156862745098</v>
      </c>
      <c r="J4338" s="15" t="n">
        <v>0.3945</v>
      </c>
      <c r="K4338" s="11" t="str">
        <f aca="false">IF(I4338&lt;J4338,"TAK","NIE")</f>
        <v>NIE</v>
      </c>
    </row>
    <row r="4339" customFormat="false" ht="15" hidden="false" customHeight="false" outlineLevel="0" collapsed="false">
      <c r="A4339" s="5" t="s">
        <v>860</v>
      </c>
      <c r="B4339" s="5" t="s">
        <v>100</v>
      </c>
      <c r="C4339" s="5" t="n">
        <v>2024</v>
      </c>
      <c r="D4339" s="5" t="s">
        <v>99</v>
      </c>
      <c r="E4339" s="5" t="s">
        <v>89</v>
      </c>
      <c r="F4339" s="5" t="s">
        <v>40</v>
      </c>
      <c r="G4339" s="6" t="n">
        <v>612</v>
      </c>
      <c r="H4339" s="6" t="n">
        <v>235</v>
      </c>
      <c r="I4339" s="7" t="n">
        <f aca="false">(G4339-H4339)/G4339</f>
        <v>0.616013071895425</v>
      </c>
      <c r="J4339" s="15" t="n">
        <v>0.3945</v>
      </c>
      <c r="K4339" s="11" t="str">
        <f aca="false">IF(I4339&lt;J4339,"TAK","NIE")</f>
        <v>NIE</v>
      </c>
    </row>
    <row r="4340" customFormat="false" ht="15" hidden="false" customHeight="false" outlineLevel="0" collapsed="false">
      <c r="A4340" s="5" t="s">
        <v>861</v>
      </c>
      <c r="B4340" s="5" t="s">
        <v>100</v>
      </c>
      <c r="C4340" s="5" t="n">
        <v>2024</v>
      </c>
      <c r="D4340" s="5" t="s">
        <v>99</v>
      </c>
      <c r="E4340" s="5" t="s">
        <v>89</v>
      </c>
      <c r="F4340" s="5" t="s">
        <v>40</v>
      </c>
      <c r="G4340" s="6" t="n">
        <v>624</v>
      </c>
      <c r="H4340" s="6" t="n">
        <v>213</v>
      </c>
      <c r="I4340" s="7" t="n">
        <f aca="false">(G4340-H4340)/G4340</f>
        <v>0.658653846153846</v>
      </c>
      <c r="J4340" s="15" t="n">
        <v>0.3945</v>
      </c>
      <c r="K4340" s="11" t="str">
        <f aca="false">IF(I4340&lt;J4340,"TAK","NIE")</f>
        <v>NIE</v>
      </c>
    </row>
    <row r="4341" customFormat="false" ht="15" hidden="false" customHeight="false" outlineLevel="0" collapsed="false">
      <c r="A4341" s="5" t="s">
        <v>862</v>
      </c>
      <c r="B4341" s="5" t="s">
        <v>100</v>
      </c>
      <c r="C4341" s="5" t="n">
        <v>2024</v>
      </c>
      <c r="D4341" s="5" t="s">
        <v>99</v>
      </c>
      <c r="E4341" s="5" t="s">
        <v>89</v>
      </c>
      <c r="F4341" s="5" t="s">
        <v>40</v>
      </c>
      <c r="G4341" s="6" t="n">
        <v>624</v>
      </c>
      <c r="H4341" s="6" t="n">
        <v>216</v>
      </c>
      <c r="I4341" s="7" t="n">
        <f aca="false">(G4341-H4341)/G4341</f>
        <v>0.653846153846154</v>
      </c>
      <c r="J4341" s="15" t="n">
        <v>0.3945</v>
      </c>
      <c r="K4341" s="11" t="str">
        <f aca="false">IF(I4341&lt;J4341,"TAK","NIE")</f>
        <v>NIE</v>
      </c>
    </row>
    <row r="4342" customFormat="false" ht="15" hidden="false" customHeight="false" outlineLevel="0" collapsed="false">
      <c r="A4342" s="5" t="s">
        <v>864</v>
      </c>
      <c r="B4342" s="5" t="s">
        <v>100</v>
      </c>
      <c r="C4342" s="5" t="n">
        <v>2024</v>
      </c>
      <c r="D4342" s="5" t="s">
        <v>99</v>
      </c>
      <c r="E4342" s="5" t="s">
        <v>89</v>
      </c>
      <c r="F4342" s="5" t="s">
        <v>40</v>
      </c>
      <c r="G4342" s="6" t="n">
        <v>624</v>
      </c>
      <c r="H4342" s="6" t="n">
        <v>180</v>
      </c>
      <c r="I4342" s="7" t="n">
        <f aca="false">(G4342-H4342)/G4342</f>
        <v>0.711538461538462</v>
      </c>
      <c r="J4342" s="15" t="n">
        <v>0.3945</v>
      </c>
      <c r="K4342" s="11" t="str">
        <f aca="false">IF(I4342&lt;J4342,"TAK","NIE")</f>
        <v>NIE</v>
      </c>
    </row>
    <row r="4343" customFormat="false" ht="15" hidden="false" customHeight="false" outlineLevel="0" collapsed="false">
      <c r="A4343" s="5" t="s">
        <v>866</v>
      </c>
      <c r="B4343" s="5" t="s">
        <v>100</v>
      </c>
      <c r="C4343" s="5" t="n">
        <v>2024</v>
      </c>
      <c r="D4343" s="5" t="s">
        <v>99</v>
      </c>
      <c r="E4343" s="5" t="s">
        <v>89</v>
      </c>
      <c r="F4343" s="5" t="s">
        <v>40</v>
      </c>
      <c r="G4343" s="6" t="n">
        <v>624</v>
      </c>
      <c r="H4343" s="6" t="n">
        <v>149</v>
      </c>
      <c r="I4343" s="7" t="n">
        <f aca="false">(G4343-H4343)/G4343</f>
        <v>0.761217948717949</v>
      </c>
      <c r="J4343" s="15" t="n">
        <v>0.3945</v>
      </c>
      <c r="K4343" s="11" t="str">
        <f aca="false">IF(I4343&lt;J4343,"TAK","NIE")</f>
        <v>NIE</v>
      </c>
    </row>
    <row r="4344" customFormat="false" ht="15" hidden="false" customHeight="false" outlineLevel="0" collapsed="false">
      <c r="A4344" s="5" t="s">
        <v>867</v>
      </c>
      <c r="B4344" s="5" t="s">
        <v>100</v>
      </c>
      <c r="C4344" s="5" t="n">
        <v>2024</v>
      </c>
      <c r="D4344" s="5" t="s">
        <v>99</v>
      </c>
      <c r="E4344" s="5" t="s">
        <v>89</v>
      </c>
      <c r="F4344" s="5" t="s">
        <v>40</v>
      </c>
      <c r="G4344" s="6" t="n">
        <v>612</v>
      </c>
      <c r="H4344" s="6" t="n">
        <v>154</v>
      </c>
      <c r="I4344" s="7" t="n">
        <f aca="false">(G4344-H4344)/G4344</f>
        <v>0.748366013071895</v>
      </c>
      <c r="J4344" s="15" t="n">
        <v>0.3945</v>
      </c>
      <c r="K4344" s="11" t="str">
        <f aca="false">IF(I4344&lt;J4344,"TAK","NIE")</f>
        <v>NIE</v>
      </c>
    </row>
    <row r="4345" customFormat="false" ht="15" hidden="false" customHeight="false" outlineLevel="0" collapsed="false">
      <c r="A4345" s="5" t="s">
        <v>868</v>
      </c>
      <c r="B4345" s="5" t="s">
        <v>100</v>
      </c>
      <c r="C4345" s="5" t="n">
        <v>2024</v>
      </c>
      <c r="D4345" s="5" t="s">
        <v>99</v>
      </c>
      <c r="E4345" s="5" t="s">
        <v>89</v>
      </c>
      <c r="F4345" s="5" t="s">
        <v>40</v>
      </c>
      <c r="G4345" s="6" t="n">
        <v>624</v>
      </c>
      <c r="H4345" s="6" t="n">
        <v>183</v>
      </c>
      <c r="I4345" s="7" t="n">
        <f aca="false">(G4345-H4345)/G4345</f>
        <v>0.706730769230769</v>
      </c>
      <c r="J4345" s="15" t="n">
        <v>0.3945</v>
      </c>
      <c r="K4345" s="11" t="str">
        <f aca="false">IF(I4345&lt;J4345,"TAK","NIE")</f>
        <v>NIE</v>
      </c>
    </row>
    <row r="4346" customFormat="false" ht="15" hidden="false" customHeight="false" outlineLevel="0" collapsed="false">
      <c r="A4346" s="5" t="s">
        <v>755</v>
      </c>
      <c r="B4346" s="5" t="s">
        <v>100</v>
      </c>
      <c r="C4346" s="5" t="n">
        <v>2024</v>
      </c>
      <c r="D4346" s="5" t="s">
        <v>99</v>
      </c>
      <c r="E4346" s="5" t="s">
        <v>89</v>
      </c>
      <c r="F4346" s="5" t="s">
        <v>40</v>
      </c>
      <c r="G4346" s="6" t="n">
        <v>607</v>
      </c>
      <c r="H4346" s="6" t="n">
        <v>317</v>
      </c>
      <c r="I4346" s="7" t="n">
        <f aca="false">(G4346-H4346)/G4346</f>
        <v>0.477759472817133</v>
      </c>
      <c r="J4346" s="15" t="n">
        <v>0.3945</v>
      </c>
      <c r="K4346" s="11" t="str">
        <f aca="false">IF(I4346&lt;J4346,"TAK","NIE")</f>
        <v>NIE</v>
      </c>
    </row>
    <row r="4347" customFormat="false" ht="15" hidden="false" customHeight="false" outlineLevel="0" collapsed="false">
      <c r="A4347" s="5" t="s">
        <v>869</v>
      </c>
      <c r="B4347" s="5" t="s">
        <v>100</v>
      </c>
      <c r="C4347" s="5" t="n">
        <v>2024</v>
      </c>
      <c r="D4347" s="5" t="s">
        <v>99</v>
      </c>
      <c r="E4347" s="5" t="s">
        <v>89</v>
      </c>
      <c r="F4347" s="5" t="s">
        <v>40</v>
      </c>
      <c r="G4347" s="6" t="n">
        <v>624</v>
      </c>
      <c r="H4347" s="6" t="n">
        <v>154</v>
      </c>
      <c r="I4347" s="7" t="n">
        <f aca="false">(G4347-H4347)/G4347</f>
        <v>0.753205128205128</v>
      </c>
      <c r="J4347" s="15" t="n">
        <v>0.3945</v>
      </c>
      <c r="K4347" s="11" t="str">
        <f aca="false">IF(I4347&lt;J4347,"TAK","NIE")</f>
        <v>NIE</v>
      </c>
    </row>
    <row r="4348" customFormat="false" ht="15" hidden="false" customHeight="false" outlineLevel="0" collapsed="false">
      <c r="A4348" s="5" t="s">
        <v>828</v>
      </c>
      <c r="B4348" s="5" t="s">
        <v>100</v>
      </c>
      <c r="C4348" s="5" t="n">
        <v>2024</v>
      </c>
      <c r="D4348" s="5" t="s">
        <v>99</v>
      </c>
      <c r="E4348" s="5" t="s">
        <v>89</v>
      </c>
      <c r="F4348" s="5" t="s">
        <v>40</v>
      </c>
      <c r="G4348" s="6" t="n">
        <v>612</v>
      </c>
      <c r="H4348" s="6" t="n">
        <v>153</v>
      </c>
      <c r="I4348" s="7" t="n">
        <f aca="false">(G4348-H4348)/G4348</f>
        <v>0.75</v>
      </c>
      <c r="J4348" s="15" t="n">
        <v>0.3945</v>
      </c>
      <c r="K4348" s="11" t="str">
        <f aca="false">IF(I4348&lt;J4348,"TAK","NIE")</f>
        <v>NIE</v>
      </c>
    </row>
    <row r="4349" customFormat="false" ht="15" hidden="false" customHeight="false" outlineLevel="0" collapsed="false">
      <c r="A4349" s="5" t="s">
        <v>870</v>
      </c>
      <c r="B4349" s="5" t="s">
        <v>100</v>
      </c>
      <c r="C4349" s="5" t="n">
        <v>2024</v>
      </c>
      <c r="D4349" s="5" t="s">
        <v>99</v>
      </c>
      <c r="E4349" s="5" t="s">
        <v>89</v>
      </c>
      <c r="F4349" s="5" t="s">
        <v>40</v>
      </c>
      <c r="G4349" s="6" t="n">
        <v>612</v>
      </c>
      <c r="H4349" s="6" t="n">
        <v>258</v>
      </c>
      <c r="I4349" s="7" t="n">
        <f aca="false">(G4349-H4349)/G4349</f>
        <v>0.57843137254902</v>
      </c>
      <c r="J4349" s="15" t="n">
        <v>0.3945</v>
      </c>
      <c r="K4349" s="11" t="str">
        <f aca="false">IF(I4349&lt;J4349,"TAK","NIE")</f>
        <v>NIE</v>
      </c>
    </row>
    <row r="4350" customFormat="false" ht="15" hidden="false" customHeight="false" outlineLevel="0" collapsed="false">
      <c r="A4350" s="5" t="s">
        <v>871</v>
      </c>
      <c r="B4350" s="5" t="s">
        <v>100</v>
      </c>
      <c r="C4350" s="5" t="n">
        <v>2024</v>
      </c>
      <c r="D4350" s="5" t="s">
        <v>99</v>
      </c>
      <c r="E4350" s="5" t="s">
        <v>89</v>
      </c>
      <c r="F4350" s="5" t="s">
        <v>40</v>
      </c>
      <c r="G4350" s="6" t="n">
        <v>624</v>
      </c>
      <c r="H4350" s="6" t="n">
        <v>223</v>
      </c>
      <c r="I4350" s="7" t="n">
        <f aca="false">(G4350-H4350)/G4350</f>
        <v>0.642628205128205</v>
      </c>
      <c r="J4350" s="15" t="n">
        <v>0.3945</v>
      </c>
      <c r="K4350" s="11" t="str">
        <f aca="false">IF(I4350&lt;J4350,"TAK","NIE")</f>
        <v>NIE</v>
      </c>
    </row>
    <row r="4351" customFormat="false" ht="15" hidden="false" customHeight="false" outlineLevel="0" collapsed="false">
      <c r="A4351" s="5" t="s">
        <v>872</v>
      </c>
      <c r="B4351" s="5" t="s">
        <v>72</v>
      </c>
      <c r="C4351" s="5" t="n">
        <v>2025</v>
      </c>
      <c r="D4351" s="5" t="s">
        <v>44</v>
      </c>
      <c r="E4351" s="5" t="s">
        <v>89</v>
      </c>
      <c r="F4351" s="5" t="s">
        <v>39</v>
      </c>
      <c r="G4351" s="6" t="n">
        <v>448</v>
      </c>
      <c r="H4351" s="6" t="n">
        <v>101</v>
      </c>
      <c r="I4351" s="7" t="n">
        <f aca="false">(G4351-H4351)/G4351</f>
        <v>0.774553571428571</v>
      </c>
      <c r="J4351" s="15" t="n">
        <v>0.3975</v>
      </c>
      <c r="K4351" s="11" t="str">
        <f aca="false">IF(I4351&lt;J4351,"TAK","NIE")</f>
        <v>NIE</v>
      </c>
    </row>
    <row r="4352" customFormat="false" ht="15" hidden="false" customHeight="false" outlineLevel="0" collapsed="false">
      <c r="A4352" s="5" t="s">
        <v>873</v>
      </c>
      <c r="B4352" s="5" t="s">
        <v>72</v>
      </c>
      <c r="C4352" s="5" t="n">
        <v>2025</v>
      </c>
      <c r="D4352" s="5" t="s">
        <v>44</v>
      </c>
      <c r="E4352" s="5" t="s">
        <v>89</v>
      </c>
      <c r="F4352" s="5" t="s">
        <v>39</v>
      </c>
      <c r="G4352" s="6" t="n">
        <v>448</v>
      </c>
      <c r="H4352" s="6" t="n">
        <v>173</v>
      </c>
      <c r="I4352" s="7" t="n">
        <f aca="false">(G4352-H4352)/G4352</f>
        <v>0.613839285714286</v>
      </c>
      <c r="J4352" s="15" t="n">
        <v>0.3975</v>
      </c>
      <c r="K4352" s="11" t="str">
        <f aca="false">IF(I4352&lt;J4352,"TAK","NIE")</f>
        <v>NIE</v>
      </c>
    </row>
    <row r="4353" customFormat="false" ht="15" hidden="false" customHeight="false" outlineLevel="0" collapsed="false">
      <c r="A4353" s="5" t="s">
        <v>874</v>
      </c>
      <c r="B4353" s="5" t="s">
        <v>72</v>
      </c>
      <c r="C4353" s="5" t="n">
        <v>2025</v>
      </c>
      <c r="D4353" s="5" t="s">
        <v>44</v>
      </c>
      <c r="E4353" s="5" t="s">
        <v>89</v>
      </c>
      <c r="F4353" s="5" t="s">
        <v>39</v>
      </c>
      <c r="G4353" s="6" t="n">
        <v>448</v>
      </c>
      <c r="H4353" s="6" t="n">
        <v>116</v>
      </c>
      <c r="I4353" s="7" t="n">
        <f aca="false">(G4353-H4353)/G4353</f>
        <v>0.741071428571429</v>
      </c>
      <c r="J4353" s="15" t="n">
        <v>0.3975</v>
      </c>
      <c r="K4353" s="11" t="str">
        <f aca="false">IF(I4353&lt;J4353,"TAK","NIE")</f>
        <v>NIE</v>
      </c>
    </row>
    <row r="4354" customFormat="false" ht="15" hidden="false" customHeight="false" outlineLevel="0" collapsed="false">
      <c r="A4354" s="5" t="s">
        <v>875</v>
      </c>
      <c r="B4354" s="5" t="s">
        <v>72</v>
      </c>
      <c r="C4354" s="5" t="n">
        <v>2025</v>
      </c>
      <c r="D4354" s="5" t="s">
        <v>44</v>
      </c>
      <c r="E4354" s="5" t="s">
        <v>89</v>
      </c>
      <c r="F4354" s="5" t="s">
        <v>39</v>
      </c>
      <c r="G4354" s="6" t="n">
        <v>446</v>
      </c>
      <c r="H4354" s="6" t="n">
        <v>175</v>
      </c>
      <c r="I4354" s="7" t="n">
        <f aca="false">(G4354-H4354)/G4354</f>
        <v>0.60762331838565</v>
      </c>
      <c r="J4354" s="15" t="n">
        <v>0.3975</v>
      </c>
      <c r="K4354" s="11" t="str">
        <f aca="false">IF(I4354&lt;J4354,"TAK","NIE")</f>
        <v>NIE</v>
      </c>
    </row>
    <row r="4355" customFormat="false" ht="15" hidden="false" customHeight="false" outlineLevel="0" collapsed="false">
      <c r="A4355" s="5" t="s">
        <v>876</v>
      </c>
      <c r="B4355" s="5" t="s">
        <v>72</v>
      </c>
      <c r="C4355" s="5" t="n">
        <v>2025</v>
      </c>
      <c r="D4355" s="5" t="s">
        <v>44</v>
      </c>
      <c r="E4355" s="5" t="s">
        <v>89</v>
      </c>
      <c r="F4355" s="5" t="s">
        <v>39</v>
      </c>
      <c r="G4355" s="6" t="n">
        <v>448</v>
      </c>
      <c r="H4355" s="6" t="n">
        <v>177</v>
      </c>
      <c r="I4355" s="7" t="n">
        <f aca="false">(G4355-H4355)/G4355</f>
        <v>0.604910714285714</v>
      </c>
      <c r="J4355" s="15" t="n">
        <v>0.3975</v>
      </c>
      <c r="K4355" s="11" t="str">
        <f aca="false">IF(I4355&lt;J4355,"TAK","NIE")</f>
        <v>NIE</v>
      </c>
    </row>
    <row r="4356" customFormat="false" ht="15" hidden="false" customHeight="false" outlineLevel="0" collapsed="false">
      <c r="A4356" s="5" t="s">
        <v>877</v>
      </c>
      <c r="B4356" s="5" t="s">
        <v>72</v>
      </c>
      <c r="C4356" s="5" t="n">
        <v>2025</v>
      </c>
      <c r="D4356" s="5" t="s">
        <v>44</v>
      </c>
      <c r="E4356" s="5" t="s">
        <v>89</v>
      </c>
      <c r="F4356" s="5" t="s">
        <v>39</v>
      </c>
      <c r="G4356" s="6" t="n">
        <v>446</v>
      </c>
      <c r="H4356" s="6" t="n">
        <v>154</v>
      </c>
      <c r="I4356" s="7" t="n">
        <f aca="false">(G4356-H4356)/G4356</f>
        <v>0.654708520179372</v>
      </c>
      <c r="J4356" s="15" t="n">
        <v>0.3975</v>
      </c>
      <c r="K4356" s="11" t="str">
        <f aca="false">IF(I4356&lt;J4356,"TAK","NIE")</f>
        <v>NIE</v>
      </c>
    </row>
    <row r="4357" customFormat="false" ht="15" hidden="false" customHeight="false" outlineLevel="0" collapsed="false">
      <c r="A4357" s="5" t="s">
        <v>878</v>
      </c>
      <c r="B4357" s="5" t="s">
        <v>72</v>
      </c>
      <c r="C4357" s="5" t="n">
        <v>2025</v>
      </c>
      <c r="D4357" s="5" t="s">
        <v>44</v>
      </c>
      <c r="E4357" s="5" t="s">
        <v>89</v>
      </c>
      <c r="F4357" s="5" t="s">
        <v>39</v>
      </c>
      <c r="G4357" s="6" t="n">
        <v>446</v>
      </c>
      <c r="H4357" s="6" t="n">
        <v>133</v>
      </c>
      <c r="I4357" s="7" t="n">
        <f aca="false">(G4357-H4357)/G4357</f>
        <v>0.701793721973094</v>
      </c>
      <c r="J4357" s="15" t="n">
        <v>0.3975</v>
      </c>
      <c r="K4357" s="11" t="str">
        <f aca="false">IF(I4357&lt;J4357,"TAK","NIE")</f>
        <v>NIE</v>
      </c>
    </row>
    <row r="4358" customFormat="false" ht="15" hidden="false" customHeight="false" outlineLevel="0" collapsed="false">
      <c r="A4358" s="5" t="s">
        <v>879</v>
      </c>
      <c r="B4358" s="5" t="s">
        <v>72</v>
      </c>
      <c r="C4358" s="5" t="n">
        <v>2025</v>
      </c>
      <c r="D4358" s="5" t="s">
        <v>44</v>
      </c>
      <c r="E4358" s="5" t="s">
        <v>89</v>
      </c>
      <c r="F4358" s="5" t="s">
        <v>39</v>
      </c>
      <c r="G4358" s="6" t="n">
        <v>446</v>
      </c>
      <c r="H4358" s="6" t="n">
        <v>34</v>
      </c>
      <c r="I4358" s="7" t="n">
        <f aca="false">(G4358-H4358)/G4358</f>
        <v>0.923766816143498</v>
      </c>
      <c r="J4358" s="15" t="n">
        <v>0.3975</v>
      </c>
      <c r="K4358" s="11" t="str">
        <f aca="false">IF(I4358&lt;J4358,"TAK","NIE")</f>
        <v>NIE</v>
      </c>
    </row>
    <row r="4359" customFormat="false" ht="15" hidden="false" customHeight="false" outlineLevel="0" collapsed="false">
      <c r="A4359" s="5" t="s">
        <v>880</v>
      </c>
      <c r="B4359" s="5" t="s">
        <v>72</v>
      </c>
      <c r="C4359" s="5" t="n">
        <v>2025</v>
      </c>
      <c r="D4359" s="5" t="s">
        <v>44</v>
      </c>
      <c r="E4359" s="5" t="s">
        <v>89</v>
      </c>
      <c r="F4359" s="5" t="s">
        <v>39</v>
      </c>
      <c r="G4359" s="6" t="n">
        <v>448</v>
      </c>
      <c r="H4359" s="6" t="n">
        <v>252</v>
      </c>
      <c r="I4359" s="7" t="n">
        <f aca="false">(G4359-H4359)/G4359</f>
        <v>0.4375</v>
      </c>
      <c r="J4359" s="15" t="n">
        <v>0.3975</v>
      </c>
      <c r="K4359" s="11" t="str">
        <f aca="false">IF(I4359&lt;J4359,"TAK","NIE")</f>
        <v>NIE</v>
      </c>
    </row>
    <row r="4360" customFormat="false" ht="15" hidden="false" customHeight="false" outlineLevel="0" collapsed="false">
      <c r="A4360" s="5" t="s">
        <v>881</v>
      </c>
      <c r="B4360" s="5" t="s">
        <v>72</v>
      </c>
      <c r="C4360" s="5" t="n">
        <v>2025</v>
      </c>
      <c r="D4360" s="5" t="s">
        <v>44</v>
      </c>
      <c r="E4360" s="5" t="s">
        <v>89</v>
      </c>
      <c r="F4360" s="5" t="s">
        <v>39</v>
      </c>
      <c r="G4360" s="6" t="n">
        <v>446</v>
      </c>
      <c r="H4360" s="6" t="n">
        <v>140</v>
      </c>
      <c r="I4360" s="7" t="n">
        <f aca="false">(G4360-H4360)/G4360</f>
        <v>0.68609865470852</v>
      </c>
      <c r="J4360" s="15" t="n">
        <v>0.3975</v>
      </c>
      <c r="K4360" s="11" t="str">
        <f aca="false">IF(I4360&lt;J4360,"TAK","NIE")</f>
        <v>NIE</v>
      </c>
    </row>
    <row r="4361" customFormat="false" ht="15" hidden="false" customHeight="false" outlineLevel="0" collapsed="false">
      <c r="A4361" s="5" t="s">
        <v>882</v>
      </c>
      <c r="B4361" s="5" t="s">
        <v>72</v>
      </c>
      <c r="C4361" s="5" t="n">
        <v>2025</v>
      </c>
      <c r="D4361" s="5" t="s">
        <v>44</v>
      </c>
      <c r="E4361" s="5" t="s">
        <v>89</v>
      </c>
      <c r="F4361" s="5" t="s">
        <v>39</v>
      </c>
      <c r="G4361" s="6" t="n">
        <v>405</v>
      </c>
      <c r="H4361" s="6" t="n">
        <v>92</v>
      </c>
      <c r="I4361" s="7" t="n">
        <f aca="false">(G4361-H4361)/G4361</f>
        <v>0.77283950617284</v>
      </c>
      <c r="J4361" s="15" t="n">
        <v>0.3975</v>
      </c>
      <c r="K4361" s="11" t="str">
        <f aca="false">IF(I4361&lt;J4361,"TAK","NIE")</f>
        <v>NIE</v>
      </c>
    </row>
    <row r="4362" customFormat="false" ht="15" hidden="false" customHeight="false" outlineLevel="0" collapsed="false">
      <c r="A4362" s="5" t="s">
        <v>883</v>
      </c>
      <c r="B4362" s="5" t="s">
        <v>72</v>
      </c>
      <c r="C4362" s="5" t="n">
        <v>2025</v>
      </c>
      <c r="D4362" s="5" t="s">
        <v>44</v>
      </c>
      <c r="E4362" s="5" t="s">
        <v>89</v>
      </c>
      <c r="F4362" s="5" t="s">
        <v>39</v>
      </c>
      <c r="G4362" s="6" t="n">
        <v>448</v>
      </c>
      <c r="H4362" s="6" t="n">
        <v>163</v>
      </c>
      <c r="I4362" s="7" t="n">
        <f aca="false">(G4362-H4362)/G4362</f>
        <v>0.636160714285714</v>
      </c>
      <c r="J4362" s="15" t="n">
        <v>0.3975</v>
      </c>
      <c r="K4362" s="11" t="str">
        <f aca="false">IF(I4362&lt;J4362,"TAK","NIE")</f>
        <v>NIE</v>
      </c>
    </row>
    <row r="4363" customFormat="false" ht="15" hidden="false" customHeight="false" outlineLevel="0" collapsed="false">
      <c r="A4363" s="5" t="s">
        <v>884</v>
      </c>
      <c r="B4363" s="5" t="s">
        <v>72</v>
      </c>
      <c r="C4363" s="5" t="n">
        <v>2025</v>
      </c>
      <c r="D4363" s="5" t="s">
        <v>44</v>
      </c>
      <c r="E4363" s="5" t="s">
        <v>89</v>
      </c>
      <c r="F4363" s="5" t="s">
        <v>39</v>
      </c>
      <c r="G4363" s="6" t="n">
        <v>446</v>
      </c>
      <c r="H4363" s="6" t="n">
        <v>48</v>
      </c>
      <c r="I4363" s="7" t="n">
        <f aca="false">(G4363-H4363)/G4363</f>
        <v>0.89237668161435</v>
      </c>
      <c r="J4363" s="15" t="n">
        <v>0.3975</v>
      </c>
      <c r="K4363" s="11" t="str">
        <f aca="false">IF(I4363&lt;J4363,"TAK","NIE")</f>
        <v>NIE</v>
      </c>
    </row>
    <row r="4364" customFormat="false" ht="15" hidden="false" customHeight="false" outlineLevel="0" collapsed="false">
      <c r="A4364" s="5" t="s">
        <v>885</v>
      </c>
      <c r="B4364" s="5" t="s">
        <v>72</v>
      </c>
      <c r="C4364" s="5" t="n">
        <v>2025</v>
      </c>
      <c r="D4364" s="5" t="s">
        <v>44</v>
      </c>
      <c r="E4364" s="5" t="s">
        <v>89</v>
      </c>
      <c r="F4364" s="5" t="s">
        <v>39</v>
      </c>
      <c r="G4364" s="6" t="n">
        <v>446</v>
      </c>
      <c r="H4364" s="6" t="n">
        <v>86</v>
      </c>
      <c r="I4364" s="7" t="n">
        <f aca="false">(G4364-H4364)/G4364</f>
        <v>0.807174887892377</v>
      </c>
      <c r="J4364" s="15" t="n">
        <v>0.3975</v>
      </c>
      <c r="K4364" s="11" t="str">
        <f aca="false">IF(I4364&lt;J4364,"TAK","NIE")</f>
        <v>NIE</v>
      </c>
    </row>
    <row r="4365" customFormat="false" ht="15" hidden="false" customHeight="false" outlineLevel="0" collapsed="false">
      <c r="A4365" s="5" t="s">
        <v>886</v>
      </c>
      <c r="B4365" s="5" t="s">
        <v>72</v>
      </c>
      <c r="C4365" s="5" t="n">
        <v>2025</v>
      </c>
      <c r="D4365" s="5" t="s">
        <v>44</v>
      </c>
      <c r="E4365" s="5" t="s">
        <v>89</v>
      </c>
      <c r="F4365" s="5" t="s">
        <v>39</v>
      </c>
      <c r="G4365" s="6" t="n">
        <v>448</v>
      </c>
      <c r="H4365" s="6" t="n">
        <v>128</v>
      </c>
      <c r="I4365" s="7" t="n">
        <f aca="false">(G4365-H4365)/G4365</f>
        <v>0.714285714285714</v>
      </c>
      <c r="J4365" s="15" t="n">
        <v>0.3975</v>
      </c>
      <c r="K4365" s="11" t="str">
        <f aca="false">IF(I4365&lt;J4365,"TAK","NIE")</f>
        <v>NIE</v>
      </c>
    </row>
    <row r="4366" customFormat="false" ht="15" hidden="false" customHeight="false" outlineLevel="0" collapsed="false">
      <c r="A4366" s="5" t="s">
        <v>887</v>
      </c>
      <c r="B4366" s="5" t="s">
        <v>72</v>
      </c>
      <c r="C4366" s="5" t="n">
        <v>2025</v>
      </c>
      <c r="D4366" s="5" t="s">
        <v>44</v>
      </c>
      <c r="E4366" s="5" t="s">
        <v>89</v>
      </c>
      <c r="F4366" s="5" t="s">
        <v>39</v>
      </c>
      <c r="G4366" s="6" t="n">
        <v>448</v>
      </c>
      <c r="H4366" s="6" t="n">
        <v>92</v>
      </c>
      <c r="I4366" s="7" t="n">
        <f aca="false">(G4366-H4366)/G4366</f>
        <v>0.794642857142857</v>
      </c>
      <c r="J4366" s="15" t="n">
        <v>0.3975</v>
      </c>
      <c r="K4366" s="11" t="str">
        <f aca="false">IF(I4366&lt;J4366,"TAK","NIE")</f>
        <v>NIE</v>
      </c>
    </row>
    <row r="4367" customFormat="false" ht="15" hidden="false" customHeight="false" outlineLevel="0" collapsed="false">
      <c r="A4367" s="5" t="s">
        <v>686</v>
      </c>
      <c r="B4367" s="5" t="s">
        <v>72</v>
      </c>
      <c r="C4367" s="5" t="n">
        <v>2025</v>
      </c>
      <c r="D4367" s="5" t="s">
        <v>44</v>
      </c>
      <c r="E4367" s="5" t="s">
        <v>89</v>
      </c>
      <c r="F4367" s="5" t="s">
        <v>39</v>
      </c>
      <c r="G4367" s="6" t="n">
        <v>446</v>
      </c>
      <c r="H4367" s="6" t="n">
        <v>81</v>
      </c>
      <c r="I4367" s="7" t="n">
        <f aca="false">(G4367-H4367)/G4367</f>
        <v>0.818385650224215</v>
      </c>
      <c r="J4367" s="15" t="n">
        <v>0.3975</v>
      </c>
      <c r="K4367" s="11" t="str">
        <f aca="false">IF(I4367&lt;J4367,"TAK","NIE")</f>
        <v>NIE</v>
      </c>
    </row>
    <row r="4368" customFormat="false" ht="15" hidden="false" customHeight="false" outlineLevel="0" collapsed="false">
      <c r="A4368" s="5" t="s">
        <v>888</v>
      </c>
      <c r="B4368" s="5" t="s">
        <v>72</v>
      </c>
      <c r="C4368" s="5" t="n">
        <v>2025</v>
      </c>
      <c r="D4368" s="5" t="s">
        <v>44</v>
      </c>
      <c r="E4368" s="5" t="s">
        <v>89</v>
      </c>
      <c r="F4368" s="5" t="s">
        <v>40</v>
      </c>
      <c r="G4368" s="6" t="n">
        <v>23</v>
      </c>
      <c r="H4368" s="6" t="n">
        <v>17</v>
      </c>
      <c r="I4368" s="7" t="n">
        <f aca="false">(G4368-H4368)/G4368</f>
        <v>0.260869565217391</v>
      </c>
      <c r="J4368" s="15" t="n">
        <v>-0.0173</v>
      </c>
      <c r="K4368" s="11" t="str">
        <f aca="false">IF(I4368&lt;J4368,"TAK","NIE")</f>
        <v>NIE</v>
      </c>
    </row>
    <row r="4369" customFormat="false" ht="15" hidden="false" customHeight="false" outlineLevel="0" collapsed="false">
      <c r="A4369" s="5" t="s">
        <v>872</v>
      </c>
      <c r="B4369" s="5" t="s">
        <v>72</v>
      </c>
      <c r="C4369" s="5" t="n">
        <v>2025</v>
      </c>
      <c r="D4369" s="5" t="s">
        <v>44</v>
      </c>
      <c r="E4369" s="5" t="s">
        <v>89</v>
      </c>
      <c r="F4369" s="5" t="s">
        <v>40</v>
      </c>
      <c r="G4369" s="6" t="n">
        <v>624</v>
      </c>
      <c r="H4369" s="6" t="n">
        <v>275</v>
      </c>
      <c r="I4369" s="7" t="n">
        <f aca="false">(G4369-H4369)/G4369</f>
        <v>0.559294871794872</v>
      </c>
      <c r="J4369" s="15" t="n">
        <v>-0.0173</v>
      </c>
      <c r="K4369" s="11" t="str">
        <f aca="false">IF(I4369&lt;J4369,"TAK","NIE")</f>
        <v>NIE</v>
      </c>
    </row>
    <row r="4370" customFormat="false" ht="15" hidden="false" customHeight="false" outlineLevel="0" collapsed="false">
      <c r="A4370" s="5" t="s">
        <v>873</v>
      </c>
      <c r="B4370" s="5" t="s">
        <v>72</v>
      </c>
      <c r="C4370" s="5" t="n">
        <v>2025</v>
      </c>
      <c r="D4370" s="5" t="s">
        <v>44</v>
      </c>
      <c r="E4370" s="5" t="s">
        <v>89</v>
      </c>
      <c r="F4370" s="5" t="s">
        <v>40</v>
      </c>
      <c r="G4370" s="6" t="n">
        <v>624</v>
      </c>
      <c r="H4370" s="6" t="n">
        <v>403</v>
      </c>
      <c r="I4370" s="7" t="n">
        <f aca="false">(G4370-H4370)/G4370</f>
        <v>0.354166666666667</v>
      </c>
      <c r="J4370" s="15" t="n">
        <v>-0.0173</v>
      </c>
      <c r="K4370" s="11" t="str">
        <f aca="false">IF(I4370&lt;J4370,"TAK","NIE")</f>
        <v>NIE</v>
      </c>
    </row>
    <row r="4371" customFormat="false" ht="15" hidden="false" customHeight="false" outlineLevel="0" collapsed="false">
      <c r="A4371" s="5" t="s">
        <v>874</v>
      </c>
      <c r="B4371" s="5" t="s">
        <v>72</v>
      </c>
      <c r="C4371" s="5" t="n">
        <v>2025</v>
      </c>
      <c r="D4371" s="5" t="s">
        <v>44</v>
      </c>
      <c r="E4371" s="5" t="s">
        <v>89</v>
      </c>
      <c r="F4371" s="5" t="s">
        <v>40</v>
      </c>
      <c r="G4371" s="6" t="n">
        <v>624</v>
      </c>
      <c r="H4371" s="6" t="n">
        <v>249</v>
      </c>
      <c r="I4371" s="7" t="n">
        <f aca="false">(G4371-H4371)/G4371</f>
        <v>0.600961538461538</v>
      </c>
      <c r="J4371" s="15" t="n">
        <v>-0.0173</v>
      </c>
      <c r="K4371" s="11" t="str">
        <f aca="false">IF(I4371&lt;J4371,"TAK","NIE")</f>
        <v>NIE</v>
      </c>
    </row>
    <row r="4372" customFormat="false" ht="15" hidden="false" customHeight="false" outlineLevel="0" collapsed="false">
      <c r="A4372" s="5" t="s">
        <v>875</v>
      </c>
      <c r="B4372" s="5" t="s">
        <v>72</v>
      </c>
      <c r="C4372" s="5" t="n">
        <v>2025</v>
      </c>
      <c r="D4372" s="5" t="s">
        <v>44</v>
      </c>
      <c r="E4372" s="5" t="s">
        <v>89</v>
      </c>
      <c r="F4372" s="5" t="s">
        <v>40</v>
      </c>
      <c r="G4372" s="6" t="n">
        <v>627</v>
      </c>
      <c r="H4372" s="6" t="n">
        <v>484</v>
      </c>
      <c r="I4372" s="7" t="n">
        <f aca="false">(G4372-H4372)/G4372</f>
        <v>0.228070175438596</v>
      </c>
      <c r="J4372" s="15" t="n">
        <v>-0.0173</v>
      </c>
      <c r="K4372" s="11" t="str">
        <f aca="false">IF(I4372&lt;J4372,"TAK","NIE")</f>
        <v>NIE</v>
      </c>
    </row>
    <row r="4373" customFormat="false" ht="15" hidden="false" customHeight="false" outlineLevel="0" collapsed="false">
      <c r="A4373" s="5" t="s">
        <v>876</v>
      </c>
      <c r="B4373" s="5" t="s">
        <v>72</v>
      </c>
      <c r="C4373" s="5" t="n">
        <v>2025</v>
      </c>
      <c r="D4373" s="5" t="s">
        <v>44</v>
      </c>
      <c r="E4373" s="5" t="s">
        <v>89</v>
      </c>
      <c r="F4373" s="5" t="s">
        <v>40</v>
      </c>
      <c r="G4373" s="6" t="n">
        <v>624</v>
      </c>
      <c r="H4373" s="6" t="n">
        <v>408</v>
      </c>
      <c r="I4373" s="7" t="n">
        <f aca="false">(G4373-H4373)/G4373</f>
        <v>0.346153846153846</v>
      </c>
      <c r="J4373" s="15" t="n">
        <v>-0.0173</v>
      </c>
      <c r="K4373" s="11" t="str">
        <f aca="false">IF(I4373&lt;J4373,"TAK","NIE")</f>
        <v>NIE</v>
      </c>
    </row>
    <row r="4374" customFormat="false" ht="15" hidden="false" customHeight="false" outlineLevel="0" collapsed="false">
      <c r="A4374" s="5" t="s">
        <v>877</v>
      </c>
      <c r="B4374" s="5" t="s">
        <v>72</v>
      </c>
      <c r="C4374" s="5" t="n">
        <v>2025</v>
      </c>
      <c r="D4374" s="5" t="s">
        <v>44</v>
      </c>
      <c r="E4374" s="5" t="s">
        <v>89</v>
      </c>
      <c r="F4374" s="5" t="s">
        <v>40</v>
      </c>
      <c r="G4374" s="6" t="n">
        <v>627</v>
      </c>
      <c r="H4374" s="6" t="n">
        <v>338</v>
      </c>
      <c r="I4374" s="7" t="n">
        <f aca="false">(G4374-H4374)/G4374</f>
        <v>0.460925039872408</v>
      </c>
      <c r="J4374" s="15" t="n">
        <v>-0.0173</v>
      </c>
      <c r="K4374" s="11" t="str">
        <f aca="false">IF(I4374&lt;J4374,"TAK","NIE")</f>
        <v>NIE</v>
      </c>
    </row>
    <row r="4375" customFormat="false" ht="15" hidden="false" customHeight="false" outlineLevel="0" collapsed="false">
      <c r="A4375" s="5" t="s">
        <v>878</v>
      </c>
      <c r="B4375" s="5" t="s">
        <v>72</v>
      </c>
      <c r="C4375" s="5" t="n">
        <v>2025</v>
      </c>
      <c r="D4375" s="5" t="s">
        <v>44</v>
      </c>
      <c r="E4375" s="5" t="s">
        <v>89</v>
      </c>
      <c r="F4375" s="5" t="s">
        <v>40</v>
      </c>
      <c r="G4375" s="6" t="n">
        <v>627</v>
      </c>
      <c r="H4375" s="6" t="n">
        <v>313</v>
      </c>
      <c r="I4375" s="7" t="n">
        <f aca="false">(G4375-H4375)/G4375</f>
        <v>0.500797448165869</v>
      </c>
      <c r="J4375" s="15" t="n">
        <v>-0.0173</v>
      </c>
      <c r="K4375" s="11" t="str">
        <f aca="false">IF(I4375&lt;J4375,"TAK","NIE")</f>
        <v>NIE</v>
      </c>
    </row>
    <row r="4376" customFormat="false" ht="15" hidden="false" customHeight="false" outlineLevel="0" collapsed="false">
      <c r="A4376" s="5" t="s">
        <v>879</v>
      </c>
      <c r="B4376" s="5" t="s">
        <v>72</v>
      </c>
      <c r="C4376" s="5" t="n">
        <v>2025</v>
      </c>
      <c r="D4376" s="5" t="s">
        <v>44</v>
      </c>
      <c r="E4376" s="5" t="s">
        <v>89</v>
      </c>
      <c r="F4376" s="5" t="s">
        <v>40</v>
      </c>
      <c r="G4376" s="6" t="n">
        <v>627</v>
      </c>
      <c r="H4376" s="6" t="n">
        <v>133</v>
      </c>
      <c r="I4376" s="7" t="n">
        <f aca="false">(G4376-H4376)/G4376</f>
        <v>0.787878787878788</v>
      </c>
      <c r="J4376" s="15" t="n">
        <v>-0.0173</v>
      </c>
      <c r="K4376" s="11" t="str">
        <f aca="false">IF(I4376&lt;J4376,"TAK","NIE")</f>
        <v>NIE</v>
      </c>
    </row>
    <row r="4377" customFormat="false" ht="15" hidden="false" customHeight="false" outlineLevel="0" collapsed="false">
      <c r="A4377" s="5" t="s">
        <v>880</v>
      </c>
      <c r="B4377" s="5" t="s">
        <v>72</v>
      </c>
      <c r="C4377" s="5" t="n">
        <v>2025</v>
      </c>
      <c r="D4377" s="5" t="s">
        <v>44</v>
      </c>
      <c r="E4377" s="5" t="s">
        <v>89</v>
      </c>
      <c r="F4377" s="5" t="s">
        <v>40</v>
      </c>
      <c r="G4377" s="6" t="n">
        <v>624</v>
      </c>
      <c r="H4377" s="6" t="n">
        <v>484</v>
      </c>
      <c r="I4377" s="7" t="n">
        <f aca="false">(G4377-H4377)/G4377</f>
        <v>0.224358974358974</v>
      </c>
      <c r="J4377" s="15" t="n">
        <v>-0.0173</v>
      </c>
      <c r="K4377" s="11" t="str">
        <f aca="false">IF(I4377&lt;J4377,"TAK","NIE")</f>
        <v>NIE</v>
      </c>
    </row>
    <row r="4378" customFormat="false" ht="15" hidden="false" customHeight="false" outlineLevel="0" collapsed="false">
      <c r="A4378" s="5" t="s">
        <v>889</v>
      </c>
      <c r="B4378" s="5" t="s">
        <v>72</v>
      </c>
      <c r="C4378" s="5" t="n">
        <v>2025</v>
      </c>
      <c r="D4378" s="5" t="s">
        <v>44</v>
      </c>
      <c r="E4378" s="5" t="s">
        <v>89</v>
      </c>
      <c r="F4378" s="5" t="s">
        <v>40</v>
      </c>
      <c r="G4378" s="6" t="n">
        <v>212</v>
      </c>
      <c r="H4378" s="6" t="n">
        <v>89</v>
      </c>
      <c r="I4378" s="7" t="n">
        <f aca="false">(G4378-H4378)/G4378</f>
        <v>0.580188679245283</v>
      </c>
      <c r="J4378" s="15" t="n">
        <v>-0.0173</v>
      </c>
      <c r="K4378" s="11" t="str">
        <f aca="false">IF(I4378&lt;J4378,"TAK","NIE")</f>
        <v>NIE</v>
      </c>
    </row>
    <row r="4379" customFormat="false" ht="15" hidden="false" customHeight="false" outlineLevel="0" collapsed="false">
      <c r="A4379" s="5" t="s">
        <v>881</v>
      </c>
      <c r="B4379" s="5" t="s">
        <v>72</v>
      </c>
      <c r="C4379" s="5" t="n">
        <v>2025</v>
      </c>
      <c r="D4379" s="5" t="s">
        <v>44</v>
      </c>
      <c r="E4379" s="5" t="s">
        <v>89</v>
      </c>
      <c r="F4379" s="5" t="s">
        <v>40</v>
      </c>
      <c r="G4379" s="6" t="n">
        <v>627</v>
      </c>
      <c r="H4379" s="6" t="n">
        <v>248</v>
      </c>
      <c r="I4379" s="7" t="n">
        <f aca="false">(G4379-H4379)/G4379</f>
        <v>0.604465709728868</v>
      </c>
      <c r="J4379" s="15" t="n">
        <v>-0.0173</v>
      </c>
      <c r="K4379" s="11" t="str">
        <f aca="false">IF(I4379&lt;J4379,"TAK","NIE")</f>
        <v>NIE</v>
      </c>
    </row>
    <row r="4380" customFormat="false" ht="15" hidden="false" customHeight="false" outlineLevel="0" collapsed="false">
      <c r="A4380" s="5" t="s">
        <v>882</v>
      </c>
      <c r="B4380" s="5" t="s">
        <v>72</v>
      </c>
      <c r="C4380" s="5" t="n">
        <v>2025</v>
      </c>
      <c r="D4380" s="5" t="s">
        <v>44</v>
      </c>
      <c r="E4380" s="5" t="s">
        <v>89</v>
      </c>
      <c r="F4380" s="5" t="s">
        <v>40</v>
      </c>
      <c r="G4380" s="6" t="n">
        <v>627</v>
      </c>
      <c r="H4380" s="6" t="n">
        <v>176</v>
      </c>
      <c r="I4380" s="7" t="n">
        <f aca="false">(G4380-H4380)/G4380</f>
        <v>0.719298245614035</v>
      </c>
      <c r="J4380" s="15" t="n">
        <v>-0.0173</v>
      </c>
      <c r="K4380" s="11" t="str">
        <f aca="false">IF(I4380&lt;J4380,"TAK","NIE")</f>
        <v>NIE</v>
      </c>
    </row>
    <row r="4381" customFormat="false" ht="15" hidden="false" customHeight="false" outlineLevel="0" collapsed="false">
      <c r="A4381" s="5" t="s">
        <v>883</v>
      </c>
      <c r="B4381" s="5" t="s">
        <v>72</v>
      </c>
      <c r="C4381" s="5" t="n">
        <v>2025</v>
      </c>
      <c r="D4381" s="5" t="s">
        <v>44</v>
      </c>
      <c r="E4381" s="5" t="s">
        <v>89</v>
      </c>
      <c r="F4381" s="5" t="s">
        <v>40</v>
      </c>
      <c r="G4381" s="6" t="n">
        <v>624</v>
      </c>
      <c r="H4381" s="6" t="n">
        <v>377</v>
      </c>
      <c r="I4381" s="7" t="n">
        <f aca="false">(G4381-H4381)/G4381</f>
        <v>0.395833333333333</v>
      </c>
      <c r="J4381" s="15" t="n">
        <v>-0.0173</v>
      </c>
      <c r="K4381" s="11" t="str">
        <f aca="false">IF(I4381&lt;J4381,"TAK","NIE")</f>
        <v>NIE</v>
      </c>
    </row>
    <row r="4382" customFormat="false" ht="15" hidden="false" customHeight="false" outlineLevel="0" collapsed="false">
      <c r="A4382" s="5" t="s">
        <v>884</v>
      </c>
      <c r="B4382" s="5" t="s">
        <v>72</v>
      </c>
      <c r="C4382" s="5" t="n">
        <v>2025</v>
      </c>
      <c r="D4382" s="5" t="s">
        <v>44</v>
      </c>
      <c r="E4382" s="5" t="s">
        <v>89</v>
      </c>
      <c r="F4382" s="5" t="s">
        <v>40</v>
      </c>
      <c r="G4382" s="6" t="n">
        <v>627</v>
      </c>
      <c r="H4382" s="6" t="n">
        <v>160</v>
      </c>
      <c r="I4382" s="7" t="n">
        <f aca="false">(G4382-H4382)/G4382</f>
        <v>0.74481658692185</v>
      </c>
      <c r="J4382" s="15" t="n">
        <v>-0.0173</v>
      </c>
      <c r="K4382" s="11" t="str">
        <f aca="false">IF(I4382&lt;J4382,"TAK","NIE")</f>
        <v>NIE</v>
      </c>
    </row>
    <row r="4383" customFormat="false" ht="15" hidden="false" customHeight="false" outlineLevel="0" collapsed="false">
      <c r="A4383" s="5" t="s">
        <v>885</v>
      </c>
      <c r="B4383" s="5" t="s">
        <v>72</v>
      </c>
      <c r="C4383" s="5" t="n">
        <v>2025</v>
      </c>
      <c r="D4383" s="5" t="s">
        <v>44</v>
      </c>
      <c r="E4383" s="5" t="s">
        <v>89</v>
      </c>
      <c r="F4383" s="5" t="s">
        <v>40</v>
      </c>
      <c r="G4383" s="6" t="n">
        <v>627</v>
      </c>
      <c r="H4383" s="6" t="n">
        <v>273</v>
      </c>
      <c r="I4383" s="7" t="n">
        <f aca="false">(G4383-H4383)/G4383</f>
        <v>0.564593301435407</v>
      </c>
      <c r="J4383" s="15" t="n">
        <v>-0.0173</v>
      </c>
      <c r="K4383" s="11" t="str">
        <f aca="false">IF(I4383&lt;J4383,"TAK","NIE")</f>
        <v>NIE</v>
      </c>
    </row>
    <row r="4384" customFormat="false" ht="15" hidden="false" customHeight="false" outlineLevel="0" collapsed="false">
      <c r="A4384" s="5" t="s">
        <v>886</v>
      </c>
      <c r="B4384" s="5" t="s">
        <v>72</v>
      </c>
      <c r="C4384" s="5" t="n">
        <v>2025</v>
      </c>
      <c r="D4384" s="5" t="s">
        <v>44</v>
      </c>
      <c r="E4384" s="5" t="s">
        <v>89</v>
      </c>
      <c r="F4384" s="5" t="s">
        <v>40</v>
      </c>
      <c r="G4384" s="6" t="n">
        <v>624</v>
      </c>
      <c r="H4384" s="6" t="n">
        <v>211</v>
      </c>
      <c r="I4384" s="7" t="n">
        <f aca="false">(G4384-H4384)/G4384</f>
        <v>0.661858974358974</v>
      </c>
      <c r="J4384" s="15" t="n">
        <v>-0.0173</v>
      </c>
      <c r="K4384" s="11" t="str">
        <f aca="false">IF(I4384&lt;J4384,"TAK","NIE")</f>
        <v>NIE</v>
      </c>
    </row>
    <row r="4385" customFormat="false" ht="15" hidden="false" customHeight="false" outlineLevel="0" collapsed="false">
      <c r="A4385" s="5" t="s">
        <v>887</v>
      </c>
      <c r="B4385" s="5" t="s">
        <v>72</v>
      </c>
      <c r="C4385" s="5" t="n">
        <v>2025</v>
      </c>
      <c r="D4385" s="5" t="s">
        <v>44</v>
      </c>
      <c r="E4385" s="5" t="s">
        <v>89</v>
      </c>
      <c r="F4385" s="5" t="s">
        <v>40</v>
      </c>
      <c r="G4385" s="6" t="n">
        <v>624</v>
      </c>
      <c r="H4385" s="6" t="n">
        <v>209</v>
      </c>
      <c r="I4385" s="7" t="n">
        <f aca="false">(G4385-H4385)/G4385</f>
        <v>0.665064102564103</v>
      </c>
      <c r="J4385" s="15" t="n">
        <v>-0.0173</v>
      </c>
      <c r="K4385" s="11" t="str">
        <f aca="false">IF(I4385&lt;J4385,"TAK","NIE")</f>
        <v>NIE</v>
      </c>
    </row>
    <row r="4386" customFormat="false" ht="15" hidden="false" customHeight="false" outlineLevel="0" collapsed="false">
      <c r="A4386" s="5" t="s">
        <v>686</v>
      </c>
      <c r="B4386" s="5" t="s">
        <v>72</v>
      </c>
      <c r="C4386" s="5" t="n">
        <v>2025</v>
      </c>
      <c r="D4386" s="5" t="s">
        <v>44</v>
      </c>
      <c r="E4386" s="5" t="s">
        <v>89</v>
      </c>
      <c r="F4386" s="5" t="s">
        <v>40</v>
      </c>
      <c r="G4386" s="6" t="n">
        <v>627</v>
      </c>
      <c r="H4386" s="6" t="n">
        <v>244</v>
      </c>
      <c r="I4386" s="7" t="n">
        <f aca="false">(G4386-H4386)/G4386</f>
        <v>0.610845295055821</v>
      </c>
      <c r="J4386" s="15" t="n">
        <v>-0.0173</v>
      </c>
      <c r="K4386" s="11" t="str">
        <f aca="false">IF(I4386&lt;J4386,"TAK","NIE")</f>
        <v>NIE</v>
      </c>
    </row>
    <row r="4387" customFormat="false" ht="15" hidden="false" customHeight="false" outlineLevel="0" collapsed="false">
      <c r="A4387" s="5" t="s">
        <v>890</v>
      </c>
      <c r="B4387" s="5" t="s">
        <v>96</v>
      </c>
      <c r="C4387" s="5" t="n">
        <v>2025</v>
      </c>
      <c r="D4387" s="5" t="s">
        <v>64</v>
      </c>
      <c r="E4387" s="5" t="s">
        <v>89</v>
      </c>
      <c r="F4387" s="5" t="s">
        <v>39</v>
      </c>
      <c r="G4387" s="6" t="n">
        <v>515</v>
      </c>
      <c r="H4387" s="6" t="n">
        <v>36</v>
      </c>
      <c r="I4387" s="7" t="n">
        <f aca="false">(G4387-H4387)/G4387</f>
        <v>0.930097087378641</v>
      </c>
      <c r="J4387" s="15" t="n">
        <v>0.7209</v>
      </c>
      <c r="K4387" s="11" t="str">
        <f aca="false">IF(I4387&lt;J4387,"TAK","NIE")</f>
        <v>NIE</v>
      </c>
    </row>
    <row r="4388" customFormat="false" ht="15" hidden="false" customHeight="false" outlineLevel="0" collapsed="false">
      <c r="A4388" s="5" t="s">
        <v>891</v>
      </c>
      <c r="B4388" s="5" t="s">
        <v>96</v>
      </c>
      <c r="C4388" s="5" t="n">
        <v>2025</v>
      </c>
      <c r="D4388" s="5" t="s">
        <v>64</v>
      </c>
      <c r="E4388" s="5" t="s">
        <v>89</v>
      </c>
      <c r="F4388" s="5" t="s">
        <v>39</v>
      </c>
      <c r="G4388" s="6" t="n">
        <v>515</v>
      </c>
      <c r="H4388" s="6" t="n">
        <v>28</v>
      </c>
      <c r="I4388" s="7" t="n">
        <f aca="false">(G4388-H4388)/G4388</f>
        <v>0.945631067961165</v>
      </c>
      <c r="J4388" s="15" t="n">
        <v>0.7209</v>
      </c>
      <c r="K4388" s="11" t="str">
        <f aca="false">IF(I4388&lt;J4388,"TAK","NIE")</f>
        <v>NIE</v>
      </c>
    </row>
    <row r="4389" customFormat="false" ht="15" hidden="false" customHeight="false" outlineLevel="0" collapsed="false">
      <c r="A4389" s="5" t="s">
        <v>892</v>
      </c>
      <c r="B4389" s="5" t="s">
        <v>96</v>
      </c>
      <c r="C4389" s="5" t="n">
        <v>2025</v>
      </c>
      <c r="D4389" s="5" t="s">
        <v>64</v>
      </c>
      <c r="E4389" s="5" t="s">
        <v>89</v>
      </c>
      <c r="F4389" s="5" t="s">
        <v>39</v>
      </c>
      <c r="G4389" s="6" t="n">
        <v>229</v>
      </c>
      <c r="H4389" s="6" t="n">
        <v>49</v>
      </c>
      <c r="I4389" s="7" t="n">
        <f aca="false">(G4389-H4389)/G4389</f>
        <v>0.786026200873362</v>
      </c>
      <c r="J4389" s="15" t="n">
        <v>0.7209</v>
      </c>
      <c r="K4389" s="11" t="str">
        <f aca="false">IF(I4389&lt;J4389,"TAK","NIE")</f>
        <v>NIE</v>
      </c>
    </row>
    <row r="4390" customFormat="false" ht="15" hidden="false" customHeight="false" outlineLevel="0" collapsed="false">
      <c r="A4390" s="5" t="s">
        <v>893</v>
      </c>
      <c r="B4390" s="5" t="s">
        <v>96</v>
      </c>
      <c r="C4390" s="5" t="n">
        <v>2025</v>
      </c>
      <c r="D4390" s="5" t="s">
        <v>64</v>
      </c>
      <c r="E4390" s="5" t="s">
        <v>89</v>
      </c>
      <c r="F4390" s="5" t="s">
        <v>39</v>
      </c>
      <c r="G4390" s="6" t="n">
        <v>515</v>
      </c>
      <c r="H4390" s="6" t="n">
        <v>35</v>
      </c>
      <c r="I4390" s="7" t="n">
        <f aca="false">(G4390-H4390)/G4390</f>
        <v>0.932038834951456</v>
      </c>
      <c r="J4390" s="15" t="n">
        <v>0.7209</v>
      </c>
      <c r="K4390" s="11" t="str">
        <f aca="false">IF(I4390&lt;J4390,"TAK","NIE")</f>
        <v>NIE</v>
      </c>
    </row>
    <row r="4391" customFormat="false" ht="15" hidden="false" customHeight="false" outlineLevel="0" collapsed="false">
      <c r="A4391" s="5" t="s">
        <v>894</v>
      </c>
      <c r="B4391" s="5" t="s">
        <v>96</v>
      </c>
      <c r="C4391" s="5" t="n">
        <v>2025</v>
      </c>
      <c r="D4391" s="5" t="s">
        <v>64</v>
      </c>
      <c r="E4391" s="5" t="s">
        <v>89</v>
      </c>
      <c r="F4391" s="5" t="s">
        <v>39</v>
      </c>
      <c r="G4391" s="6" t="n">
        <v>515</v>
      </c>
      <c r="H4391" s="6" t="n">
        <v>49</v>
      </c>
      <c r="I4391" s="7" t="n">
        <f aca="false">(G4391-H4391)/G4391</f>
        <v>0.904854368932039</v>
      </c>
      <c r="J4391" s="15" t="n">
        <v>0.7209</v>
      </c>
      <c r="K4391" s="11" t="str">
        <f aca="false">IF(I4391&lt;J4391,"TAK","NIE")</f>
        <v>NIE</v>
      </c>
    </row>
    <row r="4392" customFormat="false" ht="15" hidden="false" customHeight="false" outlineLevel="0" collapsed="false">
      <c r="A4392" s="5" t="s">
        <v>895</v>
      </c>
      <c r="B4392" s="5" t="s">
        <v>96</v>
      </c>
      <c r="C4392" s="5" t="n">
        <v>2025</v>
      </c>
      <c r="D4392" s="5" t="s">
        <v>64</v>
      </c>
      <c r="E4392" s="5" t="s">
        <v>89</v>
      </c>
      <c r="F4392" s="5" t="s">
        <v>39</v>
      </c>
      <c r="G4392" s="6" t="n">
        <v>515</v>
      </c>
      <c r="H4392" s="6" t="n">
        <v>76</v>
      </c>
      <c r="I4392" s="7" t="n">
        <f aca="false">(G4392-H4392)/G4392</f>
        <v>0.852427184466019</v>
      </c>
      <c r="J4392" s="15" t="n">
        <v>0.7209</v>
      </c>
      <c r="K4392" s="11" t="str">
        <f aca="false">IF(I4392&lt;J4392,"TAK","NIE")</f>
        <v>NIE</v>
      </c>
    </row>
    <row r="4393" customFormat="false" ht="15" hidden="false" customHeight="false" outlineLevel="0" collapsed="false">
      <c r="A4393" s="5" t="s">
        <v>896</v>
      </c>
      <c r="B4393" s="5" t="s">
        <v>96</v>
      </c>
      <c r="C4393" s="5" t="n">
        <v>2025</v>
      </c>
      <c r="D4393" s="5" t="s">
        <v>64</v>
      </c>
      <c r="E4393" s="5" t="s">
        <v>89</v>
      </c>
      <c r="F4393" s="5" t="s">
        <v>39</v>
      </c>
      <c r="G4393" s="6" t="n">
        <v>515</v>
      </c>
      <c r="H4393" s="6" t="n">
        <v>47</v>
      </c>
      <c r="I4393" s="7" t="n">
        <f aca="false">(G4393-H4393)/G4393</f>
        <v>0.90873786407767</v>
      </c>
      <c r="J4393" s="15" t="n">
        <v>0.7209</v>
      </c>
      <c r="K4393" s="11" t="str">
        <f aca="false">IF(I4393&lt;J4393,"TAK","NIE")</f>
        <v>NIE</v>
      </c>
    </row>
    <row r="4394" customFormat="false" ht="15" hidden="false" customHeight="false" outlineLevel="0" collapsed="false">
      <c r="A4394" s="5" t="s">
        <v>897</v>
      </c>
      <c r="B4394" s="5" t="s">
        <v>96</v>
      </c>
      <c r="C4394" s="5" t="n">
        <v>2025</v>
      </c>
      <c r="D4394" s="5" t="s">
        <v>64</v>
      </c>
      <c r="E4394" s="5" t="s">
        <v>89</v>
      </c>
      <c r="F4394" s="5" t="s">
        <v>39</v>
      </c>
      <c r="G4394" s="6" t="n">
        <v>515</v>
      </c>
      <c r="H4394" s="6" t="n">
        <v>31</v>
      </c>
      <c r="I4394" s="7" t="n">
        <f aca="false">(G4394-H4394)/G4394</f>
        <v>0.939805825242719</v>
      </c>
      <c r="J4394" s="15" t="n">
        <v>0.7209</v>
      </c>
      <c r="K4394" s="11" t="str">
        <f aca="false">IF(I4394&lt;J4394,"TAK","NIE")</f>
        <v>NIE</v>
      </c>
    </row>
    <row r="4395" customFormat="false" ht="15" hidden="false" customHeight="false" outlineLevel="0" collapsed="false">
      <c r="A4395" s="5" t="s">
        <v>898</v>
      </c>
      <c r="B4395" s="5" t="s">
        <v>96</v>
      </c>
      <c r="C4395" s="5" t="n">
        <v>2025</v>
      </c>
      <c r="D4395" s="5" t="s">
        <v>64</v>
      </c>
      <c r="E4395" s="5" t="s">
        <v>89</v>
      </c>
      <c r="F4395" s="5" t="s">
        <v>39</v>
      </c>
      <c r="G4395" s="6" t="n">
        <v>515</v>
      </c>
      <c r="H4395" s="6" t="n">
        <v>143</v>
      </c>
      <c r="I4395" s="7" t="n">
        <f aca="false">(G4395-H4395)/G4395</f>
        <v>0.722330097087379</v>
      </c>
      <c r="J4395" s="15" t="n">
        <v>0.7209</v>
      </c>
      <c r="K4395" s="11" t="str">
        <f aca="false">IF(I4395&lt;J4395,"TAK","NIE")</f>
        <v>NIE</v>
      </c>
    </row>
    <row r="4396" customFormat="false" ht="15" hidden="false" customHeight="false" outlineLevel="0" collapsed="false">
      <c r="A4396" s="5" t="s">
        <v>899</v>
      </c>
      <c r="B4396" s="5" t="s">
        <v>96</v>
      </c>
      <c r="C4396" s="5" t="n">
        <v>2025</v>
      </c>
      <c r="D4396" s="5" t="s">
        <v>64</v>
      </c>
      <c r="E4396" s="5" t="s">
        <v>89</v>
      </c>
      <c r="F4396" s="5" t="s">
        <v>39</v>
      </c>
      <c r="G4396" s="6" t="n">
        <v>490</v>
      </c>
      <c r="H4396" s="6" t="n">
        <v>25</v>
      </c>
      <c r="I4396" s="7" t="n">
        <f aca="false">(G4396-H4396)/G4396</f>
        <v>0.948979591836735</v>
      </c>
      <c r="J4396" s="15" t="n">
        <v>0.7209</v>
      </c>
      <c r="K4396" s="11" t="str">
        <f aca="false">IF(I4396&lt;J4396,"TAK","NIE")</f>
        <v>NIE</v>
      </c>
    </row>
    <row r="4397" customFormat="false" ht="15" hidden="false" customHeight="false" outlineLevel="0" collapsed="false">
      <c r="A4397" s="5" t="s">
        <v>900</v>
      </c>
      <c r="B4397" s="5" t="s">
        <v>96</v>
      </c>
      <c r="C4397" s="5" t="n">
        <v>2025</v>
      </c>
      <c r="D4397" s="5" t="s">
        <v>64</v>
      </c>
      <c r="E4397" s="5" t="s">
        <v>89</v>
      </c>
      <c r="F4397" s="5" t="s">
        <v>39</v>
      </c>
      <c r="G4397" s="6" t="n">
        <v>515</v>
      </c>
      <c r="H4397" s="6" t="n">
        <v>77</v>
      </c>
      <c r="I4397" s="7" t="n">
        <f aca="false">(G4397-H4397)/G4397</f>
        <v>0.850485436893204</v>
      </c>
      <c r="J4397" s="15" t="n">
        <v>0.7209</v>
      </c>
      <c r="K4397" s="11" t="str">
        <f aca="false">IF(I4397&lt;J4397,"TAK","NIE")</f>
        <v>NIE</v>
      </c>
    </row>
    <row r="4398" customFormat="false" ht="15" hidden="false" customHeight="false" outlineLevel="0" collapsed="false">
      <c r="A4398" s="5" t="s">
        <v>901</v>
      </c>
      <c r="B4398" s="5" t="s">
        <v>96</v>
      </c>
      <c r="C4398" s="5" t="n">
        <v>2025</v>
      </c>
      <c r="D4398" s="5" t="s">
        <v>64</v>
      </c>
      <c r="E4398" s="5" t="s">
        <v>89</v>
      </c>
      <c r="F4398" s="5" t="s">
        <v>39</v>
      </c>
      <c r="G4398" s="6" t="n">
        <v>515</v>
      </c>
      <c r="H4398" s="6" t="n">
        <v>49</v>
      </c>
      <c r="I4398" s="7" t="n">
        <f aca="false">(G4398-H4398)/G4398</f>
        <v>0.904854368932039</v>
      </c>
      <c r="J4398" s="15" t="n">
        <v>0.7209</v>
      </c>
      <c r="K4398" s="11" t="str">
        <f aca="false">IF(I4398&lt;J4398,"TAK","NIE")</f>
        <v>NIE</v>
      </c>
    </row>
    <row r="4399" customFormat="false" ht="15" hidden="false" customHeight="false" outlineLevel="0" collapsed="false">
      <c r="A4399" s="5" t="s">
        <v>902</v>
      </c>
      <c r="B4399" s="5" t="s">
        <v>96</v>
      </c>
      <c r="C4399" s="5" t="n">
        <v>2025</v>
      </c>
      <c r="D4399" s="5" t="s">
        <v>64</v>
      </c>
      <c r="E4399" s="5" t="s">
        <v>89</v>
      </c>
      <c r="F4399" s="5" t="s">
        <v>39</v>
      </c>
      <c r="G4399" s="6" t="n">
        <v>482</v>
      </c>
      <c r="H4399" s="6" t="n">
        <v>185</v>
      </c>
      <c r="I4399" s="7" t="n">
        <f aca="false">(G4399-H4399)/G4399</f>
        <v>0.616182572614108</v>
      </c>
      <c r="J4399" s="15" t="n">
        <v>0.7209</v>
      </c>
      <c r="K4399" s="11" t="str">
        <f aca="false">IF(I4399&lt;J4399,"TAK","NIE")</f>
        <v>TAK</v>
      </c>
    </row>
    <row r="4400" customFormat="false" ht="15" hidden="false" customHeight="false" outlineLevel="0" collapsed="false">
      <c r="A4400" s="5" t="s">
        <v>903</v>
      </c>
      <c r="B4400" s="5" t="s">
        <v>96</v>
      </c>
      <c r="C4400" s="5" t="n">
        <v>2025</v>
      </c>
      <c r="D4400" s="5" t="s">
        <v>64</v>
      </c>
      <c r="E4400" s="5" t="s">
        <v>89</v>
      </c>
      <c r="F4400" s="5" t="s">
        <v>39</v>
      </c>
      <c r="G4400" s="6" t="n">
        <v>515</v>
      </c>
      <c r="H4400" s="6" t="n">
        <v>30</v>
      </c>
      <c r="I4400" s="7" t="n">
        <f aca="false">(G4400-H4400)/G4400</f>
        <v>0.941747572815534</v>
      </c>
      <c r="J4400" s="15" t="n">
        <v>0.7209</v>
      </c>
      <c r="K4400" s="11" t="str">
        <f aca="false">IF(I4400&lt;J4400,"TAK","NIE")</f>
        <v>NIE</v>
      </c>
    </row>
    <row r="4401" customFormat="false" ht="15" hidden="false" customHeight="false" outlineLevel="0" collapsed="false">
      <c r="A4401" s="5" t="s">
        <v>904</v>
      </c>
      <c r="B4401" s="5" t="s">
        <v>96</v>
      </c>
      <c r="C4401" s="5" t="n">
        <v>2025</v>
      </c>
      <c r="D4401" s="5" t="s">
        <v>64</v>
      </c>
      <c r="E4401" s="5" t="s">
        <v>89</v>
      </c>
      <c r="F4401" s="5" t="s">
        <v>39</v>
      </c>
      <c r="G4401" s="6" t="n">
        <v>515</v>
      </c>
      <c r="H4401" s="6" t="n">
        <v>53</v>
      </c>
      <c r="I4401" s="7" t="n">
        <f aca="false">(G4401-H4401)/G4401</f>
        <v>0.897087378640777</v>
      </c>
      <c r="J4401" s="15" t="n">
        <v>0.7209</v>
      </c>
      <c r="K4401" s="11" t="str">
        <f aca="false">IF(I4401&lt;J4401,"TAK","NIE")</f>
        <v>NIE</v>
      </c>
    </row>
    <row r="4402" customFormat="false" ht="15" hidden="false" customHeight="false" outlineLevel="0" collapsed="false">
      <c r="A4402" s="5" t="s">
        <v>905</v>
      </c>
      <c r="B4402" s="5" t="s">
        <v>96</v>
      </c>
      <c r="C4402" s="5" t="n">
        <v>2025</v>
      </c>
      <c r="D4402" s="5" t="s">
        <v>64</v>
      </c>
      <c r="E4402" s="5" t="s">
        <v>89</v>
      </c>
      <c r="F4402" s="5" t="s">
        <v>39</v>
      </c>
      <c r="G4402" s="6" t="n">
        <v>503</v>
      </c>
      <c r="H4402" s="6" t="n">
        <v>56</v>
      </c>
      <c r="I4402" s="7" t="n">
        <f aca="false">(G4402-H4402)/G4402</f>
        <v>0.888667992047714</v>
      </c>
      <c r="J4402" s="15" t="n">
        <v>0.7209</v>
      </c>
      <c r="K4402" s="11" t="str">
        <f aca="false">IF(I4402&lt;J4402,"TAK","NIE")</f>
        <v>NIE</v>
      </c>
    </row>
    <row r="4403" customFormat="false" ht="15" hidden="false" customHeight="false" outlineLevel="0" collapsed="false">
      <c r="A4403" s="5" t="s">
        <v>906</v>
      </c>
      <c r="B4403" s="5" t="s">
        <v>96</v>
      </c>
      <c r="C4403" s="5" t="n">
        <v>2025</v>
      </c>
      <c r="D4403" s="5" t="s">
        <v>64</v>
      </c>
      <c r="E4403" s="5" t="s">
        <v>89</v>
      </c>
      <c r="F4403" s="5" t="s">
        <v>39</v>
      </c>
      <c r="G4403" s="6" t="n">
        <v>515</v>
      </c>
      <c r="H4403" s="6" t="n">
        <v>81</v>
      </c>
      <c r="I4403" s="7" t="n">
        <f aca="false">(G4403-H4403)/G4403</f>
        <v>0.842718446601942</v>
      </c>
      <c r="J4403" s="15" t="n">
        <v>0.7209</v>
      </c>
      <c r="K4403" s="11" t="str">
        <f aca="false">IF(I4403&lt;J4403,"TAK","NIE")</f>
        <v>NIE</v>
      </c>
    </row>
    <row r="4404" customFormat="false" ht="15" hidden="false" customHeight="false" outlineLevel="0" collapsed="false">
      <c r="A4404" s="5" t="s">
        <v>710</v>
      </c>
      <c r="B4404" s="5" t="s">
        <v>96</v>
      </c>
      <c r="C4404" s="5" t="n">
        <v>2025</v>
      </c>
      <c r="D4404" s="5" t="s">
        <v>64</v>
      </c>
      <c r="E4404" s="5" t="s">
        <v>89</v>
      </c>
      <c r="F4404" s="5" t="s">
        <v>39</v>
      </c>
      <c r="G4404" s="6" t="n">
        <v>515</v>
      </c>
      <c r="H4404" s="6" t="n">
        <v>56</v>
      </c>
      <c r="I4404" s="7" t="n">
        <f aca="false">(G4404-H4404)/G4404</f>
        <v>0.89126213592233</v>
      </c>
      <c r="J4404" s="15" t="n">
        <v>0.7209</v>
      </c>
      <c r="K4404" s="11" t="str">
        <f aca="false">IF(I4404&lt;J4404,"TAK","NIE")</f>
        <v>NIE</v>
      </c>
    </row>
    <row r="4405" customFormat="false" ht="15" hidden="false" customHeight="false" outlineLevel="0" collapsed="false">
      <c r="A4405" s="5" t="s">
        <v>907</v>
      </c>
      <c r="B4405" s="5" t="s">
        <v>96</v>
      </c>
      <c r="C4405" s="5" t="n">
        <v>2025</v>
      </c>
      <c r="D4405" s="5" t="s">
        <v>64</v>
      </c>
      <c r="E4405" s="5" t="s">
        <v>89</v>
      </c>
      <c r="F4405" s="5" t="s">
        <v>39</v>
      </c>
      <c r="G4405" s="6" t="n">
        <v>515</v>
      </c>
      <c r="H4405" s="6" t="n">
        <v>63</v>
      </c>
      <c r="I4405" s="7" t="n">
        <f aca="false">(G4405-H4405)/G4405</f>
        <v>0.877669902912621</v>
      </c>
      <c r="J4405" s="15" t="n">
        <v>0.7209</v>
      </c>
      <c r="K4405" s="11" t="str">
        <f aca="false">IF(I4405&lt;J4405,"TAK","NIE")</f>
        <v>NIE</v>
      </c>
    </row>
    <row r="4406" customFormat="false" ht="15" hidden="false" customHeight="false" outlineLevel="0" collapsed="false">
      <c r="A4406" s="5" t="s">
        <v>908</v>
      </c>
      <c r="B4406" s="5" t="s">
        <v>96</v>
      </c>
      <c r="C4406" s="5" t="n">
        <v>2025</v>
      </c>
      <c r="D4406" s="5" t="s">
        <v>64</v>
      </c>
      <c r="E4406" s="5" t="s">
        <v>89</v>
      </c>
      <c r="F4406" s="5" t="s">
        <v>39</v>
      </c>
      <c r="G4406" s="6" t="n">
        <v>515</v>
      </c>
      <c r="H4406" s="6" t="n">
        <v>23</v>
      </c>
      <c r="I4406" s="7" t="n">
        <f aca="false">(G4406-H4406)/G4406</f>
        <v>0.955339805825243</v>
      </c>
      <c r="J4406" s="15" t="n">
        <v>0.7209</v>
      </c>
      <c r="K4406" s="11" t="str">
        <f aca="false">IF(I4406&lt;J4406,"TAK","NIE")</f>
        <v>NIE</v>
      </c>
    </row>
    <row r="4407" customFormat="false" ht="15" hidden="false" customHeight="false" outlineLevel="0" collapsed="false">
      <c r="A4407" s="5" t="s">
        <v>909</v>
      </c>
      <c r="B4407" s="5" t="s">
        <v>96</v>
      </c>
      <c r="C4407" s="5" t="n">
        <v>2025</v>
      </c>
      <c r="D4407" s="5" t="s">
        <v>64</v>
      </c>
      <c r="E4407" s="5" t="s">
        <v>89</v>
      </c>
      <c r="F4407" s="5" t="s">
        <v>39</v>
      </c>
      <c r="G4407" s="6" t="n">
        <v>515</v>
      </c>
      <c r="H4407" s="6" t="n">
        <v>80</v>
      </c>
      <c r="I4407" s="7" t="n">
        <f aca="false">(G4407-H4407)/G4407</f>
        <v>0.844660194174757</v>
      </c>
      <c r="J4407" s="15" t="n">
        <v>0.7209</v>
      </c>
      <c r="K4407" s="11" t="str">
        <f aca="false">IF(I4407&lt;J4407,"TAK","NIE")</f>
        <v>NIE</v>
      </c>
    </row>
    <row r="4408" customFormat="false" ht="15" hidden="false" customHeight="false" outlineLevel="0" collapsed="false">
      <c r="A4408" s="5" t="s">
        <v>910</v>
      </c>
      <c r="B4408" s="5" t="s">
        <v>96</v>
      </c>
      <c r="C4408" s="5" t="n">
        <v>2025</v>
      </c>
      <c r="D4408" s="5" t="s">
        <v>64</v>
      </c>
      <c r="E4408" s="5" t="s">
        <v>89</v>
      </c>
      <c r="F4408" s="5" t="s">
        <v>39</v>
      </c>
      <c r="G4408" s="6" t="n">
        <v>515</v>
      </c>
      <c r="H4408" s="6" t="n">
        <v>51</v>
      </c>
      <c r="I4408" s="7" t="n">
        <f aca="false">(G4408-H4408)/G4408</f>
        <v>0.900970873786408</v>
      </c>
      <c r="J4408" s="15" t="n">
        <v>0.7209</v>
      </c>
      <c r="K4408" s="11" t="str">
        <f aca="false">IF(I4408&lt;J4408,"TAK","NIE")</f>
        <v>NIE</v>
      </c>
    </row>
    <row r="4409" customFormat="false" ht="15" hidden="false" customHeight="false" outlineLevel="0" collapsed="false">
      <c r="A4409" s="5" t="s">
        <v>911</v>
      </c>
      <c r="B4409" s="5" t="s">
        <v>96</v>
      </c>
      <c r="C4409" s="5" t="n">
        <v>2025</v>
      </c>
      <c r="D4409" s="5" t="s">
        <v>64</v>
      </c>
      <c r="E4409" s="5" t="s">
        <v>89</v>
      </c>
      <c r="F4409" s="5" t="s">
        <v>39</v>
      </c>
      <c r="G4409" s="6" t="n">
        <v>503</v>
      </c>
      <c r="H4409" s="6" t="n">
        <v>200</v>
      </c>
      <c r="I4409" s="7" t="n">
        <f aca="false">(G4409-H4409)/G4409</f>
        <v>0.602385685884692</v>
      </c>
      <c r="J4409" s="15" t="n">
        <v>0.7209</v>
      </c>
      <c r="K4409" s="11" t="str">
        <f aca="false">IF(I4409&lt;J4409,"TAK","NIE")</f>
        <v>TAK</v>
      </c>
    </row>
    <row r="4410" customFormat="false" ht="15" hidden="false" customHeight="false" outlineLevel="0" collapsed="false">
      <c r="A4410" s="5" t="s">
        <v>912</v>
      </c>
      <c r="B4410" s="5" t="s">
        <v>96</v>
      </c>
      <c r="C4410" s="5" t="n">
        <v>2025</v>
      </c>
      <c r="D4410" s="5" t="s">
        <v>64</v>
      </c>
      <c r="E4410" s="5" t="s">
        <v>89</v>
      </c>
      <c r="F4410" s="5" t="s">
        <v>39</v>
      </c>
      <c r="G4410" s="6" t="n">
        <v>515</v>
      </c>
      <c r="H4410" s="6" t="n">
        <v>20</v>
      </c>
      <c r="I4410" s="7" t="n">
        <f aca="false">(G4410-H4410)/G4410</f>
        <v>0.961165048543689</v>
      </c>
      <c r="J4410" s="15" t="n">
        <v>0.7209</v>
      </c>
      <c r="K4410" s="11" t="str">
        <f aca="false">IF(I4410&lt;J4410,"TAK","NIE")</f>
        <v>NIE</v>
      </c>
    </row>
    <row r="4411" customFormat="false" ht="15" hidden="false" customHeight="false" outlineLevel="0" collapsed="false">
      <c r="A4411" s="5" t="s">
        <v>890</v>
      </c>
      <c r="B4411" s="5" t="s">
        <v>96</v>
      </c>
      <c r="C4411" s="5" t="n">
        <v>2025</v>
      </c>
      <c r="D4411" s="5" t="s">
        <v>64</v>
      </c>
      <c r="E4411" s="5" t="s">
        <v>89</v>
      </c>
      <c r="F4411" s="5" t="s">
        <v>40</v>
      </c>
      <c r="G4411" s="6" t="n">
        <v>700</v>
      </c>
      <c r="H4411" s="6" t="n">
        <v>130</v>
      </c>
      <c r="I4411" s="7" t="n">
        <f aca="false">(G4411-H4411)/G4411</f>
        <v>0.814285714285714</v>
      </c>
      <c r="J4411" s="15" t="n">
        <v>0.5604</v>
      </c>
      <c r="K4411" s="11" t="str">
        <f aca="false">IF(I4411&lt;J4411,"TAK","NIE")</f>
        <v>NIE</v>
      </c>
    </row>
    <row r="4412" customFormat="false" ht="15" hidden="false" customHeight="false" outlineLevel="0" collapsed="false">
      <c r="A4412" s="5" t="s">
        <v>891</v>
      </c>
      <c r="B4412" s="5" t="s">
        <v>96</v>
      </c>
      <c r="C4412" s="5" t="n">
        <v>2025</v>
      </c>
      <c r="D4412" s="5" t="s">
        <v>64</v>
      </c>
      <c r="E4412" s="5" t="s">
        <v>89</v>
      </c>
      <c r="F4412" s="5" t="s">
        <v>40</v>
      </c>
      <c r="G4412" s="6" t="n">
        <v>467</v>
      </c>
      <c r="H4412" s="6" t="n">
        <v>76</v>
      </c>
      <c r="I4412" s="7" t="n">
        <f aca="false">(G4412-H4412)/G4412</f>
        <v>0.837259100642398</v>
      </c>
      <c r="J4412" s="15" t="n">
        <v>0.5604</v>
      </c>
      <c r="K4412" s="11" t="str">
        <f aca="false">IF(I4412&lt;J4412,"TAK","NIE")</f>
        <v>NIE</v>
      </c>
    </row>
    <row r="4413" customFormat="false" ht="15" hidden="false" customHeight="false" outlineLevel="0" collapsed="false">
      <c r="A4413" s="5" t="s">
        <v>893</v>
      </c>
      <c r="B4413" s="5" t="s">
        <v>96</v>
      </c>
      <c r="C4413" s="5" t="n">
        <v>2025</v>
      </c>
      <c r="D4413" s="5" t="s">
        <v>64</v>
      </c>
      <c r="E4413" s="5" t="s">
        <v>89</v>
      </c>
      <c r="F4413" s="5" t="s">
        <v>40</v>
      </c>
      <c r="G4413" s="6" t="n">
        <v>700</v>
      </c>
      <c r="H4413" s="6" t="n">
        <v>90</v>
      </c>
      <c r="I4413" s="7" t="n">
        <f aca="false">(G4413-H4413)/G4413</f>
        <v>0.871428571428571</v>
      </c>
      <c r="J4413" s="15" t="n">
        <v>0.5604</v>
      </c>
      <c r="K4413" s="11" t="str">
        <f aca="false">IF(I4413&lt;J4413,"TAK","NIE")</f>
        <v>NIE</v>
      </c>
    </row>
    <row r="4414" customFormat="false" ht="15" hidden="false" customHeight="false" outlineLevel="0" collapsed="false">
      <c r="A4414" s="5" t="s">
        <v>894</v>
      </c>
      <c r="B4414" s="5" t="s">
        <v>96</v>
      </c>
      <c r="C4414" s="5" t="n">
        <v>2025</v>
      </c>
      <c r="D4414" s="5" t="s">
        <v>64</v>
      </c>
      <c r="E4414" s="5" t="s">
        <v>89</v>
      </c>
      <c r="F4414" s="5" t="s">
        <v>40</v>
      </c>
      <c r="G4414" s="6" t="n">
        <v>700</v>
      </c>
      <c r="H4414" s="6" t="n">
        <v>123</v>
      </c>
      <c r="I4414" s="7" t="n">
        <f aca="false">(G4414-H4414)/G4414</f>
        <v>0.824285714285714</v>
      </c>
      <c r="J4414" s="15" t="n">
        <v>0.5604</v>
      </c>
      <c r="K4414" s="11" t="str">
        <f aca="false">IF(I4414&lt;J4414,"TAK","NIE")</f>
        <v>NIE</v>
      </c>
    </row>
    <row r="4415" customFormat="false" ht="15" hidden="false" customHeight="false" outlineLevel="0" collapsed="false">
      <c r="A4415" s="5" t="s">
        <v>895</v>
      </c>
      <c r="B4415" s="5" t="s">
        <v>96</v>
      </c>
      <c r="C4415" s="5" t="n">
        <v>2025</v>
      </c>
      <c r="D4415" s="5" t="s">
        <v>64</v>
      </c>
      <c r="E4415" s="5" t="s">
        <v>89</v>
      </c>
      <c r="F4415" s="5" t="s">
        <v>40</v>
      </c>
      <c r="G4415" s="6" t="n">
        <v>700</v>
      </c>
      <c r="H4415" s="6" t="n">
        <v>185</v>
      </c>
      <c r="I4415" s="7" t="n">
        <f aca="false">(G4415-H4415)/G4415</f>
        <v>0.735714285714286</v>
      </c>
      <c r="J4415" s="15" t="n">
        <v>0.5604</v>
      </c>
      <c r="K4415" s="11" t="str">
        <f aca="false">IF(I4415&lt;J4415,"TAK","NIE")</f>
        <v>NIE</v>
      </c>
    </row>
    <row r="4416" customFormat="false" ht="15" hidden="false" customHeight="false" outlineLevel="0" collapsed="false">
      <c r="A4416" s="5" t="s">
        <v>896</v>
      </c>
      <c r="B4416" s="5" t="s">
        <v>96</v>
      </c>
      <c r="C4416" s="5" t="n">
        <v>2025</v>
      </c>
      <c r="D4416" s="5" t="s">
        <v>64</v>
      </c>
      <c r="E4416" s="5" t="s">
        <v>89</v>
      </c>
      <c r="F4416" s="5" t="s">
        <v>40</v>
      </c>
      <c r="G4416" s="6" t="n">
        <v>700</v>
      </c>
      <c r="H4416" s="6" t="n">
        <v>116</v>
      </c>
      <c r="I4416" s="7" t="n">
        <f aca="false">(G4416-H4416)/G4416</f>
        <v>0.834285714285714</v>
      </c>
      <c r="J4416" s="15" t="n">
        <v>0.5604</v>
      </c>
      <c r="K4416" s="11" t="str">
        <f aca="false">IF(I4416&lt;J4416,"TAK","NIE")</f>
        <v>NIE</v>
      </c>
    </row>
    <row r="4417" customFormat="false" ht="15" hidden="false" customHeight="false" outlineLevel="0" collapsed="false">
      <c r="A4417" s="5" t="s">
        <v>897</v>
      </c>
      <c r="B4417" s="5" t="s">
        <v>96</v>
      </c>
      <c r="C4417" s="5" t="n">
        <v>2025</v>
      </c>
      <c r="D4417" s="5" t="s">
        <v>64</v>
      </c>
      <c r="E4417" s="5" t="s">
        <v>89</v>
      </c>
      <c r="F4417" s="5" t="s">
        <v>40</v>
      </c>
      <c r="G4417" s="6" t="n">
        <v>700</v>
      </c>
      <c r="H4417" s="6" t="n">
        <v>116</v>
      </c>
      <c r="I4417" s="7" t="n">
        <f aca="false">(G4417-H4417)/G4417</f>
        <v>0.834285714285714</v>
      </c>
      <c r="J4417" s="15" t="n">
        <v>0.5604</v>
      </c>
      <c r="K4417" s="11" t="str">
        <f aca="false">IF(I4417&lt;J4417,"TAK","NIE")</f>
        <v>NIE</v>
      </c>
    </row>
    <row r="4418" customFormat="false" ht="15" hidden="false" customHeight="false" outlineLevel="0" collapsed="false">
      <c r="A4418" s="5" t="s">
        <v>898</v>
      </c>
      <c r="B4418" s="5" t="s">
        <v>96</v>
      </c>
      <c r="C4418" s="5" t="n">
        <v>2025</v>
      </c>
      <c r="D4418" s="5" t="s">
        <v>64</v>
      </c>
      <c r="E4418" s="5" t="s">
        <v>89</v>
      </c>
      <c r="F4418" s="5" t="s">
        <v>40</v>
      </c>
      <c r="G4418" s="6" t="n">
        <v>700</v>
      </c>
      <c r="H4418" s="6" t="n">
        <v>214</v>
      </c>
      <c r="I4418" s="7" t="n">
        <f aca="false">(G4418-H4418)/G4418</f>
        <v>0.694285714285714</v>
      </c>
      <c r="J4418" s="15" t="n">
        <v>0.5604</v>
      </c>
      <c r="K4418" s="11" t="str">
        <f aca="false">IF(I4418&lt;J4418,"TAK","NIE")</f>
        <v>NIE</v>
      </c>
    </row>
    <row r="4419" customFormat="false" ht="15" hidden="false" customHeight="false" outlineLevel="0" collapsed="false">
      <c r="A4419" s="5" t="s">
        <v>899</v>
      </c>
      <c r="B4419" s="5" t="s">
        <v>96</v>
      </c>
      <c r="C4419" s="5" t="n">
        <v>2025</v>
      </c>
      <c r="D4419" s="5" t="s">
        <v>64</v>
      </c>
      <c r="E4419" s="5" t="s">
        <v>89</v>
      </c>
      <c r="F4419" s="5" t="s">
        <v>40</v>
      </c>
      <c r="G4419" s="6" t="n">
        <v>661</v>
      </c>
      <c r="H4419" s="6" t="n">
        <v>111</v>
      </c>
      <c r="I4419" s="7" t="n">
        <f aca="false">(G4419-H4419)/G4419</f>
        <v>0.832072617246596</v>
      </c>
      <c r="J4419" s="15" t="n">
        <v>0.5604</v>
      </c>
      <c r="K4419" s="11" t="str">
        <f aca="false">IF(I4419&lt;J4419,"TAK","NIE")</f>
        <v>NIE</v>
      </c>
    </row>
    <row r="4420" customFormat="false" ht="15" hidden="false" customHeight="false" outlineLevel="0" collapsed="false">
      <c r="A4420" s="5" t="s">
        <v>900</v>
      </c>
      <c r="B4420" s="5" t="s">
        <v>96</v>
      </c>
      <c r="C4420" s="5" t="n">
        <v>2025</v>
      </c>
      <c r="D4420" s="5" t="s">
        <v>64</v>
      </c>
      <c r="E4420" s="5" t="s">
        <v>89</v>
      </c>
      <c r="F4420" s="5" t="s">
        <v>40</v>
      </c>
      <c r="G4420" s="6" t="n">
        <v>700</v>
      </c>
      <c r="H4420" s="6" t="n">
        <v>199</v>
      </c>
      <c r="I4420" s="7" t="n">
        <f aca="false">(G4420-H4420)/G4420</f>
        <v>0.715714285714286</v>
      </c>
      <c r="J4420" s="15" t="n">
        <v>0.5604</v>
      </c>
      <c r="K4420" s="11" t="str">
        <f aca="false">IF(I4420&lt;J4420,"TAK","NIE")</f>
        <v>NIE</v>
      </c>
    </row>
    <row r="4421" customFormat="false" ht="15" hidden="false" customHeight="false" outlineLevel="0" collapsed="false">
      <c r="A4421" s="5" t="s">
        <v>901</v>
      </c>
      <c r="B4421" s="5" t="s">
        <v>96</v>
      </c>
      <c r="C4421" s="5" t="n">
        <v>2025</v>
      </c>
      <c r="D4421" s="5" t="s">
        <v>64</v>
      </c>
      <c r="E4421" s="5" t="s">
        <v>89</v>
      </c>
      <c r="F4421" s="5" t="s">
        <v>40</v>
      </c>
      <c r="G4421" s="6" t="n">
        <v>700</v>
      </c>
      <c r="H4421" s="6" t="n">
        <v>170</v>
      </c>
      <c r="I4421" s="7" t="n">
        <f aca="false">(G4421-H4421)/G4421</f>
        <v>0.757142857142857</v>
      </c>
      <c r="J4421" s="15" t="n">
        <v>0.5604</v>
      </c>
      <c r="K4421" s="11" t="str">
        <f aca="false">IF(I4421&lt;J4421,"TAK","NIE")</f>
        <v>NIE</v>
      </c>
    </row>
    <row r="4422" customFormat="false" ht="15" hidden="false" customHeight="false" outlineLevel="0" collapsed="false">
      <c r="A4422" s="5" t="s">
        <v>902</v>
      </c>
      <c r="B4422" s="5" t="s">
        <v>96</v>
      </c>
      <c r="C4422" s="5" t="n">
        <v>2025</v>
      </c>
      <c r="D4422" s="5" t="s">
        <v>64</v>
      </c>
      <c r="E4422" s="5" t="s">
        <v>89</v>
      </c>
      <c r="F4422" s="5" t="s">
        <v>40</v>
      </c>
      <c r="G4422" s="6" t="n">
        <v>633</v>
      </c>
      <c r="H4422" s="6" t="n">
        <v>217</v>
      </c>
      <c r="I4422" s="7" t="n">
        <f aca="false">(G4422-H4422)/G4422</f>
        <v>0.657187993680885</v>
      </c>
      <c r="J4422" s="15" t="n">
        <v>0.5604</v>
      </c>
      <c r="K4422" s="11" t="str">
        <f aca="false">IF(I4422&lt;J4422,"TAK","NIE")</f>
        <v>NIE</v>
      </c>
    </row>
    <row r="4423" customFormat="false" ht="15" hidden="false" customHeight="false" outlineLevel="0" collapsed="false">
      <c r="A4423" s="5" t="s">
        <v>903</v>
      </c>
      <c r="B4423" s="5" t="s">
        <v>96</v>
      </c>
      <c r="C4423" s="5" t="n">
        <v>2025</v>
      </c>
      <c r="D4423" s="5" t="s">
        <v>64</v>
      </c>
      <c r="E4423" s="5" t="s">
        <v>89</v>
      </c>
      <c r="F4423" s="5" t="s">
        <v>40</v>
      </c>
      <c r="G4423" s="6" t="n">
        <v>700</v>
      </c>
      <c r="H4423" s="6" t="n">
        <v>104</v>
      </c>
      <c r="I4423" s="7" t="n">
        <f aca="false">(G4423-H4423)/G4423</f>
        <v>0.851428571428571</v>
      </c>
      <c r="J4423" s="15" t="n">
        <v>0.5604</v>
      </c>
      <c r="K4423" s="11" t="str">
        <f aca="false">IF(I4423&lt;J4423,"TAK","NIE")</f>
        <v>NIE</v>
      </c>
    </row>
    <row r="4424" customFormat="false" ht="15" hidden="false" customHeight="false" outlineLevel="0" collapsed="false">
      <c r="A4424" s="5" t="s">
        <v>904</v>
      </c>
      <c r="B4424" s="5" t="s">
        <v>96</v>
      </c>
      <c r="C4424" s="5" t="n">
        <v>2025</v>
      </c>
      <c r="D4424" s="5" t="s">
        <v>64</v>
      </c>
      <c r="E4424" s="5" t="s">
        <v>89</v>
      </c>
      <c r="F4424" s="5" t="s">
        <v>40</v>
      </c>
      <c r="G4424" s="6" t="n">
        <v>700</v>
      </c>
      <c r="H4424" s="6" t="n">
        <v>188</v>
      </c>
      <c r="I4424" s="7" t="n">
        <f aca="false">(G4424-H4424)/G4424</f>
        <v>0.731428571428571</v>
      </c>
      <c r="J4424" s="15" t="n">
        <v>0.5604</v>
      </c>
      <c r="K4424" s="11" t="str">
        <f aca="false">IF(I4424&lt;J4424,"TAK","NIE")</f>
        <v>NIE</v>
      </c>
    </row>
    <row r="4425" customFormat="false" ht="15" hidden="false" customHeight="false" outlineLevel="0" collapsed="false">
      <c r="A4425" s="5" t="s">
        <v>905</v>
      </c>
      <c r="B4425" s="5" t="s">
        <v>96</v>
      </c>
      <c r="C4425" s="5" t="n">
        <v>2025</v>
      </c>
      <c r="D4425" s="5" t="s">
        <v>64</v>
      </c>
      <c r="E4425" s="5" t="s">
        <v>89</v>
      </c>
      <c r="F4425" s="5" t="s">
        <v>40</v>
      </c>
      <c r="G4425" s="6" t="n">
        <v>680</v>
      </c>
      <c r="H4425" s="6" t="n">
        <v>158</v>
      </c>
      <c r="I4425" s="7" t="n">
        <f aca="false">(G4425-H4425)/G4425</f>
        <v>0.76764705882353</v>
      </c>
      <c r="J4425" s="15" t="n">
        <v>0.5604</v>
      </c>
      <c r="K4425" s="11" t="str">
        <f aca="false">IF(I4425&lt;J4425,"TAK","NIE")</f>
        <v>NIE</v>
      </c>
    </row>
    <row r="4426" customFormat="false" ht="15" hidden="false" customHeight="false" outlineLevel="0" collapsed="false">
      <c r="A4426" s="5" t="s">
        <v>906</v>
      </c>
      <c r="B4426" s="5" t="s">
        <v>96</v>
      </c>
      <c r="C4426" s="5" t="n">
        <v>2025</v>
      </c>
      <c r="D4426" s="5" t="s">
        <v>64</v>
      </c>
      <c r="E4426" s="5" t="s">
        <v>89</v>
      </c>
      <c r="F4426" s="5" t="s">
        <v>40</v>
      </c>
      <c r="G4426" s="6" t="n">
        <v>700</v>
      </c>
      <c r="H4426" s="6" t="n">
        <v>214</v>
      </c>
      <c r="I4426" s="7" t="n">
        <f aca="false">(G4426-H4426)/G4426</f>
        <v>0.694285714285714</v>
      </c>
      <c r="J4426" s="15" t="n">
        <v>0.5604</v>
      </c>
      <c r="K4426" s="11" t="str">
        <f aca="false">IF(I4426&lt;J4426,"TAK","NIE")</f>
        <v>NIE</v>
      </c>
    </row>
    <row r="4427" customFormat="false" ht="15" hidden="false" customHeight="false" outlineLevel="0" collapsed="false">
      <c r="A4427" s="5" t="s">
        <v>710</v>
      </c>
      <c r="B4427" s="5" t="s">
        <v>96</v>
      </c>
      <c r="C4427" s="5" t="n">
        <v>2025</v>
      </c>
      <c r="D4427" s="5" t="s">
        <v>64</v>
      </c>
      <c r="E4427" s="5" t="s">
        <v>89</v>
      </c>
      <c r="F4427" s="5" t="s">
        <v>40</v>
      </c>
      <c r="G4427" s="6" t="n">
        <v>700</v>
      </c>
      <c r="H4427" s="6" t="n">
        <v>154</v>
      </c>
      <c r="I4427" s="7" t="n">
        <f aca="false">(G4427-H4427)/G4427</f>
        <v>0.78</v>
      </c>
      <c r="J4427" s="15" t="n">
        <v>0.5604</v>
      </c>
      <c r="K4427" s="11" t="str">
        <f aca="false">IF(I4427&lt;J4427,"TAK","NIE")</f>
        <v>NIE</v>
      </c>
    </row>
    <row r="4428" customFormat="false" ht="15" hidden="false" customHeight="false" outlineLevel="0" collapsed="false">
      <c r="A4428" s="5" t="s">
        <v>907</v>
      </c>
      <c r="B4428" s="5" t="s">
        <v>96</v>
      </c>
      <c r="C4428" s="5" t="n">
        <v>2025</v>
      </c>
      <c r="D4428" s="5" t="s">
        <v>64</v>
      </c>
      <c r="E4428" s="5" t="s">
        <v>89</v>
      </c>
      <c r="F4428" s="5" t="s">
        <v>40</v>
      </c>
      <c r="G4428" s="6" t="n">
        <v>700</v>
      </c>
      <c r="H4428" s="6" t="n">
        <v>129</v>
      </c>
      <c r="I4428" s="7" t="n">
        <f aca="false">(G4428-H4428)/G4428</f>
        <v>0.815714285714286</v>
      </c>
      <c r="J4428" s="15" t="n">
        <v>0.5604</v>
      </c>
      <c r="K4428" s="11" t="str">
        <f aca="false">IF(I4428&lt;J4428,"TAK","NIE")</f>
        <v>NIE</v>
      </c>
    </row>
    <row r="4429" customFormat="false" ht="15" hidden="false" customHeight="false" outlineLevel="0" collapsed="false">
      <c r="A4429" s="5" t="s">
        <v>908</v>
      </c>
      <c r="B4429" s="5" t="s">
        <v>96</v>
      </c>
      <c r="C4429" s="5" t="n">
        <v>2025</v>
      </c>
      <c r="D4429" s="5" t="s">
        <v>64</v>
      </c>
      <c r="E4429" s="5" t="s">
        <v>89</v>
      </c>
      <c r="F4429" s="5" t="s">
        <v>40</v>
      </c>
      <c r="G4429" s="6" t="n">
        <v>700</v>
      </c>
      <c r="H4429" s="6" t="n">
        <v>136</v>
      </c>
      <c r="I4429" s="7" t="n">
        <f aca="false">(G4429-H4429)/G4429</f>
        <v>0.805714285714286</v>
      </c>
      <c r="J4429" s="15" t="n">
        <v>0.5604</v>
      </c>
      <c r="K4429" s="11" t="str">
        <f aca="false">IF(I4429&lt;J4429,"TAK","NIE")</f>
        <v>NIE</v>
      </c>
    </row>
    <row r="4430" customFormat="false" ht="15" hidden="false" customHeight="false" outlineLevel="0" collapsed="false">
      <c r="A4430" s="5" t="s">
        <v>909</v>
      </c>
      <c r="B4430" s="5" t="s">
        <v>96</v>
      </c>
      <c r="C4430" s="5" t="n">
        <v>2025</v>
      </c>
      <c r="D4430" s="5" t="s">
        <v>64</v>
      </c>
      <c r="E4430" s="5" t="s">
        <v>89</v>
      </c>
      <c r="F4430" s="5" t="s">
        <v>40</v>
      </c>
      <c r="G4430" s="6" t="n">
        <v>700</v>
      </c>
      <c r="H4430" s="6" t="n">
        <v>195</v>
      </c>
      <c r="I4430" s="7" t="n">
        <f aca="false">(G4430-H4430)/G4430</f>
        <v>0.721428571428571</v>
      </c>
      <c r="J4430" s="15" t="n">
        <v>0.5604</v>
      </c>
      <c r="K4430" s="11" t="str">
        <f aca="false">IF(I4430&lt;J4430,"TAK","NIE")</f>
        <v>NIE</v>
      </c>
    </row>
    <row r="4431" customFormat="false" ht="15" hidden="false" customHeight="false" outlineLevel="0" collapsed="false">
      <c r="A4431" s="5" t="s">
        <v>910</v>
      </c>
      <c r="B4431" s="5" t="s">
        <v>96</v>
      </c>
      <c r="C4431" s="5" t="n">
        <v>2025</v>
      </c>
      <c r="D4431" s="5" t="s">
        <v>64</v>
      </c>
      <c r="E4431" s="5" t="s">
        <v>89</v>
      </c>
      <c r="F4431" s="5" t="s">
        <v>40</v>
      </c>
      <c r="G4431" s="6" t="n">
        <v>700</v>
      </c>
      <c r="H4431" s="6" t="n">
        <v>177</v>
      </c>
      <c r="I4431" s="7" t="n">
        <f aca="false">(G4431-H4431)/G4431</f>
        <v>0.747142857142857</v>
      </c>
      <c r="J4431" s="15" t="n">
        <v>0.5604</v>
      </c>
      <c r="K4431" s="11" t="str">
        <f aca="false">IF(I4431&lt;J4431,"TAK","NIE")</f>
        <v>NIE</v>
      </c>
    </row>
    <row r="4432" customFormat="false" ht="15" hidden="false" customHeight="false" outlineLevel="0" collapsed="false">
      <c r="A4432" s="5" t="s">
        <v>911</v>
      </c>
      <c r="B4432" s="5" t="s">
        <v>96</v>
      </c>
      <c r="C4432" s="5" t="n">
        <v>2025</v>
      </c>
      <c r="D4432" s="5" t="s">
        <v>64</v>
      </c>
      <c r="E4432" s="5" t="s">
        <v>89</v>
      </c>
      <c r="F4432" s="5" t="s">
        <v>40</v>
      </c>
      <c r="G4432" s="6" t="n">
        <v>680</v>
      </c>
      <c r="H4432" s="6" t="n">
        <v>215</v>
      </c>
      <c r="I4432" s="7" t="n">
        <f aca="false">(G4432-H4432)/G4432</f>
        <v>0.683823529411765</v>
      </c>
      <c r="J4432" s="15" t="n">
        <v>0.5604</v>
      </c>
      <c r="K4432" s="11" t="str">
        <f aca="false">IF(I4432&lt;J4432,"TAK","NIE")</f>
        <v>NIE</v>
      </c>
    </row>
    <row r="4433" customFormat="false" ht="15" hidden="false" customHeight="false" outlineLevel="0" collapsed="false">
      <c r="A4433" s="5" t="s">
        <v>913</v>
      </c>
      <c r="B4433" s="5" t="s">
        <v>96</v>
      </c>
      <c r="C4433" s="5" t="n">
        <v>2025</v>
      </c>
      <c r="D4433" s="5" t="s">
        <v>64</v>
      </c>
      <c r="E4433" s="5" t="s">
        <v>89</v>
      </c>
      <c r="F4433" s="5" t="s">
        <v>40</v>
      </c>
      <c r="G4433" s="6" t="n">
        <v>665</v>
      </c>
      <c r="H4433" s="6" t="n">
        <v>244</v>
      </c>
      <c r="I4433" s="7" t="n">
        <f aca="false">(G4433-H4433)/G4433</f>
        <v>0.633082706766917</v>
      </c>
      <c r="J4433" s="15" t="n">
        <v>0.5604</v>
      </c>
      <c r="K4433" s="11" t="str">
        <f aca="false">IF(I4433&lt;J4433,"TAK","NIE")</f>
        <v>NIE</v>
      </c>
    </row>
    <row r="4434" customFormat="false" ht="15" hidden="false" customHeight="false" outlineLevel="0" collapsed="false">
      <c r="A4434" s="5" t="s">
        <v>912</v>
      </c>
      <c r="B4434" s="5" t="s">
        <v>96</v>
      </c>
      <c r="C4434" s="5" t="n">
        <v>2025</v>
      </c>
      <c r="D4434" s="5" t="s">
        <v>64</v>
      </c>
      <c r="E4434" s="5" t="s">
        <v>89</v>
      </c>
      <c r="F4434" s="5" t="s">
        <v>40</v>
      </c>
      <c r="G4434" s="6" t="n">
        <v>700</v>
      </c>
      <c r="H4434" s="6" t="n">
        <v>179</v>
      </c>
      <c r="I4434" s="7" t="n">
        <f aca="false">(G4434-H4434)/G4434</f>
        <v>0.744285714285714</v>
      </c>
      <c r="J4434" s="15" t="n">
        <v>0.5604</v>
      </c>
      <c r="K4434" s="11" t="str">
        <f aca="false">IF(I4434&lt;J4434,"TAK","NIE")</f>
        <v>NIE</v>
      </c>
    </row>
    <row r="4435" customFormat="false" ht="15" hidden="false" customHeight="false" outlineLevel="0" collapsed="false">
      <c r="A4435" s="5" t="s">
        <v>914</v>
      </c>
      <c r="B4435" s="5" t="s">
        <v>97</v>
      </c>
      <c r="C4435" s="5" t="n">
        <v>2025</v>
      </c>
      <c r="D4435" s="5" t="s">
        <v>68</v>
      </c>
      <c r="E4435" s="5" t="s">
        <v>89</v>
      </c>
      <c r="F4435" s="5" t="s">
        <v>39</v>
      </c>
      <c r="G4435" s="6" t="n">
        <v>533</v>
      </c>
      <c r="H4435" s="6" t="n">
        <v>18</v>
      </c>
      <c r="I4435" s="7" t="n">
        <f aca="false">(G4435-H4435)/G4435</f>
        <v>0.966228893058161</v>
      </c>
      <c r="J4435" s="15" t="n">
        <v>0.5331</v>
      </c>
      <c r="K4435" s="11" t="str">
        <f aca="false">IF(I4435&lt;J4435,"TAK","NIE")</f>
        <v>NIE</v>
      </c>
    </row>
    <row r="4436" customFormat="false" ht="15" hidden="false" customHeight="false" outlineLevel="0" collapsed="false">
      <c r="A4436" s="5" t="s">
        <v>915</v>
      </c>
      <c r="B4436" s="5" t="s">
        <v>97</v>
      </c>
      <c r="C4436" s="5" t="n">
        <v>2025</v>
      </c>
      <c r="D4436" s="5" t="s">
        <v>68</v>
      </c>
      <c r="E4436" s="5" t="s">
        <v>89</v>
      </c>
      <c r="F4436" s="5" t="s">
        <v>39</v>
      </c>
      <c r="G4436" s="6" t="n">
        <v>533</v>
      </c>
      <c r="H4436" s="6" t="n">
        <v>68</v>
      </c>
      <c r="I4436" s="7" t="n">
        <f aca="false">(G4436-H4436)/G4436</f>
        <v>0.872420262664165</v>
      </c>
      <c r="J4436" s="15" t="n">
        <v>0.5331</v>
      </c>
      <c r="K4436" s="11" t="str">
        <f aca="false">IF(I4436&lt;J4436,"TAK","NIE")</f>
        <v>NIE</v>
      </c>
    </row>
    <row r="4437" customFormat="false" ht="15" hidden="false" customHeight="false" outlineLevel="0" collapsed="false">
      <c r="A4437" s="5" t="s">
        <v>836</v>
      </c>
      <c r="B4437" s="5" t="s">
        <v>97</v>
      </c>
      <c r="C4437" s="5" t="n">
        <v>2025</v>
      </c>
      <c r="D4437" s="5" t="s">
        <v>68</v>
      </c>
      <c r="E4437" s="5" t="s">
        <v>89</v>
      </c>
      <c r="F4437" s="5" t="s">
        <v>39</v>
      </c>
      <c r="G4437" s="6" t="n">
        <v>528</v>
      </c>
      <c r="H4437" s="6" t="n">
        <v>141</v>
      </c>
      <c r="I4437" s="7" t="n">
        <f aca="false">(G4437-H4437)/G4437</f>
        <v>0.732954545454545</v>
      </c>
      <c r="J4437" s="15" t="n">
        <v>0.5331</v>
      </c>
      <c r="K4437" s="11" t="str">
        <f aca="false">IF(I4437&lt;J4437,"TAK","NIE")</f>
        <v>NIE</v>
      </c>
    </row>
    <row r="4438" customFormat="false" ht="15" hidden="false" customHeight="false" outlineLevel="0" collapsed="false">
      <c r="A4438" s="5" t="s">
        <v>916</v>
      </c>
      <c r="B4438" s="5" t="s">
        <v>97</v>
      </c>
      <c r="C4438" s="5" t="n">
        <v>2025</v>
      </c>
      <c r="D4438" s="5" t="s">
        <v>68</v>
      </c>
      <c r="E4438" s="5" t="s">
        <v>89</v>
      </c>
      <c r="F4438" s="5" t="s">
        <v>39</v>
      </c>
      <c r="G4438" s="6" t="n">
        <v>528</v>
      </c>
      <c r="H4438" s="6" t="n">
        <v>90</v>
      </c>
      <c r="I4438" s="7" t="n">
        <f aca="false">(G4438-H4438)/G4438</f>
        <v>0.829545454545455</v>
      </c>
      <c r="J4438" s="15" t="n">
        <v>0.5331</v>
      </c>
      <c r="K4438" s="11" t="str">
        <f aca="false">IF(I4438&lt;J4438,"TAK","NIE")</f>
        <v>NIE</v>
      </c>
    </row>
    <row r="4439" customFormat="false" ht="15" hidden="false" customHeight="false" outlineLevel="0" collapsed="false">
      <c r="A4439" s="5" t="s">
        <v>917</v>
      </c>
      <c r="B4439" s="5" t="s">
        <v>97</v>
      </c>
      <c r="C4439" s="5" t="n">
        <v>2025</v>
      </c>
      <c r="D4439" s="5" t="s">
        <v>68</v>
      </c>
      <c r="E4439" s="5" t="s">
        <v>89</v>
      </c>
      <c r="F4439" s="5" t="s">
        <v>39</v>
      </c>
      <c r="G4439" s="6" t="n">
        <v>533</v>
      </c>
      <c r="H4439" s="6" t="n">
        <v>54</v>
      </c>
      <c r="I4439" s="7" t="n">
        <f aca="false">(G4439-H4439)/G4439</f>
        <v>0.898686679174484</v>
      </c>
      <c r="J4439" s="15" t="n">
        <v>0.5331</v>
      </c>
      <c r="K4439" s="11" t="str">
        <f aca="false">IF(I4439&lt;J4439,"TAK","NIE")</f>
        <v>NIE</v>
      </c>
    </row>
    <row r="4440" customFormat="false" ht="15" hidden="false" customHeight="false" outlineLevel="0" collapsed="false">
      <c r="A4440" s="5" t="s">
        <v>918</v>
      </c>
      <c r="B4440" s="5" t="s">
        <v>97</v>
      </c>
      <c r="C4440" s="5" t="n">
        <v>2025</v>
      </c>
      <c r="D4440" s="5" t="s">
        <v>68</v>
      </c>
      <c r="E4440" s="5" t="s">
        <v>89</v>
      </c>
      <c r="F4440" s="5" t="s">
        <v>39</v>
      </c>
      <c r="G4440" s="6" t="n">
        <v>528</v>
      </c>
      <c r="H4440" s="6" t="n">
        <v>73</v>
      </c>
      <c r="I4440" s="7" t="n">
        <f aca="false">(G4440-H4440)/G4440</f>
        <v>0.861742424242424</v>
      </c>
      <c r="J4440" s="15" t="n">
        <v>0.5331</v>
      </c>
      <c r="K4440" s="11" t="str">
        <f aca="false">IF(I4440&lt;J4440,"TAK","NIE")</f>
        <v>NIE</v>
      </c>
    </row>
    <row r="4441" customFormat="false" ht="15" hidden="false" customHeight="false" outlineLevel="0" collapsed="false">
      <c r="A4441" s="5" t="s">
        <v>919</v>
      </c>
      <c r="B4441" s="5" t="s">
        <v>97</v>
      </c>
      <c r="C4441" s="5" t="n">
        <v>2025</v>
      </c>
      <c r="D4441" s="5" t="s">
        <v>68</v>
      </c>
      <c r="E4441" s="5" t="s">
        <v>89</v>
      </c>
      <c r="F4441" s="5" t="s">
        <v>39</v>
      </c>
      <c r="G4441" s="6" t="n">
        <v>44</v>
      </c>
      <c r="H4441" s="6" t="n">
        <v>6</v>
      </c>
      <c r="I4441" s="7" t="n">
        <f aca="false">(G4441-H4441)/G4441</f>
        <v>0.863636363636364</v>
      </c>
      <c r="J4441" s="15" t="n">
        <v>0.5331</v>
      </c>
      <c r="K4441" s="11" t="str">
        <f aca="false">IF(I4441&lt;J4441,"TAK","NIE")</f>
        <v>NIE</v>
      </c>
    </row>
    <row r="4442" customFormat="false" ht="15" hidden="false" customHeight="false" outlineLevel="0" collapsed="false">
      <c r="A4442" s="5" t="s">
        <v>920</v>
      </c>
      <c r="B4442" s="5" t="s">
        <v>97</v>
      </c>
      <c r="C4442" s="5" t="n">
        <v>2025</v>
      </c>
      <c r="D4442" s="5" t="s">
        <v>68</v>
      </c>
      <c r="E4442" s="5" t="s">
        <v>89</v>
      </c>
      <c r="F4442" s="5" t="s">
        <v>39</v>
      </c>
      <c r="G4442" s="6" t="n">
        <v>533</v>
      </c>
      <c r="H4442" s="6" t="n">
        <v>141</v>
      </c>
      <c r="I4442" s="7" t="n">
        <f aca="false">(G4442-H4442)/G4442</f>
        <v>0.735459662288931</v>
      </c>
      <c r="J4442" s="15" t="n">
        <v>0.5331</v>
      </c>
      <c r="K4442" s="11" t="str">
        <f aca="false">IF(I4442&lt;J4442,"TAK","NIE")</f>
        <v>NIE</v>
      </c>
    </row>
    <row r="4443" customFormat="false" ht="15" hidden="false" customHeight="false" outlineLevel="0" collapsed="false">
      <c r="A4443" s="5" t="s">
        <v>921</v>
      </c>
      <c r="B4443" s="5" t="s">
        <v>97</v>
      </c>
      <c r="C4443" s="5" t="n">
        <v>2025</v>
      </c>
      <c r="D4443" s="5" t="s">
        <v>68</v>
      </c>
      <c r="E4443" s="5" t="s">
        <v>89</v>
      </c>
      <c r="F4443" s="5" t="s">
        <v>39</v>
      </c>
      <c r="G4443" s="6" t="n">
        <v>533</v>
      </c>
      <c r="H4443" s="6" t="n">
        <v>107</v>
      </c>
      <c r="I4443" s="7" t="n">
        <f aca="false">(G4443-H4443)/G4443</f>
        <v>0.799249530956848</v>
      </c>
      <c r="J4443" s="15" t="n">
        <v>0.5331</v>
      </c>
      <c r="K4443" s="11" t="str">
        <f aca="false">IF(I4443&lt;J4443,"TAK","NIE")</f>
        <v>NIE</v>
      </c>
    </row>
    <row r="4444" customFormat="false" ht="15" hidden="false" customHeight="false" outlineLevel="0" collapsed="false">
      <c r="A4444" s="5" t="s">
        <v>922</v>
      </c>
      <c r="B4444" s="5" t="s">
        <v>97</v>
      </c>
      <c r="C4444" s="5" t="n">
        <v>2025</v>
      </c>
      <c r="D4444" s="5" t="s">
        <v>68</v>
      </c>
      <c r="E4444" s="5" t="s">
        <v>89</v>
      </c>
      <c r="F4444" s="5" t="s">
        <v>39</v>
      </c>
      <c r="G4444" s="6" t="n">
        <v>528</v>
      </c>
      <c r="H4444" s="6" t="n">
        <v>119</v>
      </c>
      <c r="I4444" s="7" t="n">
        <f aca="false">(G4444-H4444)/G4444</f>
        <v>0.774621212121212</v>
      </c>
      <c r="J4444" s="15" t="n">
        <v>0.5331</v>
      </c>
      <c r="K4444" s="11" t="str">
        <f aca="false">IF(I4444&lt;J4444,"TAK","NIE")</f>
        <v>NIE</v>
      </c>
    </row>
    <row r="4445" customFormat="false" ht="15" hidden="false" customHeight="false" outlineLevel="0" collapsed="false">
      <c r="A4445" s="5" t="s">
        <v>923</v>
      </c>
      <c r="B4445" s="5" t="s">
        <v>97</v>
      </c>
      <c r="C4445" s="5" t="n">
        <v>2025</v>
      </c>
      <c r="D4445" s="5" t="s">
        <v>68</v>
      </c>
      <c r="E4445" s="5" t="s">
        <v>89</v>
      </c>
      <c r="F4445" s="5" t="s">
        <v>39</v>
      </c>
      <c r="G4445" s="6" t="n">
        <v>528</v>
      </c>
      <c r="H4445" s="6" t="n">
        <v>126</v>
      </c>
      <c r="I4445" s="7" t="n">
        <f aca="false">(G4445-H4445)/G4445</f>
        <v>0.761363636363636</v>
      </c>
      <c r="J4445" s="15" t="n">
        <v>0.5331</v>
      </c>
      <c r="K4445" s="11" t="str">
        <f aca="false">IF(I4445&lt;J4445,"TAK","NIE")</f>
        <v>NIE</v>
      </c>
    </row>
    <row r="4446" customFormat="false" ht="15" hidden="false" customHeight="false" outlineLevel="0" collapsed="false">
      <c r="A4446" s="5" t="s">
        <v>924</v>
      </c>
      <c r="B4446" s="5" t="s">
        <v>97</v>
      </c>
      <c r="C4446" s="5" t="n">
        <v>2025</v>
      </c>
      <c r="D4446" s="5" t="s">
        <v>68</v>
      </c>
      <c r="E4446" s="5" t="s">
        <v>89</v>
      </c>
      <c r="F4446" s="5" t="s">
        <v>39</v>
      </c>
      <c r="G4446" s="6" t="n">
        <v>528</v>
      </c>
      <c r="H4446" s="6" t="n">
        <v>91</v>
      </c>
      <c r="I4446" s="7" t="n">
        <f aca="false">(G4446-H4446)/G4446</f>
        <v>0.827651515151515</v>
      </c>
      <c r="J4446" s="15" t="n">
        <v>0.5331</v>
      </c>
      <c r="K4446" s="11" t="str">
        <f aca="false">IF(I4446&lt;J4446,"TAK","NIE")</f>
        <v>NIE</v>
      </c>
    </row>
    <row r="4447" customFormat="false" ht="15" hidden="false" customHeight="false" outlineLevel="0" collapsed="false">
      <c r="A4447" s="5" t="s">
        <v>925</v>
      </c>
      <c r="B4447" s="5" t="s">
        <v>97</v>
      </c>
      <c r="C4447" s="5" t="n">
        <v>2025</v>
      </c>
      <c r="D4447" s="5" t="s">
        <v>68</v>
      </c>
      <c r="E4447" s="5" t="s">
        <v>89</v>
      </c>
      <c r="F4447" s="5" t="s">
        <v>39</v>
      </c>
      <c r="G4447" s="6" t="n">
        <v>528</v>
      </c>
      <c r="H4447" s="6" t="n">
        <v>26</v>
      </c>
      <c r="I4447" s="7" t="n">
        <f aca="false">(G4447-H4447)/G4447</f>
        <v>0.950757575757576</v>
      </c>
      <c r="J4447" s="15" t="n">
        <v>0.5331</v>
      </c>
      <c r="K4447" s="11" t="str">
        <f aca="false">IF(I4447&lt;J4447,"TAK","NIE")</f>
        <v>NIE</v>
      </c>
    </row>
    <row r="4448" customFormat="false" ht="15" hidden="false" customHeight="false" outlineLevel="0" collapsed="false">
      <c r="A4448" s="5" t="s">
        <v>926</v>
      </c>
      <c r="B4448" s="5" t="s">
        <v>97</v>
      </c>
      <c r="C4448" s="5" t="n">
        <v>2025</v>
      </c>
      <c r="D4448" s="5" t="s">
        <v>68</v>
      </c>
      <c r="E4448" s="5" t="s">
        <v>89</v>
      </c>
      <c r="F4448" s="5" t="s">
        <v>39</v>
      </c>
      <c r="G4448" s="6" t="n">
        <v>528</v>
      </c>
      <c r="H4448" s="6" t="n">
        <v>25</v>
      </c>
      <c r="I4448" s="7" t="n">
        <f aca="false">(G4448-H4448)/G4448</f>
        <v>0.952651515151515</v>
      </c>
      <c r="J4448" s="15" t="n">
        <v>0.5331</v>
      </c>
      <c r="K4448" s="11" t="str">
        <f aca="false">IF(I4448&lt;J4448,"TAK","NIE")</f>
        <v>NIE</v>
      </c>
    </row>
    <row r="4449" customFormat="false" ht="15" hidden="false" customHeight="false" outlineLevel="0" collapsed="false">
      <c r="A4449" s="5" t="s">
        <v>927</v>
      </c>
      <c r="B4449" s="5" t="s">
        <v>97</v>
      </c>
      <c r="C4449" s="5" t="n">
        <v>2025</v>
      </c>
      <c r="D4449" s="5" t="s">
        <v>68</v>
      </c>
      <c r="E4449" s="5" t="s">
        <v>89</v>
      </c>
      <c r="F4449" s="5" t="s">
        <v>39</v>
      </c>
      <c r="G4449" s="6" t="n">
        <v>533</v>
      </c>
      <c r="H4449" s="6" t="n">
        <v>22</v>
      </c>
      <c r="I4449" s="7" t="n">
        <f aca="false">(G4449-H4449)/G4449</f>
        <v>0.958724202626642</v>
      </c>
      <c r="J4449" s="15" t="n">
        <v>0.5331</v>
      </c>
      <c r="K4449" s="11" t="str">
        <f aca="false">IF(I4449&lt;J4449,"TAK","NIE")</f>
        <v>NIE</v>
      </c>
    </row>
    <row r="4450" customFormat="false" ht="15" hidden="false" customHeight="false" outlineLevel="0" collapsed="false">
      <c r="A4450" s="5" t="s">
        <v>928</v>
      </c>
      <c r="B4450" s="5" t="s">
        <v>97</v>
      </c>
      <c r="C4450" s="5" t="n">
        <v>2025</v>
      </c>
      <c r="D4450" s="5" t="s">
        <v>68</v>
      </c>
      <c r="E4450" s="5" t="s">
        <v>89</v>
      </c>
      <c r="F4450" s="5" t="s">
        <v>39</v>
      </c>
      <c r="G4450" s="6" t="n">
        <v>528</v>
      </c>
      <c r="H4450" s="6" t="n">
        <v>15</v>
      </c>
      <c r="I4450" s="7" t="n">
        <f aca="false">(G4450-H4450)/G4450</f>
        <v>0.971590909090909</v>
      </c>
      <c r="J4450" s="15" t="n">
        <v>0.5331</v>
      </c>
      <c r="K4450" s="11" t="str">
        <f aca="false">IF(I4450&lt;J4450,"TAK","NIE")</f>
        <v>NIE</v>
      </c>
    </row>
    <row r="4451" customFormat="false" ht="15" hidden="false" customHeight="false" outlineLevel="0" collapsed="false">
      <c r="A4451" s="5" t="s">
        <v>929</v>
      </c>
      <c r="B4451" s="5" t="s">
        <v>97</v>
      </c>
      <c r="C4451" s="5" t="n">
        <v>2025</v>
      </c>
      <c r="D4451" s="5" t="s">
        <v>68</v>
      </c>
      <c r="E4451" s="5" t="s">
        <v>89</v>
      </c>
      <c r="F4451" s="5" t="s">
        <v>39</v>
      </c>
      <c r="G4451" s="6" t="n">
        <v>525</v>
      </c>
      <c r="H4451" s="6" t="n">
        <v>90</v>
      </c>
      <c r="I4451" s="7" t="n">
        <f aca="false">(G4451-H4451)/G4451</f>
        <v>0.828571428571429</v>
      </c>
      <c r="J4451" s="15" t="n">
        <v>0.5331</v>
      </c>
      <c r="K4451" s="11" t="str">
        <f aca="false">IF(I4451&lt;J4451,"TAK","NIE")</f>
        <v>NIE</v>
      </c>
    </row>
    <row r="4452" customFormat="false" ht="15" hidden="false" customHeight="false" outlineLevel="0" collapsed="false">
      <c r="A4452" s="5" t="s">
        <v>930</v>
      </c>
      <c r="B4452" s="5" t="s">
        <v>97</v>
      </c>
      <c r="C4452" s="5" t="n">
        <v>2025</v>
      </c>
      <c r="D4452" s="5" t="s">
        <v>68</v>
      </c>
      <c r="E4452" s="5" t="s">
        <v>89</v>
      </c>
      <c r="F4452" s="5" t="s">
        <v>39</v>
      </c>
      <c r="G4452" s="6" t="n">
        <v>533</v>
      </c>
      <c r="H4452" s="6" t="n">
        <v>72</v>
      </c>
      <c r="I4452" s="7" t="n">
        <f aca="false">(G4452-H4452)/G4452</f>
        <v>0.864915572232645</v>
      </c>
      <c r="J4452" s="15" t="n">
        <v>0.5331</v>
      </c>
      <c r="K4452" s="11" t="str">
        <f aca="false">IF(I4452&lt;J4452,"TAK","NIE")</f>
        <v>NIE</v>
      </c>
    </row>
    <row r="4453" customFormat="false" ht="15" hidden="false" customHeight="false" outlineLevel="0" collapsed="false">
      <c r="A4453" s="5" t="s">
        <v>931</v>
      </c>
      <c r="B4453" s="5" t="s">
        <v>97</v>
      </c>
      <c r="C4453" s="5" t="n">
        <v>2025</v>
      </c>
      <c r="D4453" s="5" t="s">
        <v>68</v>
      </c>
      <c r="E4453" s="5" t="s">
        <v>89</v>
      </c>
      <c r="F4453" s="5" t="s">
        <v>39</v>
      </c>
      <c r="G4453" s="6" t="n">
        <v>528</v>
      </c>
      <c r="H4453" s="6" t="n">
        <v>180</v>
      </c>
      <c r="I4453" s="7" t="n">
        <f aca="false">(G4453-H4453)/G4453</f>
        <v>0.659090909090909</v>
      </c>
      <c r="J4453" s="15" t="n">
        <v>0.5331</v>
      </c>
      <c r="K4453" s="11" t="str">
        <f aca="false">IF(I4453&lt;J4453,"TAK","NIE")</f>
        <v>NIE</v>
      </c>
    </row>
    <row r="4454" customFormat="false" ht="15" hidden="false" customHeight="false" outlineLevel="0" collapsed="false">
      <c r="A4454" s="5" t="s">
        <v>932</v>
      </c>
      <c r="B4454" s="5" t="s">
        <v>97</v>
      </c>
      <c r="C4454" s="5" t="n">
        <v>2025</v>
      </c>
      <c r="D4454" s="5" t="s">
        <v>68</v>
      </c>
      <c r="E4454" s="5" t="s">
        <v>89</v>
      </c>
      <c r="F4454" s="5" t="s">
        <v>39</v>
      </c>
      <c r="G4454" s="6" t="n">
        <v>29</v>
      </c>
      <c r="H4454" s="6" t="n">
        <v>15</v>
      </c>
      <c r="I4454" s="7" t="n">
        <f aca="false">(G4454-H4454)/G4454</f>
        <v>0.482758620689655</v>
      </c>
      <c r="J4454" s="15" t="n">
        <v>0.5331</v>
      </c>
      <c r="K4454" s="11" t="str">
        <f aca="false">IF(I4454&lt;J4454,"TAK","NIE")</f>
        <v>TAK</v>
      </c>
    </row>
    <row r="4455" customFormat="false" ht="15" hidden="false" customHeight="false" outlineLevel="0" collapsed="false">
      <c r="A4455" s="5" t="s">
        <v>933</v>
      </c>
      <c r="B4455" s="5" t="s">
        <v>97</v>
      </c>
      <c r="C4455" s="5" t="n">
        <v>2025</v>
      </c>
      <c r="D4455" s="5" t="s">
        <v>68</v>
      </c>
      <c r="E4455" s="5" t="s">
        <v>89</v>
      </c>
      <c r="F4455" s="5" t="s">
        <v>39</v>
      </c>
      <c r="G4455" s="6" t="n">
        <v>533</v>
      </c>
      <c r="H4455" s="6" t="n">
        <v>18</v>
      </c>
      <c r="I4455" s="7" t="n">
        <f aca="false">(G4455-H4455)/G4455</f>
        <v>0.966228893058161</v>
      </c>
      <c r="J4455" s="15" t="n">
        <v>0.5331</v>
      </c>
      <c r="K4455" s="11" t="str">
        <f aca="false">IF(I4455&lt;J4455,"TAK","NIE")</f>
        <v>NIE</v>
      </c>
    </row>
    <row r="4456" customFormat="false" ht="15" hidden="false" customHeight="false" outlineLevel="0" collapsed="false">
      <c r="A4456" s="5" t="s">
        <v>934</v>
      </c>
      <c r="B4456" s="5" t="s">
        <v>97</v>
      </c>
      <c r="C4456" s="5" t="n">
        <v>2025</v>
      </c>
      <c r="D4456" s="5" t="s">
        <v>68</v>
      </c>
      <c r="E4456" s="5" t="s">
        <v>89</v>
      </c>
      <c r="F4456" s="5" t="s">
        <v>39</v>
      </c>
      <c r="G4456" s="6" t="n">
        <v>533</v>
      </c>
      <c r="H4456" s="6" t="n">
        <v>36</v>
      </c>
      <c r="I4456" s="7" t="n">
        <f aca="false">(G4456-H4456)/G4456</f>
        <v>0.932457786116323</v>
      </c>
      <c r="J4456" s="15" t="n">
        <v>0.5331</v>
      </c>
      <c r="K4456" s="11" t="str">
        <f aca="false">IF(I4456&lt;J4456,"TAK","NIE")</f>
        <v>NIE</v>
      </c>
    </row>
    <row r="4457" customFormat="false" ht="15" hidden="false" customHeight="false" outlineLevel="0" collapsed="false">
      <c r="A4457" s="5" t="s">
        <v>914</v>
      </c>
      <c r="B4457" s="5" t="s">
        <v>97</v>
      </c>
      <c r="C4457" s="5" t="n">
        <v>2025</v>
      </c>
      <c r="D4457" s="5" t="s">
        <v>68</v>
      </c>
      <c r="E4457" s="5" t="s">
        <v>89</v>
      </c>
      <c r="F4457" s="5" t="s">
        <v>40</v>
      </c>
      <c r="G4457" s="6" t="n">
        <v>716</v>
      </c>
      <c r="H4457" s="6" t="n">
        <v>105</v>
      </c>
      <c r="I4457" s="7" t="n">
        <f aca="false">(G4457-H4457)/G4457</f>
        <v>0.853351955307263</v>
      </c>
      <c r="J4457" s="15" t="n">
        <v>0.4184</v>
      </c>
      <c r="K4457" s="11" t="str">
        <f aca="false">IF(I4457&lt;J4457,"TAK","NIE")</f>
        <v>NIE</v>
      </c>
    </row>
    <row r="4458" customFormat="false" ht="15" hidden="false" customHeight="false" outlineLevel="0" collapsed="false">
      <c r="A4458" s="5" t="s">
        <v>915</v>
      </c>
      <c r="B4458" s="5" t="s">
        <v>97</v>
      </c>
      <c r="C4458" s="5" t="n">
        <v>2025</v>
      </c>
      <c r="D4458" s="5" t="s">
        <v>68</v>
      </c>
      <c r="E4458" s="5" t="s">
        <v>89</v>
      </c>
      <c r="F4458" s="5" t="s">
        <v>40</v>
      </c>
      <c r="G4458" s="6" t="n">
        <v>716</v>
      </c>
      <c r="H4458" s="6" t="n">
        <v>218</v>
      </c>
      <c r="I4458" s="7" t="n">
        <f aca="false">(G4458-H4458)/G4458</f>
        <v>0.695530726256983</v>
      </c>
      <c r="J4458" s="15" t="n">
        <v>0.4184</v>
      </c>
      <c r="K4458" s="11" t="str">
        <f aca="false">IF(I4458&lt;J4458,"TAK","NIE")</f>
        <v>NIE</v>
      </c>
    </row>
    <row r="4459" customFormat="false" ht="15" hidden="false" customHeight="false" outlineLevel="0" collapsed="false">
      <c r="A4459" s="5" t="s">
        <v>836</v>
      </c>
      <c r="B4459" s="5" t="s">
        <v>97</v>
      </c>
      <c r="C4459" s="5" t="n">
        <v>2025</v>
      </c>
      <c r="D4459" s="5" t="s">
        <v>68</v>
      </c>
      <c r="E4459" s="5" t="s">
        <v>89</v>
      </c>
      <c r="F4459" s="5" t="s">
        <v>40</v>
      </c>
      <c r="G4459" s="6" t="n">
        <v>695</v>
      </c>
      <c r="H4459" s="6" t="n">
        <v>320</v>
      </c>
      <c r="I4459" s="7" t="n">
        <f aca="false">(G4459-H4459)/G4459</f>
        <v>0.539568345323741</v>
      </c>
      <c r="J4459" s="15" t="n">
        <v>0.4184</v>
      </c>
      <c r="K4459" s="11" t="str">
        <f aca="false">IF(I4459&lt;J4459,"TAK","NIE")</f>
        <v>NIE</v>
      </c>
    </row>
    <row r="4460" customFormat="false" ht="15" hidden="false" customHeight="false" outlineLevel="0" collapsed="false">
      <c r="A4460" s="5" t="s">
        <v>916</v>
      </c>
      <c r="B4460" s="5" t="s">
        <v>97</v>
      </c>
      <c r="C4460" s="5" t="n">
        <v>2025</v>
      </c>
      <c r="D4460" s="5" t="s">
        <v>68</v>
      </c>
      <c r="E4460" s="5" t="s">
        <v>89</v>
      </c>
      <c r="F4460" s="5" t="s">
        <v>40</v>
      </c>
      <c r="G4460" s="6" t="n">
        <v>716</v>
      </c>
      <c r="H4460" s="6" t="n">
        <v>226</v>
      </c>
      <c r="I4460" s="7" t="n">
        <f aca="false">(G4460-H4460)/G4460</f>
        <v>0.684357541899441</v>
      </c>
      <c r="J4460" s="15" t="n">
        <v>0.4184</v>
      </c>
      <c r="K4460" s="11" t="str">
        <f aca="false">IF(I4460&lt;J4460,"TAK","NIE")</f>
        <v>NIE</v>
      </c>
    </row>
    <row r="4461" customFormat="false" ht="15" hidden="false" customHeight="false" outlineLevel="0" collapsed="false">
      <c r="A4461" s="5" t="s">
        <v>917</v>
      </c>
      <c r="B4461" s="5" t="s">
        <v>97</v>
      </c>
      <c r="C4461" s="5" t="n">
        <v>2025</v>
      </c>
      <c r="D4461" s="5" t="s">
        <v>68</v>
      </c>
      <c r="E4461" s="5" t="s">
        <v>89</v>
      </c>
      <c r="F4461" s="5" t="s">
        <v>40</v>
      </c>
      <c r="G4461" s="6" t="n">
        <v>716</v>
      </c>
      <c r="H4461" s="6" t="n">
        <v>158</v>
      </c>
      <c r="I4461" s="7" t="n">
        <f aca="false">(G4461-H4461)/G4461</f>
        <v>0.779329608938548</v>
      </c>
      <c r="J4461" s="15" t="n">
        <v>0.4184</v>
      </c>
      <c r="K4461" s="11" t="str">
        <f aca="false">IF(I4461&lt;J4461,"TAK","NIE")</f>
        <v>NIE</v>
      </c>
    </row>
    <row r="4462" customFormat="false" ht="15" hidden="false" customHeight="false" outlineLevel="0" collapsed="false">
      <c r="A4462" s="5" t="s">
        <v>918</v>
      </c>
      <c r="B4462" s="5" t="s">
        <v>97</v>
      </c>
      <c r="C4462" s="5" t="n">
        <v>2025</v>
      </c>
      <c r="D4462" s="5" t="s">
        <v>68</v>
      </c>
      <c r="E4462" s="5" t="s">
        <v>89</v>
      </c>
      <c r="F4462" s="5" t="s">
        <v>40</v>
      </c>
      <c r="G4462" s="6" t="n">
        <v>716</v>
      </c>
      <c r="H4462" s="6" t="n">
        <v>208</v>
      </c>
      <c r="I4462" s="7" t="n">
        <f aca="false">(G4462-H4462)/G4462</f>
        <v>0.709497206703911</v>
      </c>
      <c r="J4462" s="15" t="n">
        <v>0.4184</v>
      </c>
      <c r="K4462" s="11" t="str">
        <f aca="false">IF(I4462&lt;J4462,"TAK","NIE")</f>
        <v>NIE</v>
      </c>
    </row>
    <row r="4463" customFormat="false" ht="15" hidden="false" customHeight="false" outlineLevel="0" collapsed="false">
      <c r="A4463" s="5" t="s">
        <v>920</v>
      </c>
      <c r="B4463" s="5" t="s">
        <v>97</v>
      </c>
      <c r="C4463" s="5" t="n">
        <v>2025</v>
      </c>
      <c r="D4463" s="5" t="s">
        <v>68</v>
      </c>
      <c r="E4463" s="5" t="s">
        <v>89</v>
      </c>
      <c r="F4463" s="5" t="s">
        <v>40</v>
      </c>
      <c r="G4463" s="6" t="n">
        <v>716</v>
      </c>
      <c r="H4463" s="6" t="n">
        <v>271</v>
      </c>
      <c r="I4463" s="7" t="n">
        <f aca="false">(G4463-H4463)/G4463</f>
        <v>0.621508379888268</v>
      </c>
      <c r="J4463" s="15" t="n">
        <v>0.4184</v>
      </c>
      <c r="K4463" s="11" t="str">
        <f aca="false">IF(I4463&lt;J4463,"TAK","NIE")</f>
        <v>NIE</v>
      </c>
    </row>
    <row r="4464" customFormat="false" ht="15" hidden="false" customHeight="false" outlineLevel="0" collapsed="false">
      <c r="A4464" s="5" t="s">
        <v>921</v>
      </c>
      <c r="B4464" s="5" t="s">
        <v>97</v>
      </c>
      <c r="C4464" s="5" t="n">
        <v>2025</v>
      </c>
      <c r="D4464" s="5" t="s">
        <v>68</v>
      </c>
      <c r="E4464" s="5" t="s">
        <v>89</v>
      </c>
      <c r="F4464" s="5" t="s">
        <v>40</v>
      </c>
      <c r="G4464" s="6" t="n">
        <v>55</v>
      </c>
      <c r="H4464" s="6" t="n">
        <v>43</v>
      </c>
      <c r="I4464" s="7" t="n">
        <f aca="false">(G4464-H4464)/G4464</f>
        <v>0.218181818181818</v>
      </c>
      <c r="J4464" s="15" t="n">
        <v>0.4184</v>
      </c>
      <c r="K4464" s="11" t="str">
        <f aca="false">IF(I4464&lt;J4464,"TAK","NIE")</f>
        <v>TAK</v>
      </c>
    </row>
    <row r="4465" customFormat="false" ht="15" hidden="false" customHeight="false" outlineLevel="0" collapsed="false">
      <c r="A4465" s="5" t="s">
        <v>922</v>
      </c>
      <c r="B4465" s="5" t="s">
        <v>97</v>
      </c>
      <c r="C4465" s="5" t="n">
        <v>2025</v>
      </c>
      <c r="D4465" s="5" t="s">
        <v>68</v>
      </c>
      <c r="E4465" s="5" t="s">
        <v>89</v>
      </c>
      <c r="F4465" s="5" t="s">
        <v>40</v>
      </c>
      <c r="G4465" s="6" t="n">
        <v>716</v>
      </c>
      <c r="H4465" s="6" t="n">
        <v>208</v>
      </c>
      <c r="I4465" s="7" t="n">
        <f aca="false">(G4465-H4465)/G4465</f>
        <v>0.709497206703911</v>
      </c>
      <c r="J4465" s="15" t="n">
        <v>0.4184</v>
      </c>
      <c r="K4465" s="11" t="str">
        <f aca="false">IF(I4465&lt;J4465,"TAK","NIE")</f>
        <v>NIE</v>
      </c>
    </row>
    <row r="4466" customFormat="false" ht="15" hidden="false" customHeight="false" outlineLevel="0" collapsed="false">
      <c r="A4466" s="5" t="s">
        <v>923</v>
      </c>
      <c r="B4466" s="5" t="s">
        <v>97</v>
      </c>
      <c r="C4466" s="5" t="n">
        <v>2025</v>
      </c>
      <c r="D4466" s="5" t="s">
        <v>68</v>
      </c>
      <c r="E4466" s="5" t="s">
        <v>89</v>
      </c>
      <c r="F4466" s="5" t="s">
        <v>40</v>
      </c>
      <c r="G4466" s="6" t="n">
        <v>716</v>
      </c>
      <c r="H4466" s="6" t="n">
        <v>241</v>
      </c>
      <c r="I4466" s="7" t="n">
        <f aca="false">(G4466-H4466)/G4466</f>
        <v>0.66340782122905</v>
      </c>
      <c r="J4466" s="15" t="n">
        <v>0.4184</v>
      </c>
      <c r="K4466" s="11" t="str">
        <f aca="false">IF(I4466&lt;J4466,"TAK","NIE")</f>
        <v>NIE</v>
      </c>
    </row>
    <row r="4467" customFormat="false" ht="15" hidden="false" customHeight="false" outlineLevel="0" collapsed="false">
      <c r="A4467" s="5" t="s">
        <v>924</v>
      </c>
      <c r="B4467" s="5" t="s">
        <v>97</v>
      </c>
      <c r="C4467" s="5" t="n">
        <v>2025</v>
      </c>
      <c r="D4467" s="5" t="s">
        <v>68</v>
      </c>
      <c r="E4467" s="5" t="s">
        <v>89</v>
      </c>
      <c r="F4467" s="5" t="s">
        <v>40</v>
      </c>
      <c r="G4467" s="6" t="n">
        <v>716</v>
      </c>
      <c r="H4467" s="6" t="n">
        <v>240</v>
      </c>
      <c r="I4467" s="7" t="n">
        <f aca="false">(G4467-H4467)/G4467</f>
        <v>0.664804469273743</v>
      </c>
      <c r="J4467" s="15" t="n">
        <v>0.4184</v>
      </c>
      <c r="K4467" s="11" t="str">
        <f aca="false">IF(I4467&lt;J4467,"TAK","NIE")</f>
        <v>NIE</v>
      </c>
    </row>
    <row r="4468" customFormat="false" ht="15" hidden="false" customHeight="false" outlineLevel="0" collapsed="false">
      <c r="A4468" s="5" t="s">
        <v>925</v>
      </c>
      <c r="B4468" s="5" t="s">
        <v>97</v>
      </c>
      <c r="C4468" s="5" t="n">
        <v>2025</v>
      </c>
      <c r="D4468" s="5" t="s">
        <v>68</v>
      </c>
      <c r="E4468" s="5" t="s">
        <v>89</v>
      </c>
      <c r="F4468" s="5" t="s">
        <v>40</v>
      </c>
      <c r="G4468" s="6" t="n">
        <v>716</v>
      </c>
      <c r="H4468" s="6" t="n">
        <v>150</v>
      </c>
      <c r="I4468" s="7" t="n">
        <f aca="false">(G4468-H4468)/G4468</f>
        <v>0.790502793296089</v>
      </c>
      <c r="J4468" s="15" t="n">
        <v>0.4184</v>
      </c>
      <c r="K4468" s="11" t="str">
        <f aca="false">IF(I4468&lt;J4468,"TAK","NIE")</f>
        <v>NIE</v>
      </c>
    </row>
    <row r="4469" customFormat="false" ht="15" hidden="false" customHeight="false" outlineLevel="0" collapsed="false">
      <c r="A4469" s="5" t="s">
        <v>926</v>
      </c>
      <c r="B4469" s="5" t="s">
        <v>97</v>
      </c>
      <c r="C4469" s="5" t="n">
        <v>2025</v>
      </c>
      <c r="D4469" s="5" t="s">
        <v>68</v>
      </c>
      <c r="E4469" s="5" t="s">
        <v>89</v>
      </c>
      <c r="F4469" s="5" t="s">
        <v>40</v>
      </c>
      <c r="G4469" s="6" t="n">
        <v>716</v>
      </c>
      <c r="H4469" s="6" t="n">
        <v>152</v>
      </c>
      <c r="I4469" s="7" t="n">
        <f aca="false">(G4469-H4469)/G4469</f>
        <v>0.787709497206704</v>
      </c>
      <c r="J4469" s="15" t="n">
        <v>0.4184</v>
      </c>
      <c r="K4469" s="11" t="str">
        <f aca="false">IF(I4469&lt;J4469,"TAK","NIE")</f>
        <v>NIE</v>
      </c>
    </row>
    <row r="4470" customFormat="false" ht="15" hidden="false" customHeight="false" outlineLevel="0" collapsed="false">
      <c r="A4470" s="5" t="s">
        <v>927</v>
      </c>
      <c r="B4470" s="5" t="s">
        <v>97</v>
      </c>
      <c r="C4470" s="5" t="n">
        <v>2025</v>
      </c>
      <c r="D4470" s="5" t="s">
        <v>68</v>
      </c>
      <c r="E4470" s="5" t="s">
        <v>89</v>
      </c>
      <c r="F4470" s="5" t="s">
        <v>40</v>
      </c>
      <c r="G4470" s="6" t="n">
        <v>716</v>
      </c>
      <c r="H4470" s="6" t="n">
        <v>108</v>
      </c>
      <c r="I4470" s="7" t="n">
        <f aca="false">(G4470-H4470)/G4470</f>
        <v>0.849162011173184</v>
      </c>
      <c r="J4470" s="15" t="n">
        <v>0.4184</v>
      </c>
      <c r="K4470" s="11" t="str">
        <f aca="false">IF(I4470&lt;J4470,"TAK","NIE")</f>
        <v>NIE</v>
      </c>
    </row>
    <row r="4471" customFormat="false" ht="15" hidden="false" customHeight="false" outlineLevel="0" collapsed="false">
      <c r="A4471" s="5" t="s">
        <v>928</v>
      </c>
      <c r="B4471" s="5" t="s">
        <v>97</v>
      </c>
      <c r="C4471" s="5" t="n">
        <v>2025</v>
      </c>
      <c r="D4471" s="5" t="s">
        <v>68</v>
      </c>
      <c r="E4471" s="5" t="s">
        <v>89</v>
      </c>
      <c r="F4471" s="5" t="s">
        <v>40</v>
      </c>
      <c r="G4471" s="6" t="n">
        <v>716</v>
      </c>
      <c r="H4471" s="6" t="n">
        <v>75</v>
      </c>
      <c r="I4471" s="7" t="n">
        <f aca="false">(G4471-H4471)/G4471</f>
        <v>0.895251396648045</v>
      </c>
      <c r="J4471" s="15" t="n">
        <v>0.4184</v>
      </c>
      <c r="K4471" s="11" t="str">
        <f aca="false">IF(I4471&lt;J4471,"TAK","NIE")</f>
        <v>NIE</v>
      </c>
    </row>
    <row r="4472" customFormat="false" ht="15" hidden="false" customHeight="false" outlineLevel="0" collapsed="false">
      <c r="A4472" s="5" t="s">
        <v>929</v>
      </c>
      <c r="B4472" s="5" t="s">
        <v>97</v>
      </c>
      <c r="C4472" s="5" t="n">
        <v>2025</v>
      </c>
      <c r="D4472" s="5" t="s">
        <v>68</v>
      </c>
      <c r="E4472" s="5" t="s">
        <v>89</v>
      </c>
      <c r="F4472" s="5" t="s">
        <v>40</v>
      </c>
      <c r="G4472" s="6" t="n">
        <v>695</v>
      </c>
      <c r="H4472" s="6" t="n">
        <v>300</v>
      </c>
      <c r="I4472" s="7" t="n">
        <f aca="false">(G4472-H4472)/G4472</f>
        <v>0.568345323741007</v>
      </c>
      <c r="J4472" s="15" t="n">
        <v>0.4184</v>
      </c>
      <c r="K4472" s="11" t="str">
        <f aca="false">IF(I4472&lt;J4472,"TAK","NIE")</f>
        <v>NIE</v>
      </c>
    </row>
    <row r="4473" customFormat="false" ht="15" hidden="false" customHeight="false" outlineLevel="0" collapsed="false">
      <c r="A4473" s="5" t="s">
        <v>930</v>
      </c>
      <c r="B4473" s="5" t="s">
        <v>97</v>
      </c>
      <c r="C4473" s="5" t="n">
        <v>2025</v>
      </c>
      <c r="D4473" s="5" t="s">
        <v>68</v>
      </c>
      <c r="E4473" s="5" t="s">
        <v>89</v>
      </c>
      <c r="F4473" s="5" t="s">
        <v>40</v>
      </c>
      <c r="G4473" s="6" t="n">
        <v>716</v>
      </c>
      <c r="H4473" s="6" t="n">
        <v>126</v>
      </c>
      <c r="I4473" s="7" t="n">
        <f aca="false">(G4473-H4473)/G4473</f>
        <v>0.824022346368715</v>
      </c>
      <c r="J4473" s="15" t="n">
        <v>0.4184</v>
      </c>
      <c r="K4473" s="11" t="str">
        <f aca="false">IF(I4473&lt;J4473,"TAK","NIE")</f>
        <v>NIE</v>
      </c>
    </row>
    <row r="4474" customFormat="false" ht="15" hidden="false" customHeight="false" outlineLevel="0" collapsed="false">
      <c r="A4474" s="5" t="s">
        <v>931</v>
      </c>
      <c r="B4474" s="5" t="s">
        <v>97</v>
      </c>
      <c r="C4474" s="5" t="n">
        <v>2025</v>
      </c>
      <c r="D4474" s="5" t="s">
        <v>68</v>
      </c>
      <c r="E4474" s="5" t="s">
        <v>89</v>
      </c>
      <c r="F4474" s="5" t="s">
        <v>40</v>
      </c>
      <c r="G4474" s="6" t="n">
        <v>716</v>
      </c>
      <c r="H4474" s="6" t="n">
        <v>369</v>
      </c>
      <c r="I4474" s="7" t="n">
        <f aca="false">(G4474-H4474)/G4474</f>
        <v>0.48463687150838</v>
      </c>
      <c r="J4474" s="15" t="n">
        <v>0.4184</v>
      </c>
      <c r="K4474" s="11" t="str">
        <f aca="false">IF(I4474&lt;J4474,"TAK","NIE")</f>
        <v>NIE</v>
      </c>
    </row>
    <row r="4475" customFormat="false" ht="15" hidden="false" customHeight="false" outlineLevel="0" collapsed="false">
      <c r="A4475" s="5" t="s">
        <v>933</v>
      </c>
      <c r="B4475" s="5" t="s">
        <v>97</v>
      </c>
      <c r="C4475" s="5" t="n">
        <v>2025</v>
      </c>
      <c r="D4475" s="5" t="s">
        <v>68</v>
      </c>
      <c r="E4475" s="5" t="s">
        <v>89</v>
      </c>
      <c r="F4475" s="5" t="s">
        <v>40</v>
      </c>
      <c r="G4475" s="6" t="n">
        <v>716</v>
      </c>
      <c r="H4475" s="6" t="n">
        <v>105</v>
      </c>
      <c r="I4475" s="7" t="n">
        <f aca="false">(G4475-H4475)/G4475</f>
        <v>0.853351955307263</v>
      </c>
      <c r="J4475" s="15" t="n">
        <v>0.4184</v>
      </c>
      <c r="K4475" s="11" t="str">
        <f aca="false">IF(I4475&lt;J4475,"TAK","NIE")</f>
        <v>NIE</v>
      </c>
    </row>
    <row r="4476" customFormat="false" ht="15" hidden="false" customHeight="false" outlineLevel="0" collapsed="false">
      <c r="A4476" s="5" t="s">
        <v>934</v>
      </c>
      <c r="B4476" s="5" t="s">
        <v>97</v>
      </c>
      <c r="C4476" s="5" t="n">
        <v>2025</v>
      </c>
      <c r="D4476" s="5" t="s">
        <v>68</v>
      </c>
      <c r="E4476" s="5" t="s">
        <v>89</v>
      </c>
      <c r="F4476" s="5" t="s">
        <v>40</v>
      </c>
      <c r="G4476" s="6" t="n">
        <v>716</v>
      </c>
      <c r="H4476" s="6" t="n">
        <v>140</v>
      </c>
      <c r="I4476" s="7" t="n">
        <f aca="false">(G4476-H4476)/G4476</f>
        <v>0.804469273743017</v>
      </c>
      <c r="J4476" s="15" t="n">
        <v>0.4184</v>
      </c>
      <c r="K4476" s="11" t="str">
        <f aca="false">IF(I4476&lt;J4476,"TAK","NIE")</f>
        <v>NIE</v>
      </c>
    </row>
    <row r="4477" customFormat="false" ht="15" hidden="false" customHeight="false" outlineLevel="0" collapsed="false">
      <c r="A4477" s="5" t="s">
        <v>935</v>
      </c>
      <c r="B4477" s="5" t="s">
        <v>98</v>
      </c>
      <c r="C4477" s="5" t="n">
        <v>2025</v>
      </c>
      <c r="D4477" s="5" t="s">
        <v>99</v>
      </c>
      <c r="E4477" s="5" t="s">
        <v>89</v>
      </c>
      <c r="F4477" s="5" t="s">
        <v>39</v>
      </c>
      <c r="G4477" s="6" t="n">
        <v>513</v>
      </c>
      <c r="H4477" s="6" t="n">
        <v>17</v>
      </c>
      <c r="I4477" s="7" t="n">
        <f aca="false">(G4477-H4477)/G4477</f>
        <v>0.966861598440546</v>
      </c>
      <c r="J4477" s="15" t="n">
        <v>0.7068</v>
      </c>
      <c r="K4477" s="11" t="str">
        <f aca="false">IF(I4477&lt;J4477,"TAK","NIE")</f>
        <v>NIE</v>
      </c>
    </row>
    <row r="4478" customFormat="false" ht="15" hidden="false" customHeight="false" outlineLevel="0" collapsed="false">
      <c r="A4478" s="5" t="s">
        <v>936</v>
      </c>
      <c r="B4478" s="5" t="s">
        <v>98</v>
      </c>
      <c r="C4478" s="5" t="n">
        <v>2025</v>
      </c>
      <c r="D4478" s="5" t="s">
        <v>99</v>
      </c>
      <c r="E4478" s="5" t="s">
        <v>89</v>
      </c>
      <c r="F4478" s="5" t="s">
        <v>39</v>
      </c>
      <c r="G4478" s="6" t="n">
        <v>513</v>
      </c>
      <c r="H4478" s="6" t="n">
        <v>80</v>
      </c>
      <c r="I4478" s="7" t="n">
        <f aca="false">(G4478-H4478)/G4478</f>
        <v>0.844054580896686</v>
      </c>
      <c r="J4478" s="15" t="n">
        <v>0.7068</v>
      </c>
      <c r="K4478" s="11" t="str">
        <f aca="false">IF(I4478&lt;J4478,"TAK","NIE")</f>
        <v>NIE</v>
      </c>
    </row>
    <row r="4479" customFormat="false" ht="15" hidden="false" customHeight="false" outlineLevel="0" collapsed="false">
      <c r="A4479" s="5" t="s">
        <v>937</v>
      </c>
      <c r="B4479" s="5" t="s">
        <v>98</v>
      </c>
      <c r="C4479" s="5" t="n">
        <v>2025</v>
      </c>
      <c r="D4479" s="5" t="s">
        <v>99</v>
      </c>
      <c r="E4479" s="5" t="s">
        <v>89</v>
      </c>
      <c r="F4479" s="5" t="s">
        <v>39</v>
      </c>
      <c r="G4479" s="6" t="n">
        <v>98</v>
      </c>
      <c r="H4479" s="6" t="n">
        <v>20</v>
      </c>
      <c r="I4479" s="7" t="n">
        <f aca="false">(G4479-H4479)/G4479</f>
        <v>0.795918367346939</v>
      </c>
      <c r="J4479" s="15" t="n">
        <v>0.7068</v>
      </c>
      <c r="K4479" s="11" t="str">
        <f aca="false">IF(I4479&lt;J4479,"TAK","NIE")</f>
        <v>NIE</v>
      </c>
    </row>
    <row r="4480" customFormat="false" ht="15" hidden="false" customHeight="false" outlineLevel="0" collapsed="false">
      <c r="A4480" s="5" t="s">
        <v>938</v>
      </c>
      <c r="B4480" s="5" t="s">
        <v>98</v>
      </c>
      <c r="C4480" s="5" t="n">
        <v>2025</v>
      </c>
      <c r="D4480" s="5" t="s">
        <v>99</v>
      </c>
      <c r="E4480" s="5" t="s">
        <v>89</v>
      </c>
      <c r="F4480" s="5" t="s">
        <v>39</v>
      </c>
      <c r="G4480" s="6" t="n">
        <v>513</v>
      </c>
      <c r="H4480" s="6" t="n">
        <v>33</v>
      </c>
      <c r="I4480" s="7" t="n">
        <f aca="false">(G4480-H4480)/G4480</f>
        <v>0.935672514619883</v>
      </c>
      <c r="J4480" s="15" t="n">
        <v>0.7068</v>
      </c>
      <c r="K4480" s="11" t="str">
        <f aca="false">IF(I4480&lt;J4480,"TAK","NIE")</f>
        <v>NIE</v>
      </c>
    </row>
    <row r="4481" customFormat="false" ht="15" hidden="false" customHeight="false" outlineLevel="0" collapsed="false">
      <c r="A4481" s="5" t="s">
        <v>939</v>
      </c>
      <c r="B4481" s="5" t="s">
        <v>98</v>
      </c>
      <c r="C4481" s="5" t="n">
        <v>2025</v>
      </c>
      <c r="D4481" s="5" t="s">
        <v>99</v>
      </c>
      <c r="E4481" s="5" t="s">
        <v>89</v>
      </c>
      <c r="F4481" s="5" t="s">
        <v>39</v>
      </c>
      <c r="G4481" s="6" t="n">
        <v>513</v>
      </c>
      <c r="H4481" s="6" t="n">
        <v>41</v>
      </c>
      <c r="I4481" s="7" t="n">
        <f aca="false">(G4481-H4481)/G4481</f>
        <v>0.920077972709552</v>
      </c>
      <c r="J4481" s="15" t="n">
        <v>0.7068</v>
      </c>
      <c r="K4481" s="11" t="str">
        <f aca="false">IF(I4481&lt;J4481,"TAK","NIE")</f>
        <v>NIE</v>
      </c>
    </row>
    <row r="4482" customFormat="false" ht="15" hidden="false" customHeight="false" outlineLevel="0" collapsed="false">
      <c r="A4482" s="5" t="s">
        <v>516</v>
      </c>
      <c r="B4482" s="5" t="s">
        <v>98</v>
      </c>
      <c r="C4482" s="5" t="n">
        <v>2025</v>
      </c>
      <c r="D4482" s="5" t="s">
        <v>99</v>
      </c>
      <c r="E4482" s="5" t="s">
        <v>89</v>
      </c>
      <c r="F4482" s="5" t="s">
        <v>39</v>
      </c>
      <c r="G4482" s="6" t="n">
        <v>504</v>
      </c>
      <c r="H4482" s="6" t="n">
        <v>37</v>
      </c>
      <c r="I4482" s="7" t="n">
        <f aca="false">(G4482-H4482)/G4482</f>
        <v>0.926587301587302</v>
      </c>
      <c r="J4482" s="15" t="n">
        <v>0.7068</v>
      </c>
      <c r="K4482" s="11" t="str">
        <f aca="false">IF(I4482&lt;J4482,"TAK","NIE")</f>
        <v>NIE</v>
      </c>
    </row>
    <row r="4483" customFormat="false" ht="15" hidden="false" customHeight="false" outlineLevel="0" collapsed="false">
      <c r="A4483" s="5" t="s">
        <v>940</v>
      </c>
      <c r="B4483" s="5" t="s">
        <v>98</v>
      </c>
      <c r="C4483" s="5" t="n">
        <v>2025</v>
      </c>
      <c r="D4483" s="5" t="s">
        <v>99</v>
      </c>
      <c r="E4483" s="5" t="s">
        <v>89</v>
      </c>
      <c r="F4483" s="5" t="s">
        <v>39</v>
      </c>
      <c r="G4483" s="6" t="n">
        <v>513</v>
      </c>
      <c r="H4483" s="6" t="n">
        <v>17</v>
      </c>
      <c r="I4483" s="7" t="n">
        <f aca="false">(G4483-H4483)/G4483</f>
        <v>0.966861598440546</v>
      </c>
      <c r="J4483" s="15" t="n">
        <v>0.7068</v>
      </c>
      <c r="K4483" s="11" t="str">
        <f aca="false">IF(I4483&lt;J4483,"TAK","NIE")</f>
        <v>NIE</v>
      </c>
    </row>
    <row r="4484" customFormat="false" ht="15" hidden="false" customHeight="false" outlineLevel="0" collapsed="false">
      <c r="A4484" s="5" t="s">
        <v>941</v>
      </c>
      <c r="B4484" s="5" t="s">
        <v>98</v>
      </c>
      <c r="C4484" s="5" t="n">
        <v>2025</v>
      </c>
      <c r="D4484" s="5" t="s">
        <v>99</v>
      </c>
      <c r="E4484" s="5" t="s">
        <v>89</v>
      </c>
      <c r="F4484" s="5" t="s">
        <v>39</v>
      </c>
      <c r="G4484" s="6" t="n">
        <v>513</v>
      </c>
      <c r="H4484" s="6" t="n">
        <v>31</v>
      </c>
      <c r="I4484" s="7" t="n">
        <f aca="false">(G4484-H4484)/G4484</f>
        <v>0.939571150097466</v>
      </c>
      <c r="J4484" s="15" t="n">
        <v>0.7068</v>
      </c>
      <c r="K4484" s="11" t="str">
        <f aca="false">IF(I4484&lt;J4484,"TAK","NIE")</f>
        <v>NIE</v>
      </c>
    </row>
    <row r="4485" customFormat="false" ht="15" hidden="false" customHeight="false" outlineLevel="0" collapsed="false">
      <c r="A4485" s="5" t="s">
        <v>942</v>
      </c>
      <c r="B4485" s="5" t="s">
        <v>98</v>
      </c>
      <c r="C4485" s="5" t="n">
        <v>2025</v>
      </c>
      <c r="D4485" s="5" t="s">
        <v>99</v>
      </c>
      <c r="E4485" s="5" t="s">
        <v>89</v>
      </c>
      <c r="F4485" s="5" t="s">
        <v>39</v>
      </c>
      <c r="G4485" s="6" t="n">
        <v>513</v>
      </c>
      <c r="H4485" s="6" t="n">
        <v>80</v>
      </c>
      <c r="I4485" s="7" t="n">
        <f aca="false">(G4485-H4485)/G4485</f>
        <v>0.844054580896686</v>
      </c>
      <c r="J4485" s="15" t="n">
        <v>0.7068</v>
      </c>
      <c r="K4485" s="11" t="str">
        <f aca="false">IF(I4485&lt;J4485,"TAK","NIE")</f>
        <v>NIE</v>
      </c>
    </row>
    <row r="4486" customFormat="false" ht="15" hidden="false" customHeight="false" outlineLevel="0" collapsed="false">
      <c r="A4486" s="5" t="s">
        <v>943</v>
      </c>
      <c r="B4486" s="5" t="s">
        <v>98</v>
      </c>
      <c r="C4486" s="5" t="n">
        <v>2025</v>
      </c>
      <c r="D4486" s="5" t="s">
        <v>99</v>
      </c>
      <c r="E4486" s="5" t="s">
        <v>89</v>
      </c>
      <c r="F4486" s="5" t="s">
        <v>39</v>
      </c>
      <c r="G4486" s="6" t="n">
        <v>504</v>
      </c>
      <c r="H4486" s="6" t="n">
        <v>29</v>
      </c>
      <c r="I4486" s="7" t="n">
        <f aca="false">(G4486-H4486)/G4486</f>
        <v>0.942460317460317</v>
      </c>
      <c r="J4486" s="15" t="n">
        <v>0.7068</v>
      </c>
      <c r="K4486" s="11" t="str">
        <f aca="false">IF(I4486&lt;J4486,"TAK","NIE")</f>
        <v>NIE</v>
      </c>
    </row>
    <row r="4487" customFormat="false" ht="15" hidden="false" customHeight="false" outlineLevel="0" collapsed="false">
      <c r="A4487" s="5" t="s">
        <v>944</v>
      </c>
      <c r="B4487" s="5" t="s">
        <v>98</v>
      </c>
      <c r="C4487" s="5" t="n">
        <v>2025</v>
      </c>
      <c r="D4487" s="5" t="s">
        <v>99</v>
      </c>
      <c r="E4487" s="5" t="s">
        <v>89</v>
      </c>
      <c r="F4487" s="5" t="s">
        <v>39</v>
      </c>
      <c r="G4487" s="6" t="n">
        <v>513</v>
      </c>
      <c r="H4487" s="6" t="n">
        <v>58</v>
      </c>
      <c r="I4487" s="7" t="n">
        <f aca="false">(G4487-H4487)/G4487</f>
        <v>0.886939571150098</v>
      </c>
      <c r="J4487" s="15" t="n">
        <v>0.7068</v>
      </c>
      <c r="K4487" s="11" t="str">
        <f aca="false">IF(I4487&lt;J4487,"TAK","NIE")</f>
        <v>NIE</v>
      </c>
    </row>
    <row r="4488" customFormat="false" ht="15" hidden="false" customHeight="false" outlineLevel="0" collapsed="false">
      <c r="A4488" s="5" t="s">
        <v>945</v>
      </c>
      <c r="B4488" s="5" t="s">
        <v>98</v>
      </c>
      <c r="C4488" s="5" t="n">
        <v>2025</v>
      </c>
      <c r="D4488" s="5" t="s">
        <v>99</v>
      </c>
      <c r="E4488" s="5" t="s">
        <v>89</v>
      </c>
      <c r="F4488" s="5" t="s">
        <v>39</v>
      </c>
      <c r="G4488" s="6" t="n">
        <v>513</v>
      </c>
      <c r="H4488" s="6" t="n">
        <v>24</v>
      </c>
      <c r="I4488" s="7" t="n">
        <f aca="false">(G4488-H4488)/G4488</f>
        <v>0.953216374269006</v>
      </c>
      <c r="J4488" s="15" t="n">
        <v>0.7068</v>
      </c>
      <c r="K4488" s="11" t="str">
        <f aca="false">IF(I4488&lt;J4488,"TAK","NIE")</f>
        <v>NIE</v>
      </c>
    </row>
    <row r="4489" customFormat="false" ht="15" hidden="false" customHeight="false" outlineLevel="0" collapsed="false">
      <c r="A4489" s="5" t="s">
        <v>946</v>
      </c>
      <c r="B4489" s="5" t="s">
        <v>98</v>
      </c>
      <c r="C4489" s="5" t="n">
        <v>2025</v>
      </c>
      <c r="D4489" s="5" t="s">
        <v>99</v>
      </c>
      <c r="E4489" s="5" t="s">
        <v>89</v>
      </c>
      <c r="F4489" s="5" t="s">
        <v>39</v>
      </c>
      <c r="G4489" s="6" t="n">
        <v>513</v>
      </c>
      <c r="H4489" s="6" t="n">
        <v>20</v>
      </c>
      <c r="I4489" s="7" t="n">
        <f aca="false">(G4489-H4489)/G4489</f>
        <v>0.961013645224172</v>
      </c>
      <c r="J4489" s="15" t="n">
        <v>0.7068</v>
      </c>
      <c r="K4489" s="11" t="str">
        <f aca="false">IF(I4489&lt;J4489,"TAK","NIE")</f>
        <v>NIE</v>
      </c>
    </row>
    <row r="4490" customFormat="false" ht="15" hidden="false" customHeight="false" outlineLevel="0" collapsed="false">
      <c r="A4490" s="5" t="s">
        <v>947</v>
      </c>
      <c r="B4490" s="5" t="s">
        <v>98</v>
      </c>
      <c r="C4490" s="5" t="n">
        <v>2025</v>
      </c>
      <c r="D4490" s="5" t="s">
        <v>99</v>
      </c>
      <c r="E4490" s="5" t="s">
        <v>89</v>
      </c>
      <c r="F4490" s="5" t="s">
        <v>39</v>
      </c>
      <c r="G4490" s="6" t="n">
        <v>513</v>
      </c>
      <c r="H4490" s="6" t="n">
        <v>30</v>
      </c>
      <c r="I4490" s="7" t="n">
        <f aca="false">(G4490-H4490)/G4490</f>
        <v>0.941520467836257</v>
      </c>
      <c r="J4490" s="15" t="n">
        <v>0.7068</v>
      </c>
      <c r="K4490" s="11" t="str">
        <f aca="false">IF(I4490&lt;J4490,"TAK","NIE")</f>
        <v>NIE</v>
      </c>
    </row>
    <row r="4491" customFormat="false" ht="15" hidden="false" customHeight="false" outlineLevel="0" collapsed="false">
      <c r="A4491" s="5" t="s">
        <v>948</v>
      </c>
      <c r="B4491" s="5" t="s">
        <v>98</v>
      </c>
      <c r="C4491" s="5" t="n">
        <v>2025</v>
      </c>
      <c r="D4491" s="5" t="s">
        <v>99</v>
      </c>
      <c r="E4491" s="5" t="s">
        <v>89</v>
      </c>
      <c r="F4491" s="5" t="s">
        <v>39</v>
      </c>
      <c r="G4491" s="6" t="n">
        <v>513</v>
      </c>
      <c r="H4491" s="6" t="n">
        <v>75</v>
      </c>
      <c r="I4491" s="7" t="n">
        <f aca="false">(G4491-H4491)/G4491</f>
        <v>0.853801169590643</v>
      </c>
      <c r="J4491" s="15" t="n">
        <v>0.7068</v>
      </c>
      <c r="K4491" s="11" t="str">
        <f aca="false">IF(I4491&lt;J4491,"TAK","NIE")</f>
        <v>NIE</v>
      </c>
    </row>
    <row r="4492" customFormat="false" ht="15" hidden="false" customHeight="false" outlineLevel="0" collapsed="false">
      <c r="A4492" s="5" t="s">
        <v>949</v>
      </c>
      <c r="B4492" s="5" t="s">
        <v>98</v>
      </c>
      <c r="C4492" s="5" t="n">
        <v>2025</v>
      </c>
      <c r="D4492" s="5" t="s">
        <v>99</v>
      </c>
      <c r="E4492" s="5" t="s">
        <v>89</v>
      </c>
      <c r="F4492" s="5" t="s">
        <v>39</v>
      </c>
      <c r="G4492" s="6" t="n">
        <v>513</v>
      </c>
      <c r="H4492" s="6" t="n">
        <v>27</v>
      </c>
      <c r="I4492" s="7" t="n">
        <f aca="false">(G4492-H4492)/G4492</f>
        <v>0.947368421052632</v>
      </c>
      <c r="J4492" s="15" t="n">
        <v>0.7068</v>
      </c>
      <c r="K4492" s="11" t="str">
        <f aca="false">IF(I4492&lt;J4492,"TAK","NIE")</f>
        <v>NIE</v>
      </c>
    </row>
    <row r="4493" customFormat="false" ht="15" hidden="false" customHeight="false" outlineLevel="0" collapsed="false">
      <c r="A4493" s="5" t="s">
        <v>950</v>
      </c>
      <c r="B4493" s="5" t="s">
        <v>98</v>
      </c>
      <c r="C4493" s="5" t="n">
        <v>2025</v>
      </c>
      <c r="D4493" s="5" t="s">
        <v>99</v>
      </c>
      <c r="E4493" s="5" t="s">
        <v>89</v>
      </c>
      <c r="F4493" s="5" t="s">
        <v>39</v>
      </c>
      <c r="G4493" s="6" t="n">
        <v>513</v>
      </c>
      <c r="H4493" s="6" t="n">
        <v>105</v>
      </c>
      <c r="I4493" s="7" t="n">
        <f aca="false">(G4493-H4493)/G4493</f>
        <v>0.795321637426901</v>
      </c>
      <c r="J4493" s="15" t="n">
        <v>0.7068</v>
      </c>
      <c r="K4493" s="11" t="str">
        <f aca="false">IF(I4493&lt;J4493,"TAK","NIE")</f>
        <v>NIE</v>
      </c>
    </row>
    <row r="4494" customFormat="false" ht="15" hidden="false" customHeight="false" outlineLevel="0" collapsed="false">
      <c r="A4494" s="5" t="s">
        <v>951</v>
      </c>
      <c r="B4494" s="5" t="s">
        <v>98</v>
      </c>
      <c r="C4494" s="5" t="n">
        <v>2025</v>
      </c>
      <c r="D4494" s="5" t="s">
        <v>99</v>
      </c>
      <c r="E4494" s="5" t="s">
        <v>89</v>
      </c>
      <c r="F4494" s="5" t="s">
        <v>39</v>
      </c>
      <c r="G4494" s="6" t="n">
        <v>472</v>
      </c>
      <c r="H4494" s="6" t="n">
        <v>127</v>
      </c>
      <c r="I4494" s="7" t="n">
        <f aca="false">(G4494-H4494)/G4494</f>
        <v>0.730932203389831</v>
      </c>
      <c r="J4494" s="15" t="n">
        <v>0.7068</v>
      </c>
      <c r="K4494" s="11" t="str">
        <f aca="false">IF(I4494&lt;J4494,"TAK","NIE")</f>
        <v>NIE</v>
      </c>
    </row>
    <row r="4495" customFormat="false" ht="15" hidden="false" customHeight="false" outlineLevel="0" collapsed="false">
      <c r="A4495" s="5" t="s">
        <v>952</v>
      </c>
      <c r="B4495" s="5" t="s">
        <v>98</v>
      </c>
      <c r="C4495" s="5" t="n">
        <v>2025</v>
      </c>
      <c r="D4495" s="5" t="s">
        <v>99</v>
      </c>
      <c r="E4495" s="5" t="s">
        <v>89</v>
      </c>
      <c r="F4495" s="5" t="s">
        <v>39</v>
      </c>
      <c r="G4495" s="6" t="n">
        <v>513</v>
      </c>
      <c r="H4495" s="6" t="n">
        <v>61</v>
      </c>
      <c r="I4495" s="7" t="n">
        <f aca="false">(G4495-H4495)/G4495</f>
        <v>0.881091617933723</v>
      </c>
      <c r="J4495" s="15" t="n">
        <v>0.7068</v>
      </c>
      <c r="K4495" s="11" t="str">
        <f aca="false">IF(I4495&lt;J4495,"TAK","NIE")</f>
        <v>NIE</v>
      </c>
    </row>
    <row r="4496" customFormat="false" ht="15" hidden="false" customHeight="false" outlineLevel="0" collapsed="false">
      <c r="A4496" s="5" t="s">
        <v>953</v>
      </c>
      <c r="B4496" s="5" t="s">
        <v>98</v>
      </c>
      <c r="C4496" s="5" t="n">
        <v>2025</v>
      </c>
      <c r="D4496" s="5" t="s">
        <v>99</v>
      </c>
      <c r="E4496" s="5" t="s">
        <v>89</v>
      </c>
      <c r="F4496" s="5" t="s">
        <v>39</v>
      </c>
      <c r="G4496" s="6" t="n">
        <v>513</v>
      </c>
      <c r="H4496" s="6" t="n">
        <v>33</v>
      </c>
      <c r="I4496" s="7" t="n">
        <f aca="false">(G4496-H4496)/G4496</f>
        <v>0.935672514619883</v>
      </c>
      <c r="J4496" s="15" t="n">
        <v>0.7068</v>
      </c>
      <c r="K4496" s="11" t="str">
        <f aca="false">IF(I4496&lt;J4496,"TAK","NIE")</f>
        <v>NIE</v>
      </c>
    </row>
    <row r="4497" customFormat="false" ht="15" hidden="false" customHeight="false" outlineLevel="0" collapsed="false">
      <c r="A4497" s="5" t="s">
        <v>954</v>
      </c>
      <c r="B4497" s="5" t="s">
        <v>98</v>
      </c>
      <c r="C4497" s="5" t="n">
        <v>2025</v>
      </c>
      <c r="D4497" s="5" t="s">
        <v>99</v>
      </c>
      <c r="E4497" s="5" t="s">
        <v>89</v>
      </c>
      <c r="F4497" s="5" t="s">
        <v>39</v>
      </c>
      <c r="G4497" s="6" t="n">
        <v>513</v>
      </c>
      <c r="H4497" s="6" t="n">
        <v>92</v>
      </c>
      <c r="I4497" s="7" t="n">
        <f aca="false">(G4497-H4497)/G4497</f>
        <v>0.820662768031189</v>
      </c>
      <c r="J4497" s="15" t="n">
        <v>0.7068</v>
      </c>
      <c r="K4497" s="11" t="str">
        <f aca="false">IF(I4497&lt;J4497,"TAK","NIE")</f>
        <v>NIE</v>
      </c>
    </row>
    <row r="4498" customFormat="false" ht="15" hidden="false" customHeight="false" outlineLevel="0" collapsed="false">
      <c r="A4498" s="5" t="s">
        <v>955</v>
      </c>
      <c r="B4498" s="5" t="s">
        <v>98</v>
      </c>
      <c r="C4498" s="5" t="n">
        <v>2025</v>
      </c>
      <c r="D4498" s="5" t="s">
        <v>99</v>
      </c>
      <c r="E4498" s="5" t="s">
        <v>89</v>
      </c>
      <c r="F4498" s="5" t="s">
        <v>39</v>
      </c>
      <c r="G4498" s="6" t="n">
        <v>513</v>
      </c>
      <c r="H4498" s="6" t="n">
        <v>53</v>
      </c>
      <c r="I4498" s="7" t="n">
        <f aca="false">(G4498-H4498)/G4498</f>
        <v>0.896686159844055</v>
      </c>
      <c r="J4498" s="15" t="n">
        <v>0.7068</v>
      </c>
      <c r="K4498" s="11" t="str">
        <f aca="false">IF(I4498&lt;J4498,"TAK","NIE")</f>
        <v>NIE</v>
      </c>
    </row>
    <row r="4499" customFormat="false" ht="15" hidden="false" customHeight="false" outlineLevel="0" collapsed="false">
      <c r="A4499" s="5" t="s">
        <v>956</v>
      </c>
      <c r="B4499" s="5" t="s">
        <v>98</v>
      </c>
      <c r="C4499" s="5" t="n">
        <v>2025</v>
      </c>
      <c r="D4499" s="5" t="s">
        <v>99</v>
      </c>
      <c r="E4499" s="5" t="s">
        <v>89</v>
      </c>
      <c r="F4499" s="5" t="s">
        <v>39</v>
      </c>
      <c r="G4499" s="6" t="n">
        <v>513</v>
      </c>
      <c r="H4499" s="6" t="n">
        <v>13</v>
      </c>
      <c r="I4499" s="7" t="n">
        <f aca="false">(G4499-H4499)/G4499</f>
        <v>0.974658869395711</v>
      </c>
      <c r="J4499" s="15" t="n">
        <v>0.7068</v>
      </c>
      <c r="K4499" s="11" t="str">
        <f aca="false">IF(I4499&lt;J4499,"TAK","NIE")</f>
        <v>NIE</v>
      </c>
    </row>
    <row r="4500" customFormat="false" ht="15" hidden="false" customHeight="false" outlineLevel="0" collapsed="false">
      <c r="A4500" s="5" t="s">
        <v>957</v>
      </c>
      <c r="B4500" s="5" t="s">
        <v>98</v>
      </c>
      <c r="C4500" s="5" t="n">
        <v>2025</v>
      </c>
      <c r="D4500" s="5" t="s">
        <v>99</v>
      </c>
      <c r="E4500" s="5" t="s">
        <v>89</v>
      </c>
      <c r="F4500" s="5" t="s">
        <v>39</v>
      </c>
      <c r="G4500" s="6" t="n">
        <v>513</v>
      </c>
      <c r="H4500" s="6" t="n">
        <v>70</v>
      </c>
      <c r="I4500" s="7" t="n">
        <f aca="false">(G4500-H4500)/G4500</f>
        <v>0.8635477582846</v>
      </c>
      <c r="J4500" s="15" t="n">
        <v>0.7068</v>
      </c>
      <c r="K4500" s="11" t="str">
        <f aca="false">IF(I4500&lt;J4500,"TAK","NIE")</f>
        <v>NIE</v>
      </c>
    </row>
    <row r="4501" customFormat="false" ht="15" hidden="false" customHeight="false" outlineLevel="0" collapsed="false">
      <c r="A4501" s="5" t="s">
        <v>958</v>
      </c>
      <c r="B4501" s="5" t="s">
        <v>98</v>
      </c>
      <c r="C4501" s="5" t="n">
        <v>2025</v>
      </c>
      <c r="D4501" s="5" t="s">
        <v>99</v>
      </c>
      <c r="E4501" s="5" t="s">
        <v>89</v>
      </c>
      <c r="F4501" s="5" t="s">
        <v>39</v>
      </c>
      <c r="G4501" s="6" t="n">
        <v>513</v>
      </c>
      <c r="H4501" s="6" t="n">
        <v>25</v>
      </c>
      <c r="I4501" s="7" t="n">
        <f aca="false">(G4501-H4501)/G4501</f>
        <v>0.951267056530214</v>
      </c>
      <c r="J4501" s="15" t="n">
        <v>0.7068</v>
      </c>
      <c r="K4501" s="11" t="str">
        <f aca="false">IF(I4501&lt;J4501,"TAK","NIE")</f>
        <v>NIE</v>
      </c>
    </row>
    <row r="4502" customFormat="false" ht="15" hidden="false" customHeight="false" outlineLevel="0" collapsed="false">
      <c r="A4502" s="5" t="s">
        <v>959</v>
      </c>
      <c r="B4502" s="5" t="s">
        <v>98</v>
      </c>
      <c r="C4502" s="5" t="n">
        <v>2025</v>
      </c>
      <c r="D4502" s="5" t="s">
        <v>99</v>
      </c>
      <c r="E4502" s="5" t="s">
        <v>89</v>
      </c>
      <c r="F4502" s="5" t="s">
        <v>39</v>
      </c>
      <c r="G4502" s="6" t="n">
        <v>513</v>
      </c>
      <c r="H4502" s="6" t="n">
        <v>7</v>
      </c>
      <c r="I4502" s="7" t="n">
        <f aca="false">(G4502-H4502)/G4502</f>
        <v>0.98635477582846</v>
      </c>
      <c r="J4502" s="15" t="n">
        <v>0.7068</v>
      </c>
      <c r="K4502" s="11" t="str">
        <f aca="false">IF(I4502&lt;J4502,"TAK","NIE")</f>
        <v>NIE</v>
      </c>
    </row>
    <row r="4503" customFormat="false" ht="15" hidden="false" customHeight="false" outlineLevel="0" collapsed="false">
      <c r="A4503" s="5" t="s">
        <v>960</v>
      </c>
      <c r="B4503" s="5" t="s">
        <v>98</v>
      </c>
      <c r="C4503" s="5" t="n">
        <v>2025</v>
      </c>
      <c r="D4503" s="5" t="s">
        <v>99</v>
      </c>
      <c r="E4503" s="5" t="s">
        <v>89</v>
      </c>
      <c r="F4503" s="5" t="s">
        <v>39</v>
      </c>
      <c r="G4503" s="6" t="n">
        <v>513</v>
      </c>
      <c r="H4503" s="6" t="n">
        <v>117</v>
      </c>
      <c r="I4503" s="7" t="n">
        <f aca="false">(G4503-H4503)/G4503</f>
        <v>0.771929824561404</v>
      </c>
      <c r="J4503" s="15" t="n">
        <v>0.7068</v>
      </c>
      <c r="K4503" s="11" t="str">
        <f aca="false">IF(I4503&lt;J4503,"TAK","NIE")</f>
        <v>NIE</v>
      </c>
    </row>
    <row r="4504" customFormat="false" ht="15" hidden="false" customHeight="false" outlineLevel="0" collapsed="false">
      <c r="A4504" s="5" t="s">
        <v>961</v>
      </c>
      <c r="B4504" s="5" t="s">
        <v>98</v>
      </c>
      <c r="C4504" s="5" t="n">
        <v>2025</v>
      </c>
      <c r="D4504" s="5" t="s">
        <v>99</v>
      </c>
      <c r="E4504" s="5" t="s">
        <v>89</v>
      </c>
      <c r="F4504" s="5" t="s">
        <v>39</v>
      </c>
      <c r="G4504" s="6" t="n">
        <v>504</v>
      </c>
      <c r="H4504" s="6" t="n">
        <v>41</v>
      </c>
      <c r="I4504" s="7" t="n">
        <f aca="false">(G4504-H4504)/G4504</f>
        <v>0.918650793650794</v>
      </c>
      <c r="J4504" s="15" t="n">
        <v>0.7068</v>
      </c>
      <c r="K4504" s="11" t="str">
        <f aca="false">IF(I4504&lt;J4504,"TAK","NIE")</f>
        <v>NIE</v>
      </c>
    </row>
    <row r="4505" customFormat="false" ht="15" hidden="false" customHeight="false" outlineLevel="0" collapsed="false">
      <c r="A4505" s="5" t="s">
        <v>935</v>
      </c>
      <c r="B4505" s="5" t="s">
        <v>98</v>
      </c>
      <c r="C4505" s="5" t="n">
        <v>2025</v>
      </c>
      <c r="D4505" s="5" t="s">
        <v>99</v>
      </c>
      <c r="E4505" s="5" t="s">
        <v>89</v>
      </c>
      <c r="F4505" s="5" t="s">
        <v>40</v>
      </c>
      <c r="G4505" s="6" t="n">
        <v>700</v>
      </c>
      <c r="H4505" s="6" t="n">
        <v>183</v>
      </c>
      <c r="I4505" s="7" t="n">
        <f aca="false">(G4505-H4505)/G4505</f>
        <v>0.738571428571429</v>
      </c>
      <c r="J4505" s="15" t="n">
        <v>0.4374</v>
      </c>
      <c r="K4505" s="11" t="str">
        <f aca="false">IF(I4505&lt;J4505,"TAK","NIE")</f>
        <v>NIE</v>
      </c>
    </row>
    <row r="4506" customFormat="false" ht="15" hidden="false" customHeight="false" outlineLevel="0" collapsed="false">
      <c r="A4506" s="5" t="s">
        <v>936</v>
      </c>
      <c r="B4506" s="5" t="s">
        <v>98</v>
      </c>
      <c r="C4506" s="5" t="n">
        <v>2025</v>
      </c>
      <c r="D4506" s="5" t="s">
        <v>99</v>
      </c>
      <c r="E4506" s="5" t="s">
        <v>89</v>
      </c>
      <c r="F4506" s="5" t="s">
        <v>40</v>
      </c>
      <c r="G4506" s="6" t="n">
        <v>700</v>
      </c>
      <c r="H4506" s="6" t="n">
        <v>193</v>
      </c>
      <c r="I4506" s="7" t="n">
        <f aca="false">(G4506-H4506)/G4506</f>
        <v>0.724285714285714</v>
      </c>
      <c r="J4506" s="15" t="n">
        <v>0.4374</v>
      </c>
      <c r="K4506" s="11" t="str">
        <f aca="false">IF(I4506&lt;J4506,"TAK","NIE")</f>
        <v>NIE</v>
      </c>
    </row>
    <row r="4507" customFormat="false" ht="15" hidden="false" customHeight="false" outlineLevel="0" collapsed="false">
      <c r="A4507" s="5" t="s">
        <v>938</v>
      </c>
      <c r="B4507" s="5" t="s">
        <v>98</v>
      </c>
      <c r="C4507" s="5" t="n">
        <v>2025</v>
      </c>
      <c r="D4507" s="5" t="s">
        <v>99</v>
      </c>
      <c r="E4507" s="5" t="s">
        <v>89</v>
      </c>
      <c r="F4507" s="5" t="s">
        <v>40</v>
      </c>
      <c r="G4507" s="6" t="n">
        <v>696</v>
      </c>
      <c r="H4507" s="6" t="n">
        <v>99</v>
      </c>
      <c r="I4507" s="7" t="n">
        <f aca="false">(G4507-H4507)/G4507</f>
        <v>0.857758620689655</v>
      </c>
      <c r="J4507" s="15" t="n">
        <v>0.4374</v>
      </c>
      <c r="K4507" s="11" t="str">
        <f aca="false">IF(I4507&lt;J4507,"TAK","NIE")</f>
        <v>NIE</v>
      </c>
    </row>
    <row r="4508" customFormat="false" ht="15" hidden="false" customHeight="false" outlineLevel="0" collapsed="false">
      <c r="A4508" s="5" t="s">
        <v>939</v>
      </c>
      <c r="B4508" s="5" t="s">
        <v>98</v>
      </c>
      <c r="C4508" s="5" t="n">
        <v>2025</v>
      </c>
      <c r="D4508" s="5" t="s">
        <v>99</v>
      </c>
      <c r="E4508" s="5" t="s">
        <v>89</v>
      </c>
      <c r="F4508" s="5" t="s">
        <v>40</v>
      </c>
      <c r="G4508" s="6" t="n">
        <v>696</v>
      </c>
      <c r="H4508" s="6" t="n">
        <v>146</v>
      </c>
      <c r="I4508" s="7" t="n">
        <f aca="false">(G4508-H4508)/G4508</f>
        <v>0.790229885057471</v>
      </c>
      <c r="J4508" s="15" t="n">
        <v>0.4374</v>
      </c>
      <c r="K4508" s="11" t="str">
        <f aca="false">IF(I4508&lt;J4508,"TAK","NIE")</f>
        <v>NIE</v>
      </c>
    </row>
    <row r="4509" customFormat="false" ht="15" hidden="false" customHeight="false" outlineLevel="0" collapsed="false">
      <c r="A4509" s="5" t="s">
        <v>516</v>
      </c>
      <c r="B4509" s="5" t="s">
        <v>98</v>
      </c>
      <c r="C4509" s="5" t="n">
        <v>2025</v>
      </c>
      <c r="D4509" s="5" t="s">
        <v>99</v>
      </c>
      <c r="E4509" s="5" t="s">
        <v>89</v>
      </c>
      <c r="F4509" s="5" t="s">
        <v>40</v>
      </c>
      <c r="G4509" s="6" t="n">
        <v>676</v>
      </c>
      <c r="H4509" s="6" t="n">
        <v>156</v>
      </c>
      <c r="I4509" s="7" t="n">
        <f aca="false">(G4509-H4509)/G4509</f>
        <v>0.769230769230769</v>
      </c>
      <c r="J4509" s="15" t="n">
        <v>0.4374</v>
      </c>
      <c r="K4509" s="11" t="str">
        <f aca="false">IF(I4509&lt;J4509,"TAK","NIE")</f>
        <v>NIE</v>
      </c>
    </row>
    <row r="4510" customFormat="false" ht="15" hidden="false" customHeight="false" outlineLevel="0" collapsed="false">
      <c r="A4510" s="5" t="s">
        <v>940</v>
      </c>
      <c r="B4510" s="5" t="s">
        <v>98</v>
      </c>
      <c r="C4510" s="5" t="n">
        <v>2025</v>
      </c>
      <c r="D4510" s="5" t="s">
        <v>99</v>
      </c>
      <c r="E4510" s="5" t="s">
        <v>89</v>
      </c>
      <c r="F4510" s="5" t="s">
        <v>40</v>
      </c>
      <c r="G4510" s="6" t="n">
        <v>700</v>
      </c>
      <c r="H4510" s="6" t="n">
        <v>69</v>
      </c>
      <c r="I4510" s="7" t="n">
        <f aca="false">(G4510-H4510)/G4510</f>
        <v>0.901428571428572</v>
      </c>
      <c r="J4510" s="15" t="n">
        <v>0.4374</v>
      </c>
      <c r="K4510" s="11" t="str">
        <f aca="false">IF(I4510&lt;J4510,"TAK","NIE")</f>
        <v>NIE</v>
      </c>
    </row>
    <row r="4511" customFormat="false" ht="15" hidden="false" customHeight="false" outlineLevel="0" collapsed="false">
      <c r="A4511" s="5" t="s">
        <v>941</v>
      </c>
      <c r="B4511" s="5" t="s">
        <v>98</v>
      </c>
      <c r="C4511" s="5" t="n">
        <v>2025</v>
      </c>
      <c r="D4511" s="5" t="s">
        <v>99</v>
      </c>
      <c r="E4511" s="5" t="s">
        <v>89</v>
      </c>
      <c r="F4511" s="5" t="s">
        <v>40</v>
      </c>
      <c r="G4511" s="6" t="n">
        <v>700</v>
      </c>
      <c r="H4511" s="6" t="n">
        <v>182</v>
      </c>
      <c r="I4511" s="7" t="n">
        <f aca="false">(G4511-H4511)/G4511</f>
        <v>0.74</v>
      </c>
      <c r="J4511" s="15" t="n">
        <v>0.4374</v>
      </c>
      <c r="K4511" s="11" t="str">
        <f aca="false">IF(I4511&lt;J4511,"TAK","NIE")</f>
        <v>NIE</v>
      </c>
    </row>
    <row r="4512" customFormat="false" ht="15" hidden="false" customHeight="false" outlineLevel="0" collapsed="false">
      <c r="A4512" s="5" t="s">
        <v>942</v>
      </c>
      <c r="B4512" s="5" t="s">
        <v>98</v>
      </c>
      <c r="C4512" s="5" t="n">
        <v>2025</v>
      </c>
      <c r="D4512" s="5" t="s">
        <v>99</v>
      </c>
      <c r="E4512" s="5" t="s">
        <v>89</v>
      </c>
      <c r="F4512" s="5" t="s">
        <v>40</v>
      </c>
      <c r="G4512" s="6" t="n">
        <v>696</v>
      </c>
      <c r="H4512" s="6" t="n">
        <v>258</v>
      </c>
      <c r="I4512" s="7" t="n">
        <f aca="false">(G4512-H4512)/G4512</f>
        <v>0.629310344827586</v>
      </c>
      <c r="J4512" s="15" t="n">
        <v>0.4374</v>
      </c>
      <c r="K4512" s="11" t="str">
        <f aca="false">IF(I4512&lt;J4512,"TAK","NIE")</f>
        <v>NIE</v>
      </c>
    </row>
    <row r="4513" customFormat="false" ht="15" hidden="false" customHeight="false" outlineLevel="0" collapsed="false">
      <c r="A4513" s="5" t="s">
        <v>943</v>
      </c>
      <c r="B4513" s="5" t="s">
        <v>98</v>
      </c>
      <c r="C4513" s="5" t="n">
        <v>2025</v>
      </c>
      <c r="D4513" s="5" t="s">
        <v>99</v>
      </c>
      <c r="E4513" s="5" t="s">
        <v>89</v>
      </c>
      <c r="F4513" s="5" t="s">
        <v>40</v>
      </c>
      <c r="G4513" s="6" t="n">
        <v>680</v>
      </c>
      <c r="H4513" s="6" t="n">
        <v>143</v>
      </c>
      <c r="I4513" s="7" t="n">
        <f aca="false">(G4513-H4513)/G4513</f>
        <v>0.789705882352941</v>
      </c>
      <c r="J4513" s="15" t="n">
        <v>0.4374</v>
      </c>
      <c r="K4513" s="11" t="str">
        <f aca="false">IF(I4513&lt;J4513,"TAK","NIE")</f>
        <v>NIE</v>
      </c>
    </row>
    <row r="4514" customFormat="false" ht="15" hidden="false" customHeight="false" outlineLevel="0" collapsed="false">
      <c r="A4514" s="5" t="s">
        <v>944</v>
      </c>
      <c r="B4514" s="5" t="s">
        <v>98</v>
      </c>
      <c r="C4514" s="5" t="n">
        <v>2025</v>
      </c>
      <c r="D4514" s="5" t="s">
        <v>99</v>
      </c>
      <c r="E4514" s="5" t="s">
        <v>89</v>
      </c>
      <c r="F4514" s="5" t="s">
        <v>40</v>
      </c>
      <c r="G4514" s="6" t="n">
        <v>696</v>
      </c>
      <c r="H4514" s="6" t="n">
        <v>249</v>
      </c>
      <c r="I4514" s="7" t="n">
        <f aca="false">(G4514-H4514)/G4514</f>
        <v>0.642241379310345</v>
      </c>
      <c r="J4514" s="15" t="n">
        <v>0.4374</v>
      </c>
      <c r="K4514" s="11" t="str">
        <f aca="false">IF(I4514&lt;J4514,"TAK","NIE")</f>
        <v>NIE</v>
      </c>
    </row>
    <row r="4515" customFormat="false" ht="15" hidden="false" customHeight="false" outlineLevel="0" collapsed="false">
      <c r="A4515" s="5" t="s">
        <v>945</v>
      </c>
      <c r="B4515" s="5" t="s">
        <v>98</v>
      </c>
      <c r="C4515" s="5" t="n">
        <v>2025</v>
      </c>
      <c r="D4515" s="5" t="s">
        <v>99</v>
      </c>
      <c r="E4515" s="5" t="s">
        <v>89</v>
      </c>
      <c r="F4515" s="5" t="s">
        <v>40</v>
      </c>
      <c r="G4515" s="6" t="n">
        <v>700</v>
      </c>
      <c r="H4515" s="6" t="n">
        <v>176</v>
      </c>
      <c r="I4515" s="7" t="n">
        <f aca="false">(G4515-H4515)/G4515</f>
        <v>0.748571428571429</v>
      </c>
      <c r="J4515" s="15" t="n">
        <v>0.4374</v>
      </c>
      <c r="K4515" s="11" t="str">
        <f aca="false">IF(I4515&lt;J4515,"TAK","NIE")</f>
        <v>NIE</v>
      </c>
    </row>
    <row r="4516" customFormat="false" ht="15" hidden="false" customHeight="false" outlineLevel="0" collapsed="false">
      <c r="A4516" s="5" t="s">
        <v>946</v>
      </c>
      <c r="B4516" s="5" t="s">
        <v>98</v>
      </c>
      <c r="C4516" s="5" t="n">
        <v>2025</v>
      </c>
      <c r="D4516" s="5" t="s">
        <v>99</v>
      </c>
      <c r="E4516" s="5" t="s">
        <v>89</v>
      </c>
      <c r="F4516" s="5" t="s">
        <v>40</v>
      </c>
      <c r="G4516" s="6" t="n">
        <v>696</v>
      </c>
      <c r="H4516" s="6" t="n">
        <v>105</v>
      </c>
      <c r="I4516" s="7" t="n">
        <f aca="false">(G4516-H4516)/G4516</f>
        <v>0.849137931034483</v>
      </c>
      <c r="J4516" s="15" t="n">
        <v>0.4374</v>
      </c>
      <c r="K4516" s="11" t="str">
        <f aca="false">IF(I4516&lt;J4516,"TAK","NIE")</f>
        <v>NIE</v>
      </c>
    </row>
    <row r="4517" customFormat="false" ht="15" hidden="false" customHeight="false" outlineLevel="0" collapsed="false">
      <c r="A4517" s="5" t="s">
        <v>947</v>
      </c>
      <c r="B4517" s="5" t="s">
        <v>98</v>
      </c>
      <c r="C4517" s="5" t="n">
        <v>2025</v>
      </c>
      <c r="D4517" s="5" t="s">
        <v>99</v>
      </c>
      <c r="E4517" s="5" t="s">
        <v>89</v>
      </c>
      <c r="F4517" s="5" t="s">
        <v>40</v>
      </c>
      <c r="G4517" s="6" t="n">
        <v>700</v>
      </c>
      <c r="H4517" s="6" t="n">
        <v>92</v>
      </c>
      <c r="I4517" s="7" t="n">
        <f aca="false">(G4517-H4517)/G4517</f>
        <v>0.868571428571429</v>
      </c>
      <c r="J4517" s="15" t="n">
        <v>0.4374</v>
      </c>
      <c r="K4517" s="11" t="str">
        <f aca="false">IF(I4517&lt;J4517,"TAK","NIE")</f>
        <v>NIE</v>
      </c>
    </row>
    <row r="4518" customFormat="false" ht="15" hidden="false" customHeight="false" outlineLevel="0" collapsed="false">
      <c r="A4518" s="5" t="s">
        <v>948</v>
      </c>
      <c r="B4518" s="5" t="s">
        <v>98</v>
      </c>
      <c r="C4518" s="5" t="n">
        <v>2025</v>
      </c>
      <c r="D4518" s="5" t="s">
        <v>99</v>
      </c>
      <c r="E4518" s="5" t="s">
        <v>89</v>
      </c>
      <c r="F4518" s="5" t="s">
        <v>40</v>
      </c>
      <c r="G4518" s="6" t="n">
        <v>700</v>
      </c>
      <c r="H4518" s="6" t="n">
        <v>140</v>
      </c>
      <c r="I4518" s="7" t="n">
        <f aca="false">(G4518-H4518)/G4518</f>
        <v>0.8</v>
      </c>
      <c r="J4518" s="15" t="n">
        <v>0.4374</v>
      </c>
      <c r="K4518" s="11" t="str">
        <f aca="false">IF(I4518&lt;J4518,"TAK","NIE")</f>
        <v>NIE</v>
      </c>
    </row>
    <row r="4519" customFormat="false" ht="15" hidden="false" customHeight="false" outlineLevel="0" collapsed="false">
      <c r="A4519" s="5" t="s">
        <v>949</v>
      </c>
      <c r="B4519" s="5" t="s">
        <v>98</v>
      </c>
      <c r="C4519" s="5" t="n">
        <v>2025</v>
      </c>
      <c r="D4519" s="5" t="s">
        <v>99</v>
      </c>
      <c r="E4519" s="5" t="s">
        <v>89</v>
      </c>
      <c r="F4519" s="5" t="s">
        <v>40</v>
      </c>
      <c r="G4519" s="6" t="n">
        <v>696</v>
      </c>
      <c r="H4519" s="6" t="n">
        <v>224</v>
      </c>
      <c r="I4519" s="7" t="n">
        <f aca="false">(G4519-H4519)/G4519</f>
        <v>0.67816091954023</v>
      </c>
      <c r="J4519" s="15" t="n">
        <v>0.4374</v>
      </c>
      <c r="K4519" s="11" t="str">
        <f aca="false">IF(I4519&lt;J4519,"TAK","NIE")</f>
        <v>NIE</v>
      </c>
    </row>
    <row r="4520" customFormat="false" ht="15" hidden="false" customHeight="false" outlineLevel="0" collapsed="false">
      <c r="A4520" s="5" t="s">
        <v>950</v>
      </c>
      <c r="B4520" s="5" t="s">
        <v>98</v>
      </c>
      <c r="C4520" s="5" t="n">
        <v>2025</v>
      </c>
      <c r="D4520" s="5" t="s">
        <v>99</v>
      </c>
      <c r="E4520" s="5" t="s">
        <v>89</v>
      </c>
      <c r="F4520" s="5" t="s">
        <v>40</v>
      </c>
      <c r="G4520" s="6" t="n">
        <v>696</v>
      </c>
      <c r="H4520" s="6" t="n">
        <v>239</v>
      </c>
      <c r="I4520" s="7" t="n">
        <f aca="false">(G4520-H4520)/G4520</f>
        <v>0.656609195402299</v>
      </c>
      <c r="J4520" s="15" t="n">
        <v>0.4374</v>
      </c>
      <c r="K4520" s="11" t="str">
        <f aca="false">IF(I4520&lt;J4520,"TAK","NIE")</f>
        <v>NIE</v>
      </c>
    </row>
    <row r="4521" customFormat="false" ht="15" hidden="false" customHeight="false" outlineLevel="0" collapsed="false">
      <c r="A4521" s="5" t="s">
        <v>952</v>
      </c>
      <c r="B4521" s="5" t="s">
        <v>98</v>
      </c>
      <c r="C4521" s="5" t="n">
        <v>2025</v>
      </c>
      <c r="D4521" s="5" t="s">
        <v>99</v>
      </c>
      <c r="E4521" s="5" t="s">
        <v>89</v>
      </c>
      <c r="F4521" s="5" t="s">
        <v>40</v>
      </c>
      <c r="G4521" s="6" t="n">
        <v>700</v>
      </c>
      <c r="H4521" s="6" t="n">
        <v>356</v>
      </c>
      <c r="I4521" s="7" t="n">
        <f aca="false">(G4521-H4521)/G4521</f>
        <v>0.491428571428571</v>
      </c>
      <c r="J4521" s="15" t="n">
        <v>0.4374</v>
      </c>
      <c r="K4521" s="11" t="str">
        <f aca="false">IF(I4521&lt;J4521,"TAK","NIE")</f>
        <v>NIE</v>
      </c>
    </row>
    <row r="4522" customFormat="false" ht="15" hidden="false" customHeight="false" outlineLevel="0" collapsed="false">
      <c r="A4522" s="5" t="s">
        <v>953</v>
      </c>
      <c r="B4522" s="5" t="s">
        <v>98</v>
      </c>
      <c r="C4522" s="5" t="n">
        <v>2025</v>
      </c>
      <c r="D4522" s="5" t="s">
        <v>99</v>
      </c>
      <c r="E4522" s="5" t="s">
        <v>89</v>
      </c>
      <c r="F4522" s="5" t="s">
        <v>40</v>
      </c>
      <c r="G4522" s="6" t="n">
        <v>696</v>
      </c>
      <c r="H4522" s="6" t="n">
        <v>69</v>
      </c>
      <c r="I4522" s="7" t="n">
        <f aca="false">(G4522-H4522)/G4522</f>
        <v>0.900862068965517</v>
      </c>
      <c r="J4522" s="15" t="n">
        <v>0.4374</v>
      </c>
      <c r="K4522" s="11" t="str">
        <f aca="false">IF(I4522&lt;J4522,"TAK","NIE")</f>
        <v>NIE</v>
      </c>
    </row>
    <row r="4523" customFormat="false" ht="15" hidden="false" customHeight="false" outlineLevel="0" collapsed="false">
      <c r="A4523" s="5" t="s">
        <v>954</v>
      </c>
      <c r="B4523" s="5" t="s">
        <v>98</v>
      </c>
      <c r="C4523" s="5" t="n">
        <v>2025</v>
      </c>
      <c r="D4523" s="5" t="s">
        <v>99</v>
      </c>
      <c r="E4523" s="5" t="s">
        <v>89</v>
      </c>
      <c r="F4523" s="5" t="s">
        <v>40</v>
      </c>
      <c r="G4523" s="6" t="n">
        <v>696</v>
      </c>
      <c r="H4523" s="6" t="n">
        <v>208</v>
      </c>
      <c r="I4523" s="7" t="n">
        <f aca="false">(G4523-H4523)/G4523</f>
        <v>0.701149425287356</v>
      </c>
      <c r="J4523" s="15" t="n">
        <v>0.4374</v>
      </c>
      <c r="K4523" s="11" t="str">
        <f aca="false">IF(I4523&lt;J4523,"TAK","NIE")</f>
        <v>NIE</v>
      </c>
    </row>
    <row r="4524" customFormat="false" ht="15" hidden="false" customHeight="false" outlineLevel="0" collapsed="false">
      <c r="A4524" s="5" t="s">
        <v>955</v>
      </c>
      <c r="B4524" s="5" t="s">
        <v>98</v>
      </c>
      <c r="C4524" s="5" t="n">
        <v>2025</v>
      </c>
      <c r="D4524" s="5" t="s">
        <v>99</v>
      </c>
      <c r="E4524" s="5" t="s">
        <v>89</v>
      </c>
      <c r="F4524" s="5" t="s">
        <v>40</v>
      </c>
      <c r="G4524" s="6" t="n">
        <v>696</v>
      </c>
      <c r="H4524" s="6" t="n">
        <v>271</v>
      </c>
      <c r="I4524" s="7" t="n">
        <f aca="false">(G4524-H4524)/G4524</f>
        <v>0.610632183908046</v>
      </c>
      <c r="J4524" s="15" t="n">
        <v>0.4374</v>
      </c>
      <c r="K4524" s="11" t="str">
        <f aca="false">IF(I4524&lt;J4524,"TAK","NIE")</f>
        <v>NIE</v>
      </c>
    </row>
    <row r="4525" customFormat="false" ht="15" hidden="false" customHeight="false" outlineLevel="0" collapsed="false">
      <c r="A4525" s="5" t="s">
        <v>956</v>
      </c>
      <c r="B4525" s="5" t="s">
        <v>98</v>
      </c>
      <c r="C4525" s="5" t="n">
        <v>2025</v>
      </c>
      <c r="D4525" s="5" t="s">
        <v>99</v>
      </c>
      <c r="E4525" s="5" t="s">
        <v>89</v>
      </c>
      <c r="F4525" s="5" t="s">
        <v>40</v>
      </c>
      <c r="G4525" s="6" t="n">
        <v>696</v>
      </c>
      <c r="H4525" s="6" t="n">
        <v>67</v>
      </c>
      <c r="I4525" s="7" t="n">
        <f aca="false">(G4525-H4525)/G4525</f>
        <v>0.903735632183908</v>
      </c>
      <c r="J4525" s="15" t="n">
        <v>0.4374</v>
      </c>
      <c r="K4525" s="11" t="str">
        <f aca="false">IF(I4525&lt;J4525,"TAK","NIE")</f>
        <v>NIE</v>
      </c>
    </row>
    <row r="4526" customFormat="false" ht="15" hidden="false" customHeight="false" outlineLevel="0" collapsed="false">
      <c r="A4526" s="5" t="s">
        <v>957</v>
      </c>
      <c r="B4526" s="5" t="s">
        <v>98</v>
      </c>
      <c r="C4526" s="5" t="n">
        <v>2025</v>
      </c>
      <c r="D4526" s="5" t="s">
        <v>99</v>
      </c>
      <c r="E4526" s="5" t="s">
        <v>89</v>
      </c>
      <c r="F4526" s="5" t="s">
        <v>40</v>
      </c>
      <c r="G4526" s="6" t="n">
        <v>696</v>
      </c>
      <c r="H4526" s="6" t="n">
        <v>148</v>
      </c>
      <c r="I4526" s="7" t="n">
        <f aca="false">(G4526-H4526)/G4526</f>
        <v>0.78735632183908</v>
      </c>
      <c r="J4526" s="15" t="n">
        <v>0.4374</v>
      </c>
      <c r="K4526" s="11" t="str">
        <f aca="false">IF(I4526&lt;J4526,"TAK","NIE")</f>
        <v>NIE</v>
      </c>
    </row>
    <row r="4527" customFormat="false" ht="15" hidden="false" customHeight="false" outlineLevel="0" collapsed="false">
      <c r="A4527" s="5" t="s">
        <v>958</v>
      </c>
      <c r="B4527" s="5" t="s">
        <v>98</v>
      </c>
      <c r="C4527" s="5" t="n">
        <v>2025</v>
      </c>
      <c r="D4527" s="5" t="s">
        <v>99</v>
      </c>
      <c r="E4527" s="5" t="s">
        <v>89</v>
      </c>
      <c r="F4527" s="5" t="s">
        <v>40</v>
      </c>
      <c r="G4527" s="6" t="n">
        <v>700</v>
      </c>
      <c r="H4527" s="6" t="n">
        <v>102</v>
      </c>
      <c r="I4527" s="7" t="n">
        <f aca="false">(G4527-H4527)/G4527</f>
        <v>0.854285714285714</v>
      </c>
      <c r="J4527" s="15" t="n">
        <v>0.4374</v>
      </c>
      <c r="K4527" s="11" t="str">
        <f aca="false">IF(I4527&lt;J4527,"TAK","NIE")</f>
        <v>NIE</v>
      </c>
    </row>
    <row r="4528" customFormat="false" ht="15" hidden="false" customHeight="false" outlineLevel="0" collapsed="false">
      <c r="A4528" s="5" t="s">
        <v>959</v>
      </c>
      <c r="B4528" s="5" t="s">
        <v>98</v>
      </c>
      <c r="C4528" s="5" t="n">
        <v>2025</v>
      </c>
      <c r="D4528" s="5" t="s">
        <v>99</v>
      </c>
      <c r="E4528" s="5" t="s">
        <v>89</v>
      </c>
      <c r="F4528" s="5" t="s">
        <v>40</v>
      </c>
      <c r="G4528" s="6" t="n">
        <v>696</v>
      </c>
      <c r="H4528" s="6" t="n">
        <v>108</v>
      </c>
      <c r="I4528" s="7" t="n">
        <f aca="false">(G4528-H4528)/G4528</f>
        <v>0.844827586206897</v>
      </c>
      <c r="J4528" s="15" t="n">
        <v>0.4374</v>
      </c>
      <c r="K4528" s="11" t="str">
        <f aca="false">IF(I4528&lt;J4528,"TAK","NIE")</f>
        <v>NIE</v>
      </c>
    </row>
    <row r="4529" customFormat="false" ht="15" hidden="false" customHeight="false" outlineLevel="0" collapsed="false">
      <c r="A4529" s="5" t="s">
        <v>960</v>
      </c>
      <c r="B4529" s="5" t="s">
        <v>98</v>
      </c>
      <c r="C4529" s="5" t="n">
        <v>2025</v>
      </c>
      <c r="D4529" s="5" t="s">
        <v>99</v>
      </c>
      <c r="E4529" s="5" t="s">
        <v>89</v>
      </c>
      <c r="F4529" s="5" t="s">
        <v>40</v>
      </c>
      <c r="G4529" s="6" t="n">
        <v>700</v>
      </c>
      <c r="H4529" s="6" t="n">
        <v>283</v>
      </c>
      <c r="I4529" s="7" t="n">
        <f aca="false">(G4529-H4529)/G4529</f>
        <v>0.595714285714286</v>
      </c>
      <c r="J4529" s="15" t="n">
        <v>0.4374</v>
      </c>
      <c r="K4529" s="11" t="str">
        <f aca="false">IF(I4529&lt;J4529,"TAK","NIE")</f>
        <v>NIE</v>
      </c>
    </row>
    <row r="4530" customFormat="false" ht="15" hidden="false" customHeight="false" outlineLevel="0" collapsed="false">
      <c r="A4530" s="5" t="s">
        <v>961</v>
      </c>
      <c r="B4530" s="5" t="s">
        <v>98</v>
      </c>
      <c r="C4530" s="5" t="n">
        <v>2025</v>
      </c>
      <c r="D4530" s="5" t="s">
        <v>99</v>
      </c>
      <c r="E4530" s="5" t="s">
        <v>89</v>
      </c>
      <c r="F4530" s="5" t="s">
        <v>40</v>
      </c>
      <c r="G4530" s="6" t="n">
        <v>680</v>
      </c>
      <c r="H4530" s="6" t="n">
        <v>179</v>
      </c>
      <c r="I4530" s="7" t="n">
        <f aca="false">(G4530-H4530)/G4530</f>
        <v>0.736764705882353</v>
      </c>
      <c r="J4530" s="15" t="n">
        <v>0.4374</v>
      </c>
      <c r="K4530" s="11" t="str">
        <f aca="false">IF(I4530&lt;J4530,"TAK","NIE")</f>
        <v>NIE</v>
      </c>
    </row>
    <row r="4531" customFormat="false" ht="15" hidden="false" customHeight="false" outlineLevel="0" collapsed="false">
      <c r="A4531" s="5" t="s">
        <v>962</v>
      </c>
      <c r="B4531" s="5" t="s">
        <v>102</v>
      </c>
      <c r="C4531" s="5" t="n">
        <v>2025</v>
      </c>
      <c r="D4531" s="5" t="s">
        <v>42</v>
      </c>
      <c r="E4531" s="5" t="s">
        <v>89</v>
      </c>
      <c r="F4531" s="5" t="s">
        <v>39</v>
      </c>
      <c r="G4531" s="6" t="n">
        <v>497</v>
      </c>
      <c r="H4531" s="6" t="n">
        <v>95</v>
      </c>
      <c r="I4531" s="7" t="n">
        <f aca="false">(G4531-H4531)/G4531</f>
        <v>0.808853118712274</v>
      </c>
      <c r="J4531" s="15" t="n">
        <v>0.5795</v>
      </c>
      <c r="K4531" s="11" t="str">
        <f aca="false">IF(I4531&lt;J4531,"TAK","NIE")</f>
        <v>NIE</v>
      </c>
    </row>
    <row r="4532" customFormat="false" ht="15" hidden="false" customHeight="false" outlineLevel="0" collapsed="false">
      <c r="A4532" s="5" t="s">
        <v>963</v>
      </c>
      <c r="B4532" s="5" t="s">
        <v>102</v>
      </c>
      <c r="C4532" s="5" t="n">
        <v>2025</v>
      </c>
      <c r="D4532" s="5" t="s">
        <v>42</v>
      </c>
      <c r="E4532" s="5" t="s">
        <v>89</v>
      </c>
      <c r="F4532" s="5" t="s">
        <v>39</v>
      </c>
      <c r="G4532" s="6" t="n">
        <v>507</v>
      </c>
      <c r="H4532" s="6" t="n">
        <v>39</v>
      </c>
      <c r="I4532" s="7" t="n">
        <f aca="false">(G4532-H4532)/G4532</f>
        <v>0.923076923076923</v>
      </c>
      <c r="J4532" s="15" t="n">
        <v>0.5795</v>
      </c>
      <c r="K4532" s="11" t="str">
        <f aca="false">IF(I4532&lt;J4532,"TAK","NIE")</f>
        <v>NIE</v>
      </c>
    </row>
    <row r="4533" customFormat="false" ht="15" hidden="false" customHeight="false" outlineLevel="0" collapsed="false">
      <c r="A4533" s="5" t="s">
        <v>964</v>
      </c>
      <c r="B4533" s="5" t="s">
        <v>102</v>
      </c>
      <c r="C4533" s="5" t="n">
        <v>2025</v>
      </c>
      <c r="D4533" s="5" t="s">
        <v>42</v>
      </c>
      <c r="E4533" s="5" t="s">
        <v>89</v>
      </c>
      <c r="F4533" s="5" t="s">
        <v>39</v>
      </c>
      <c r="G4533" s="6" t="n">
        <v>505</v>
      </c>
      <c r="H4533" s="6" t="n">
        <v>68</v>
      </c>
      <c r="I4533" s="7" t="n">
        <f aca="false">(G4533-H4533)/G4533</f>
        <v>0.865346534653465</v>
      </c>
      <c r="J4533" s="15" t="n">
        <v>0.5795</v>
      </c>
      <c r="K4533" s="11" t="str">
        <f aca="false">IF(I4533&lt;J4533,"TAK","NIE")</f>
        <v>NIE</v>
      </c>
    </row>
    <row r="4534" customFormat="false" ht="15" hidden="false" customHeight="false" outlineLevel="0" collapsed="false">
      <c r="A4534" s="5" t="s">
        <v>965</v>
      </c>
      <c r="B4534" s="5" t="s">
        <v>102</v>
      </c>
      <c r="C4534" s="5" t="n">
        <v>2025</v>
      </c>
      <c r="D4534" s="5" t="s">
        <v>42</v>
      </c>
      <c r="E4534" s="5" t="s">
        <v>89</v>
      </c>
      <c r="F4534" s="5" t="s">
        <v>39</v>
      </c>
      <c r="G4534" s="6" t="n">
        <v>507</v>
      </c>
      <c r="H4534" s="6" t="n">
        <v>66</v>
      </c>
      <c r="I4534" s="7" t="n">
        <f aca="false">(G4534-H4534)/G4534</f>
        <v>0.869822485207101</v>
      </c>
      <c r="J4534" s="15" t="n">
        <v>0.5795</v>
      </c>
      <c r="K4534" s="11" t="str">
        <f aca="false">IF(I4534&lt;J4534,"TAK","NIE")</f>
        <v>NIE</v>
      </c>
    </row>
    <row r="4535" customFormat="false" ht="15" hidden="false" customHeight="false" outlineLevel="0" collapsed="false">
      <c r="A4535" s="5" t="s">
        <v>966</v>
      </c>
      <c r="B4535" s="5" t="s">
        <v>102</v>
      </c>
      <c r="C4535" s="5" t="n">
        <v>2025</v>
      </c>
      <c r="D4535" s="5" t="s">
        <v>42</v>
      </c>
      <c r="E4535" s="5" t="s">
        <v>89</v>
      </c>
      <c r="F4535" s="5" t="s">
        <v>39</v>
      </c>
      <c r="G4535" s="6" t="n">
        <v>505</v>
      </c>
      <c r="H4535" s="6" t="n">
        <v>28</v>
      </c>
      <c r="I4535" s="7" t="n">
        <f aca="false">(G4535-H4535)/G4535</f>
        <v>0.944554455445545</v>
      </c>
      <c r="J4535" s="15" t="n">
        <v>0.5795</v>
      </c>
      <c r="K4535" s="11" t="str">
        <f aca="false">IF(I4535&lt;J4535,"TAK","NIE")</f>
        <v>NIE</v>
      </c>
    </row>
    <row r="4536" customFormat="false" ht="15" hidden="false" customHeight="false" outlineLevel="0" collapsed="false">
      <c r="A4536" s="5" t="s">
        <v>967</v>
      </c>
      <c r="B4536" s="5" t="s">
        <v>102</v>
      </c>
      <c r="C4536" s="5" t="n">
        <v>2025</v>
      </c>
      <c r="D4536" s="5" t="s">
        <v>42</v>
      </c>
      <c r="E4536" s="5" t="s">
        <v>89</v>
      </c>
      <c r="F4536" s="5" t="s">
        <v>39</v>
      </c>
      <c r="G4536" s="6" t="n">
        <v>505</v>
      </c>
      <c r="H4536" s="6" t="n">
        <v>122</v>
      </c>
      <c r="I4536" s="7" t="n">
        <f aca="false">(G4536-H4536)/G4536</f>
        <v>0.758415841584158</v>
      </c>
      <c r="J4536" s="15" t="n">
        <v>0.5795</v>
      </c>
      <c r="K4536" s="11" t="str">
        <f aca="false">IF(I4536&lt;J4536,"TAK","NIE")</f>
        <v>NIE</v>
      </c>
    </row>
    <row r="4537" customFormat="false" ht="15" hidden="false" customHeight="false" outlineLevel="0" collapsed="false">
      <c r="A4537" s="5" t="s">
        <v>968</v>
      </c>
      <c r="B4537" s="5" t="s">
        <v>102</v>
      </c>
      <c r="C4537" s="5" t="n">
        <v>2025</v>
      </c>
      <c r="D4537" s="5" t="s">
        <v>42</v>
      </c>
      <c r="E4537" s="5" t="s">
        <v>89</v>
      </c>
      <c r="F4537" s="5" t="s">
        <v>39</v>
      </c>
      <c r="G4537" s="6" t="n">
        <v>505</v>
      </c>
      <c r="H4537" s="6" t="n">
        <v>57</v>
      </c>
      <c r="I4537" s="7" t="n">
        <f aca="false">(G4537-H4537)/G4537</f>
        <v>0.887128712871287</v>
      </c>
      <c r="J4537" s="15" t="n">
        <v>0.5795</v>
      </c>
      <c r="K4537" s="11" t="str">
        <f aca="false">IF(I4537&lt;J4537,"TAK","NIE")</f>
        <v>NIE</v>
      </c>
    </row>
    <row r="4538" customFormat="false" ht="15" hidden="false" customHeight="false" outlineLevel="0" collapsed="false">
      <c r="A4538" s="5" t="s">
        <v>969</v>
      </c>
      <c r="B4538" s="5" t="s">
        <v>102</v>
      </c>
      <c r="C4538" s="5" t="n">
        <v>2025</v>
      </c>
      <c r="D4538" s="5" t="s">
        <v>42</v>
      </c>
      <c r="E4538" s="5" t="s">
        <v>89</v>
      </c>
      <c r="F4538" s="5" t="s">
        <v>39</v>
      </c>
      <c r="G4538" s="6" t="n">
        <v>507</v>
      </c>
      <c r="H4538" s="6" t="n">
        <v>52</v>
      </c>
      <c r="I4538" s="7" t="n">
        <f aca="false">(G4538-H4538)/G4538</f>
        <v>0.897435897435898</v>
      </c>
      <c r="J4538" s="15" t="n">
        <v>0.5795</v>
      </c>
      <c r="K4538" s="11" t="str">
        <f aca="false">IF(I4538&lt;J4538,"TAK","NIE")</f>
        <v>NIE</v>
      </c>
    </row>
    <row r="4539" customFormat="false" ht="15" hidden="false" customHeight="false" outlineLevel="0" collapsed="false">
      <c r="A4539" s="5" t="s">
        <v>970</v>
      </c>
      <c r="B4539" s="5" t="s">
        <v>102</v>
      </c>
      <c r="C4539" s="5" t="n">
        <v>2025</v>
      </c>
      <c r="D4539" s="5" t="s">
        <v>42</v>
      </c>
      <c r="E4539" s="5" t="s">
        <v>89</v>
      </c>
      <c r="F4539" s="5" t="s">
        <v>39</v>
      </c>
      <c r="G4539" s="6" t="n">
        <v>505</v>
      </c>
      <c r="H4539" s="6" t="n">
        <v>113</v>
      </c>
      <c r="I4539" s="7" t="n">
        <f aca="false">(G4539-H4539)/G4539</f>
        <v>0.776237623762376</v>
      </c>
      <c r="J4539" s="15" t="n">
        <v>0.5795</v>
      </c>
      <c r="K4539" s="11" t="str">
        <f aca="false">IF(I4539&lt;J4539,"TAK","NIE")</f>
        <v>NIE</v>
      </c>
    </row>
    <row r="4540" customFormat="false" ht="15" hidden="false" customHeight="false" outlineLevel="0" collapsed="false">
      <c r="A4540" s="5" t="s">
        <v>971</v>
      </c>
      <c r="B4540" s="5" t="s">
        <v>102</v>
      </c>
      <c r="C4540" s="5" t="n">
        <v>2025</v>
      </c>
      <c r="D4540" s="5" t="s">
        <v>42</v>
      </c>
      <c r="E4540" s="5" t="s">
        <v>89</v>
      </c>
      <c r="F4540" s="5" t="s">
        <v>39</v>
      </c>
      <c r="G4540" s="6" t="n">
        <v>507</v>
      </c>
      <c r="H4540" s="6" t="n">
        <v>186</v>
      </c>
      <c r="I4540" s="7" t="n">
        <f aca="false">(G4540-H4540)/G4540</f>
        <v>0.633136094674556</v>
      </c>
      <c r="J4540" s="15" t="n">
        <v>0.5795</v>
      </c>
      <c r="K4540" s="11" t="str">
        <f aca="false">IF(I4540&lt;J4540,"TAK","NIE")</f>
        <v>NIE</v>
      </c>
    </row>
    <row r="4541" customFormat="false" ht="15" hidden="false" customHeight="false" outlineLevel="0" collapsed="false">
      <c r="A4541" s="5" t="s">
        <v>972</v>
      </c>
      <c r="B4541" s="5" t="s">
        <v>102</v>
      </c>
      <c r="C4541" s="5" t="n">
        <v>2025</v>
      </c>
      <c r="D4541" s="5" t="s">
        <v>42</v>
      </c>
      <c r="E4541" s="5" t="s">
        <v>89</v>
      </c>
      <c r="F4541" s="5" t="s">
        <v>39</v>
      </c>
      <c r="G4541" s="6" t="n">
        <v>505</v>
      </c>
      <c r="H4541" s="6" t="n">
        <v>44</v>
      </c>
      <c r="I4541" s="7" t="n">
        <f aca="false">(G4541-H4541)/G4541</f>
        <v>0.912871287128713</v>
      </c>
      <c r="J4541" s="15" t="n">
        <v>0.5795</v>
      </c>
      <c r="K4541" s="11" t="str">
        <f aca="false">IF(I4541&lt;J4541,"TAK","NIE")</f>
        <v>NIE</v>
      </c>
    </row>
    <row r="4542" customFormat="false" ht="15" hidden="false" customHeight="false" outlineLevel="0" collapsed="false">
      <c r="A4542" s="5" t="s">
        <v>973</v>
      </c>
      <c r="B4542" s="5" t="s">
        <v>102</v>
      </c>
      <c r="C4542" s="5" t="n">
        <v>2025</v>
      </c>
      <c r="D4542" s="5" t="s">
        <v>42</v>
      </c>
      <c r="E4542" s="5" t="s">
        <v>89</v>
      </c>
      <c r="F4542" s="5" t="s">
        <v>39</v>
      </c>
      <c r="G4542" s="6" t="n">
        <v>505</v>
      </c>
      <c r="H4542" s="6" t="n">
        <v>60</v>
      </c>
      <c r="I4542" s="7" t="n">
        <f aca="false">(G4542-H4542)/G4542</f>
        <v>0.881188118811881</v>
      </c>
      <c r="J4542" s="15" t="n">
        <v>0.5795</v>
      </c>
      <c r="K4542" s="11" t="str">
        <f aca="false">IF(I4542&lt;J4542,"TAK","NIE")</f>
        <v>NIE</v>
      </c>
    </row>
    <row r="4543" customFormat="false" ht="15" hidden="false" customHeight="false" outlineLevel="0" collapsed="false">
      <c r="A4543" s="5" t="s">
        <v>974</v>
      </c>
      <c r="B4543" s="5" t="s">
        <v>102</v>
      </c>
      <c r="C4543" s="5" t="n">
        <v>2025</v>
      </c>
      <c r="D4543" s="5" t="s">
        <v>42</v>
      </c>
      <c r="E4543" s="5" t="s">
        <v>89</v>
      </c>
      <c r="F4543" s="5" t="s">
        <v>39</v>
      </c>
      <c r="G4543" s="6" t="n">
        <v>490</v>
      </c>
      <c r="H4543" s="6" t="n">
        <v>151</v>
      </c>
      <c r="I4543" s="7" t="n">
        <f aca="false">(G4543-H4543)/G4543</f>
        <v>0.691836734693878</v>
      </c>
      <c r="J4543" s="15" t="n">
        <v>0.5795</v>
      </c>
      <c r="K4543" s="11" t="str">
        <f aca="false">IF(I4543&lt;J4543,"TAK","NIE")</f>
        <v>NIE</v>
      </c>
    </row>
    <row r="4544" customFormat="false" ht="15" hidden="false" customHeight="false" outlineLevel="0" collapsed="false">
      <c r="A4544" s="5" t="s">
        <v>975</v>
      </c>
      <c r="B4544" s="5" t="s">
        <v>102</v>
      </c>
      <c r="C4544" s="5" t="n">
        <v>2025</v>
      </c>
      <c r="D4544" s="5" t="s">
        <v>42</v>
      </c>
      <c r="E4544" s="5" t="s">
        <v>89</v>
      </c>
      <c r="F4544" s="5" t="s">
        <v>39</v>
      </c>
      <c r="G4544" s="6" t="n">
        <v>495</v>
      </c>
      <c r="H4544" s="6" t="n">
        <v>152</v>
      </c>
      <c r="I4544" s="7" t="n">
        <f aca="false">(G4544-H4544)/G4544</f>
        <v>0.692929292929293</v>
      </c>
      <c r="J4544" s="15" t="n">
        <v>0.5795</v>
      </c>
      <c r="K4544" s="11" t="str">
        <f aca="false">IF(I4544&lt;J4544,"TAK","NIE")</f>
        <v>NIE</v>
      </c>
    </row>
    <row r="4545" customFormat="false" ht="15" hidden="false" customHeight="false" outlineLevel="0" collapsed="false">
      <c r="A4545" s="5" t="s">
        <v>976</v>
      </c>
      <c r="B4545" s="5" t="s">
        <v>102</v>
      </c>
      <c r="C4545" s="5" t="n">
        <v>2025</v>
      </c>
      <c r="D4545" s="5" t="s">
        <v>42</v>
      </c>
      <c r="E4545" s="5" t="s">
        <v>89</v>
      </c>
      <c r="F4545" s="5" t="s">
        <v>39</v>
      </c>
      <c r="G4545" s="6" t="n">
        <v>505</v>
      </c>
      <c r="H4545" s="6" t="n">
        <v>139</v>
      </c>
      <c r="I4545" s="7" t="n">
        <f aca="false">(G4545-H4545)/G4545</f>
        <v>0.724752475247525</v>
      </c>
      <c r="J4545" s="15" t="n">
        <v>0.5795</v>
      </c>
      <c r="K4545" s="11" t="str">
        <f aca="false">IF(I4545&lt;J4545,"TAK","NIE")</f>
        <v>NIE</v>
      </c>
    </row>
    <row r="4546" customFormat="false" ht="15" hidden="false" customHeight="false" outlineLevel="0" collapsed="false">
      <c r="A4546" s="5" t="s">
        <v>977</v>
      </c>
      <c r="B4546" s="5" t="s">
        <v>102</v>
      </c>
      <c r="C4546" s="5" t="n">
        <v>2025</v>
      </c>
      <c r="D4546" s="5" t="s">
        <v>42</v>
      </c>
      <c r="E4546" s="5" t="s">
        <v>89</v>
      </c>
      <c r="F4546" s="5" t="s">
        <v>39</v>
      </c>
      <c r="G4546" s="6" t="n">
        <v>505</v>
      </c>
      <c r="H4546" s="6" t="n">
        <v>105</v>
      </c>
      <c r="I4546" s="7" t="n">
        <f aca="false">(G4546-H4546)/G4546</f>
        <v>0.792079207920792</v>
      </c>
      <c r="J4546" s="15" t="n">
        <v>0.5795</v>
      </c>
      <c r="K4546" s="11" t="str">
        <f aca="false">IF(I4546&lt;J4546,"TAK","NIE")</f>
        <v>NIE</v>
      </c>
    </row>
    <row r="4547" customFormat="false" ht="15" hidden="false" customHeight="false" outlineLevel="0" collapsed="false">
      <c r="A4547" s="5" t="s">
        <v>978</v>
      </c>
      <c r="B4547" s="5" t="s">
        <v>102</v>
      </c>
      <c r="C4547" s="5" t="n">
        <v>2025</v>
      </c>
      <c r="D4547" s="5" t="s">
        <v>42</v>
      </c>
      <c r="E4547" s="5" t="s">
        <v>89</v>
      </c>
      <c r="F4547" s="5" t="s">
        <v>39</v>
      </c>
      <c r="G4547" s="6" t="n">
        <v>507</v>
      </c>
      <c r="H4547" s="6" t="n">
        <v>65</v>
      </c>
      <c r="I4547" s="7" t="n">
        <f aca="false">(G4547-H4547)/G4547</f>
        <v>0.871794871794872</v>
      </c>
      <c r="J4547" s="15" t="n">
        <v>0.5795</v>
      </c>
      <c r="K4547" s="11" t="str">
        <f aca="false">IF(I4547&lt;J4547,"TAK","NIE")</f>
        <v>NIE</v>
      </c>
    </row>
    <row r="4548" customFormat="false" ht="15" hidden="false" customHeight="false" outlineLevel="0" collapsed="false">
      <c r="A4548" s="5" t="s">
        <v>979</v>
      </c>
      <c r="B4548" s="5" t="s">
        <v>102</v>
      </c>
      <c r="C4548" s="5" t="n">
        <v>2025</v>
      </c>
      <c r="D4548" s="5" t="s">
        <v>42</v>
      </c>
      <c r="E4548" s="5" t="s">
        <v>89</v>
      </c>
      <c r="F4548" s="5" t="s">
        <v>39</v>
      </c>
      <c r="G4548" s="6" t="n">
        <v>507</v>
      </c>
      <c r="H4548" s="6" t="n">
        <v>64</v>
      </c>
      <c r="I4548" s="7" t="n">
        <f aca="false">(G4548-H4548)/G4548</f>
        <v>0.873767258382643</v>
      </c>
      <c r="J4548" s="15" t="n">
        <v>0.5795</v>
      </c>
      <c r="K4548" s="11" t="str">
        <f aca="false">IF(I4548&lt;J4548,"TAK","NIE")</f>
        <v>NIE</v>
      </c>
    </row>
    <row r="4549" customFormat="false" ht="15" hidden="false" customHeight="false" outlineLevel="0" collapsed="false">
      <c r="A4549" s="5" t="s">
        <v>980</v>
      </c>
      <c r="B4549" s="5" t="s">
        <v>102</v>
      </c>
      <c r="C4549" s="5" t="n">
        <v>2025</v>
      </c>
      <c r="D4549" s="5" t="s">
        <v>42</v>
      </c>
      <c r="E4549" s="5" t="s">
        <v>89</v>
      </c>
      <c r="F4549" s="5" t="s">
        <v>39</v>
      </c>
      <c r="G4549" s="6" t="n">
        <v>507</v>
      </c>
      <c r="H4549" s="6" t="n">
        <v>38</v>
      </c>
      <c r="I4549" s="7" t="n">
        <f aca="false">(G4549-H4549)/G4549</f>
        <v>0.925049309664694</v>
      </c>
      <c r="J4549" s="15" t="n">
        <v>0.5795</v>
      </c>
      <c r="K4549" s="11" t="str">
        <f aca="false">IF(I4549&lt;J4549,"TAK","NIE")</f>
        <v>NIE</v>
      </c>
    </row>
    <row r="4550" customFormat="false" ht="15" hidden="false" customHeight="false" outlineLevel="0" collapsed="false">
      <c r="A4550" s="5" t="s">
        <v>981</v>
      </c>
      <c r="B4550" s="5" t="s">
        <v>102</v>
      </c>
      <c r="C4550" s="5" t="n">
        <v>2025</v>
      </c>
      <c r="D4550" s="5" t="s">
        <v>42</v>
      </c>
      <c r="E4550" s="5" t="s">
        <v>89</v>
      </c>
      <c r="F4550" s="5" t="s">
        <v>39</v>
      </c>
      <c r="G4550" s="6" t="n">
        <v>507</v>
      </c>
      <c r="H4550" s="6" t="n">
        <v>32</v>
      </c>
      <c r="I4550" s="7" t="n">
        <f aca="false">(G4550-H4550)/G4550</f>
        <v>0.936883629191322</v>
      </c>
      <c r="J4550" s="15" t="n">
        <v>0.5795</v>
      </c>
      <c r="K4550" s="11" t="str">
        <f aca="false">IF(I4550&lt;J4550,"TAK","NIE")</f>
        <v>NIE</v>
      </c>
    </row>
    <row r="4551" customFormat="false" ht="15" hidden="false" customHeight="false" outlineLevel="0" collapsed="false">
      <c r="A4551" s="5" t="s">
        <v>982</v>
      </c>
      <c r="B4551" s="5" t="s">
        <v>102</v>
      </c>
      <c r="C4551" s="5" t="n">
        <v>2025</v>
      </c>
      <c r="D4551" s="5" t="s">
        <v>42</v>
      </c>
      <c r="E4551" s="5" t="s">
        <v>89</v>
      </c>
      <c r="F4551" s="5" t="s">
        <v>39</v>
      </c>
      <c r="G4551" s="6" t="n">
        <v>505</v>
      </c>
      <c r="H4551" s="6" t="n">
        <v>124</v>
      </c>
      <c r="I4551" s="7" t="n">
        <f aca="false">(G4551-H4551)/G4551</f>
        <v>0.754455445544555</v>
      </c>
      <c r="J4551" s="15" t="n">
        <v>0.5795</v>
      </c>
      <c r="K4551" s="11" t="str">
        <f aca="false">IF(I4551&lt;J4551,"TAK","NIE")</f>
        <v>NIE</v>
      </c>
    </row>
    <row r="4552" customFormat="false" ht="15" hidden="false" customHeight="false" outlineLevel="0" collapsed="false">
      <c r="A4552" s="5" t="s">
        <v>983</v>
      </c>
      <c r="B4552" s="5" t="s">
        <v>102</v>
      </c>
      <c r="C4552" s="5" t="n">
        <v>2025</v>
      </c>
      <c r="D4552" s="5" t="s">
        <v>42</v>
      </c>
      <c r="E4552" s="5" t="s">
        <v>89</v>
      </c>
      <c r="F4552" s="5" t="s">
        <v>39</v>
      </c>
      <c r="G4552" s="6" t="n">
        <v>505</v>
      </c>
      <c r="H4552" s="6" t="n">
        <v>48</v>
      </c>
      <c r="I4552" s="7" t="n">
        <f aca="false">(G4552-H4552)/G4552</f>
        <v>0.904950495049505</v>
      </c>
      <c r="J4552" s="15" t="n">
        <v>0.5795</v>
      </c>
      <c r="K4552" s="11" t="str">
        <f aca="false">IF(I4552&lt;J4552,"TAK","NIE")</f>
        <v>NIE</v>
      </c>
    </row>
    <row r="4553" customFormat="false" ht="15" hidden="false" customHeight="false" outlineLevel="0" collapsed="false">
      <c r="A4553" s="5" t="s">
        <v>984</v>
      </c>
      <c r="B4553" s="5" t="s">
        <v>102</v>
      </c>
      <c r="C4553" s="5" t="n">
        <v>2025</v>
      </c>
      <c r="D4553" s="5" t="s">
        <v>42</v>
      </c>
      <c r="E4553" s="5" t="s">
        <v>89</v>
      </c>
      <c r="F4553" s="5" t="s">
        <v>39</v>
      </c>
      <c r="G4553" s="6" t="n">
        <v>507</v>
      </c>
      <c r="H4553" s="6" t="n">
        <v>81</v>
      </c>
      <c r="I4553" s="7" t="n">
        <f aca="false">(G4553-H4553)/G4553</f>
        <v>0.840236686390533</v>
      </c>
      <c r="J4553" s="15" t="n">
        <v>0.5795</v>
      </c>
      <c r="K4553" s="11" t="str">
        <f aca="false">IF(I4553&lt;J4553,"TAK","NIE")</f>
        <v>NIE</v>
      </c>
    </row>
    <row r="4554" customFormat="false" ht="15" hidden="false" customHeight="false" outlineLevel="0" collapsed="false">
      <c r="A4554" s="5" t="s">
        <v>985</v>
      </c>
      <c r="B4554" s="5" t="s">
        <v>102</v>
      </c>
      <c r="C4554" s="5" t="n">
        <v>2025</v>
      </c>
      <c r="D4554" s="5" t="s">
        <v>42</v>
      </c>
      <c r="E4554" s="5" t="s">
        <v>89</v>
      </c>
      <c r="F4554" s="5" t="s">
        <v>39</v>
      </c>
      <c r="G4554" s="6" t="n">
        <v>507</v>
      </c>
      <c r="H4554" s="6" t="n">
        <v>46</v>
      </c>
      <c r="I4554" s="7" t="n">
        <f aca="false">(G4554-H4554)/G4554</f>
        <v>0.909270216962525</v>
      </c>
      <c r="J4554" s="15" t="n">
        <v>0.5795</v>
      </c>
      <c r="K4554" s="11" t="str">
        <f aca="false">IF(I4554&lt;J4554,"TAK","NIE")</f>
        <v>NIE</v>
      </c>
    </row>
    <row r="4555" customFormat="false" ht="15" hidden="false" customHeight="false" outlineLevel="0" collapsed="false">
      <c r="A4555" s="5" t="s">
        <v>986</v>
      </c>
      <c r="B4555" s="5" t="s">
        <v>102</v>
      </c>
      <c r="C4555" s="5" t="n">
        <v>2025</v>
      </c>
      <c r="D4555" s="5" t="s">
        <v>42</v>
      </c>
      <c r="E4555" s="5" t="s">
        <v>89</v>
      </c>
      <c r="F4555" s="5" t="s">
        <v>39</v>
      </c>
      <c r="G4555" s="6" t="n">
        <v>507</v>
      </c>
      <c r="H4555" s="6" t="n">
        <v>47</v>
      </c>
      <c r="I4555" s="7" t="n">
        <f aca="false">(G4555-H4555)/G4555</f>
        <v>0.907297830374753</v>
      </c>
      <c r="J4555" s="15" t="n">
        <v>0.5795</v>
      </c>
      <c r="K4555" s="11" t="str">
        <f aca="false">IF(I4555&lt;J4555,"TAK","NIE")</f>
        <v>NIE</v>
      </c>
    </row>
    <row r="4556" customFormat="false" ht="15" hidden="false" customHeight="false" outlineLevel="0" collapsed="false">
      <c r="A4556" s="5" t="s">
        <v>962</v>
      </c>
      <c r="B4556" s="5" t="s">
        <v>102</v>
      </c>
      <c r="C4556" s="5" t="n">
        <v>2025</v>
      </c>
      <c r="D4556" s="5" t="s">
        <v>42</v>
      </c>
      <c r="E4556" s="5" t="s">
        <v>89</v>
      </c>
      <c r="F4556" s="5" t="s">
        <v>40</v>
      </c>
      <c r="G4556" s="6" t="n">
        <v>676</v>
      </c>
      <c r="H4556" s="6" t="n">
        <v>210</v>
      </c>
      <c r="I4556" s="7" t="n">
        <f aca="false">(G4556-H4556)/G4556</f>
        <v>0.689349112426036</v>
      </c>
      <c r="J4556" s="15" t="n">
        <v>0.405</v>
      </c>
      <c r="K4556" s="11" t="str">
        <f aca="false">IF(I4556&lt;J4556,"TAK","NIE")</f>
        <v>NIE</v>
      </c>
    </row>
    <row r="4557" customFormat="false" ht="15" hidden="false" customHeight="false" outlineLevel="0" collapsed="false">
      <c r="A4557" s="5" t="s">
        <v>963</v>
      </c>
      <c r="B4557" s="5" t="s">
        <v>102</v>
      </c>
      <c r="C4557" s="5" t="n">
        <v>2025</v>
      </c>
      <c r="D4557" s="5" t="s">
        <v>42</v>
      </c>
      <c r="E4557" s="5" t="s">
        <v>89</v>
      </c>
      <c r="F4557" s="5" t="s">
        <v>40</v>
      </c>
      <c r="G4557" s="6" t="n">
        <v>696</v>
      </c>
      <c r="H4557" s="6" t="n">
        <v>137</v>
      </c>
      <c r="I4557" s="7" t="n">
        <f aca="false">(G4557-H4557)/G4557</f>
        <v>0.80316091954023</v>
      </c>
      <c r="J4557" s="15" t="n">
        <v>0.405</v>
      </c>
      <c r="K4557" s="11" t="str">
        <f aca="false">IF(I4557&lt;J4557,"TAK","NIE")</f>
        <v>NIE</v>
      </c>
    </row>
    <row r="4558" customFormat="false" ht="15" hidden="false" customHeight="false" outlineLevel="0" collapsed="false">
      <c r="A4558" s="5" t="s">
        <v>964</v>
      </c>
      <c r="B4558" s="5" t="s">
        <v>102</v>
      </c>
      <c r="C4558" s="5" t="n">
        <v>2025</v>
      </c>
      <c r="D4558" s="5" t="s">
        <v>42</v>
      </c>
      <c r="E4558" s="5" t="s">
        <v>89</v>
      </c>
      <c r="F4558" s="5" t="s">
        <v>40</v>
      </c>
      <c r="G4558" s="6" t="n">
        <v>696</v>
      </c>
      <c r="H4558" s="6" t="n">
        <v>186</v>
      </c>
      <c r="I4558" s="7" t="n">
        <f aca="false">(G4558-H4558)/G4558</f>
        <v>0.732758620689655</v>
      </c>
      <c r="J4558" s="15" t="n">
        <v>0.405</v>
      </c>
      <c r="K4558" s="11" t="str">
        <f aca="false">IF(I4558&lt;J4558,"TAK","NIE")</f>
        <v>NIE</v>
      </c>
    </row>
    <row r="4559" customFormat="false" ht="15" hidden="false" customHeight="false" outlineLevel="0" collapsed="false">
      <c r="A4559" s="5" t="s">
        <v>965</v>
      </c>
      <c r="B4559" s="5" t="s">
        <v>102</v>
      </c>
      <c r="C4559" s="5" t="n">
        <v>2025</v>
      </c>
      <c r="D4559" s="5" t="s">
        <v>42</v>
      </c>
      <c r="E4559" s="5" t="s">
        <v>89</v>
      </c>
      <c r="F4559" s="5" t="s">
        <v>40</v>
      </c>
      <c r="G4559" s="6" t="n">
        <v>696</v>
      </c>
      <c r="H4559" s="6" t="n">
        <v>262</v>
      </c>
      <c r="I4559" s="7" t="n">
        <f aca="false">(G4559-H4559)/G4559</f>
        <v>0.623563218390805</v>
      </c>
      <c r="J4559" s="15" t="n">
        <v>0.405</v>
      </c>
      <c r="K4559" s="11" t="str">
        <f aca="false">IF(I4559&lt;J4559,"TAK","NIE")</f>
        <v>NIE</v>
      </c>
    </row>
    <row r="4560" customFormat="false" ht="15" hidden="false" customHeight="false" outlineLevel="0" collapsed="false">
      <c r="A4560" s="5" t="s">
        <v>966</v>
      </c>
      <c r="B4560" s="5" t="s">
        <v>102</v>
      </c>
      <c r="C4560" s="5" t="n">
        <v>2025</v>
      </c>
      <c r="D4560" s="5" t="s">
        <v>42</v>
      </c>
      <c r="E4560" s="5" t="s">
        <v>89</v>
      </c>
      <c r="F4560" s="5" t="s">
        <v>40</v>
      </c>
      <c r="G4560" s="6" t="n">
        <v>696</v>
      </c>
      <c r="H4560" s="6" t="n">
        <v>223</v>
      </c>
      <c r="I4560" s="7" t="n">
        <f aca="false">(G4560-H4560)/G4560</f>
        <v>0.679597701149425</v>
      </c>
      <c r="J4560" s="15" t="n">
        <v>0.405</v>
      </c>
      <c r="K4560" s="11" t="str">
        <f aca="false">IF(I4560&lt;J4560,"TAK","NIE")</f>
        <v>NIE</v>
      </c>
    </row>
    <row r="4561" customFormat="false" ht="15" hidden="false" customHeight="false" outlineLevel="0" collapsed="false">
      <c r="A4561" s="5" t="s">
        <v>967</v>
      </c>
      <c r="B4561" s="5" t="s">
        <v>102</v>
      </c>
      <c r="C4561" s="5" t="n">
        <v>2025</v>
      </c>
      <c r="D4561" s="5" t="s">
        <v>42</v>
      </c>
      <c r="E4561" s="5" t="s">
        <v>89</v>
      </c>
      <c r="F4561" s="5" t="s">
        <v>40</v>
      </c>
      <c r="G4561" s="6" t="n">
        <v>696</v>
      </c>
      <c r="H4561" s="6" t="n">
        <v>216</v>
      </c>
      <c r="I4561" s="7" t="n">
        <f aca="false">(G4561-H4561)/G4561</f>
        <v>0.689655172413793</v>
      </c>
      <c r="J4561" s="15" t="n">
        <v>0.405</v>
      </c>
      <c r="K4561" s="11" t="str">
        <f aca="false">IF(I4561&lt;J4561,"TAK","NIE")</f>
        <v>NIE</v>
      </c>
    </row>
    <row r="4562" customFormat="false" ht="15" hidden="false" customHeight="false" outlineLevel="0" collapsed="false">
      <c r="A4562" s="5" t="s">
        <v>968</v>
      </c>
      <c r="B4562" s="5" t="s">
        <v>102</v>
      </c>
      <c r="C4562" s="5" t="n">
        <v>2025</v>
      </c>
      <c r="D4562" s="5" t="s">
        <v>42</v>
      </c>
      <c r="E4562" s="5" t="s">
        <v>89</v>
      </c>
      <c r="F4562" s="5" t="s">
        <v>40</v>
      </c>
      <c r="G4562" s="6" t="n">
        <v>696</v>
      </c>
      <c r="H4562" s="6" t="n">
        <v>237</v>
      </c>
      <c r="I4562" s="7" t="n">
        <f aca="false">(G4562-H4562)/G4562</f>
        <v>0.65948275862069</v>
      </c>
      <c r="J4562" s="15" t="n">
        <v>0.405</v>
      </c>
      <c r="K4562" s="11" t="str">
        <f aca="false">IF(I4562&lt;J4562,"TAK","NIE")</f>
        <v>NIE</v>
      </c>
    </row>
    <row r="4563" customFormat="false" ht="15" hidden="false" customHeight="false" outlineLevel="0" collapsed="false">
      <c r="A4563" s="5" t="s">
        <v>969</v>
      </c>
      <c r="B4563" s="5" t="s">
        <v>102</v>
      </c>
      <c r="C4563" s="5" t="n">
        <v>2025</v>
      </c>
      <c r="D4563" s="5" t="s">
        <v>42</v>
      </c>
      <c r="E4563" s="5" t="s">
        <v>89</v>
      </c>
      <c r="F4563" s="5" t="s">
        <v>40</v>
      </c>
      <c r="G4563" s="6" t="n">
        <v>696</v>
      </c>
      <c r="H4563" s="6" t="n">
        <v>190</v>
      </c>
      <c r="I4563" s="7" t="n">
        <f aca="false">(G4563-H4563)/G4563</f>
        <v>0.727011494252874</v>
      </c>
      <c r="J4563" s="15" t="n">
        <v>0.405</v>
      </c>
      <c r="K4563" s="11" t="str">
        <f aca="false">IF(I4563&lt;J4563,"TAK","NIE")</f>
        <v>NIE</v>
      </c>
    </row>
    <row r="4564" customFormat="false" ht="15" hidden="false" customHeight="false" outlineLevel="0" collapsed="false">
      <c r="A4564" s="5" t="s">
        <v>970</v>
      </c>
      <c r="B4564" s="5" t="s">
        <v>102</v>
      </c>
      <c r="C4564" s="5" t="n">
        <v>2025</v>
      </c>
      <c r="D4564" s="5" t="s">
        <v>42</v>
      </c>
      <c r="E4564" s="5" t="s">
        <v>89</v>
      </c>
      <c r="F4564" s="5" t="s">
        <v>40</v>
      </c>
      <c r="G4564" s="6" t="n">
        <v>696</v>
      </c>
      <c r="H4564" s="6" t="n">
        <v>392</v>
      </c>
      <c r="I4564" s="7" t="n">
        <f aca="false">(G4564-H4564)/G4564</f>
        <v>0.436781609195402</v>
      </c>
      <c r="J4564" s="15" t="n">
        <v>0.405</v>
      </c>
      <c r="K4564" s="11" t="str">
        <f aca="false">IF(I4564&lt;J4564,"TAK","NIE")</f>
        <v>NIE</v>
      </c>
    </row>
    <row r="4565" customFormat="false" ht="15" hidden="false" customHeight="false" outlineLevel="0" collapsed="false">
      <c r="A4565" s="5" t="s">
        <v>971</v>
      </c>
      <c r="B4565" s="5" t="s">
        <v>102</v>
      </c>
      <c r="C4565" s="5" t="n">
        <v>2025</v>
      </c>
      <c r="D4565" s="5" t="s">
        <v>42</v>
      </c>
      <c r="E4565" s="5" t="s">
        <v>89</v>
      </c>
      <c r="F4565" s="5" t="s">
        <v>40</v>
      </c>
      <c r="G4565" s="6" t="n">
        <v>696</v>
      </c>
      <c r="H4565" s="6" t="n">
        <v>332</v>
      </c>
      <c r="I4565" s="7" t="n">
        <f aca="false">(G4565-H4565)/G4565</f>
        <v>0.522988505747126</v>
      </c>
      <c r="J4565" s="15" t="n">
        <v>0.405</v>
      </c>
      <c r="K4565" s="11" t="str">
        <f aca="false">IF(I4565&lt;J4565,"TAK","NIE")</f>
        <v>NIE</v>
      </c>
    </row>
    <row r="4566" customFormat="false" ht="15" hidden="false" customHeight="false" outlineLevel="0" collapsed="false">
      <c r="A4566" s="5" t="s">
        <v>972</v>
      </c>
      <c r="B4566" s="5" t="s">
        <v>102</v>
      </c>
      <c r="C4566" s="5" t="n">
        <v>2025</v>
      </c>
      <c r="D4566" s="5" t="s">
        <v>42</v>
      </c>
      <c r="E4566" s="5" t="s">
        <v>89</v>
      </c>
      <c r="F4566" s="5" t="s">
        <v>40</v>
      </c>
      <c r="G4566" s="6" t="n">
        <v>696</v>
      </c>
      <c r="H4566" s="6" t="n">
        <v>145</v>
      </c>
      <c r="I4566" s="7" t="n">
        <f aca="false">(G4566-H4566)/G4566</f>
        <v>0.791666666666667</v>
      </c>
      <c r="J4566" s="15" t="n">
        <v>0.405</v>
      </c>
      <c r="K4566" s="11" t="str">
        <f aca="false">IF(I4566&lt;J4566,"TAK","NIE")</f>
        <v>NIE</v>
      </c>
    </row>
    <row r="4567" customFormat="false" ht="15" hidden="false" customHeight="false" outlineLevel="0" collapsed="false">
      <c r="A4567" s="5" t="s">
        <v>973</v>
      </c>
      <c r="B4567" s="5" t="s">
        <v>102</v>
      </c>
      <c r="C4567" s="5" t="n">
        <v>2025</v>
      </c>
      <c r="D4567" s="5" t="s">
        <v>42</v>
      </c>
      <c r="E4567" s="5" t="s">
        <v>89</v>
      </c>
      <c r="F4567" s="5" t="s">
        <v>40</v>
      </c>
      <c r="G4567" s="6" t="n">
        <v>696</v>
      </c>
      <c r="H4567" s="6" t="n">
        <v>150</v>
      </c>
      <c r="I4567" s="7" t="n">
        <f aca="false">(G4567-H4567)/G4567</f>
        <v>0.78448275862069</v>
      </c>
      <c r="J4567" s="15" t="n">
        <v>0.405</v>
      </c>
      <c r="K4567" s="11" t="str">
        <f aca="false">IF(I4567&lt;J4567,"TAK","NIE")</f>
        <v>NIE</v>
      </c>
    </row>
    <row r="4568" customFormat="false" ht="15" hidden="false" customHeight="false" outlineLevel="0" collapsed="false">
      <c r="A4568" s="5" t="s">
        <v>974</v>
      </c>
      <c r="B4568" s="5" t="s">
        <v>102</v>
      </c>
      <c r="C4568" s="5" t="n">
        <v>2025</v>
      </c>
      <c r="D4568" s="5" t="s">
        <v>42</v>
      </c>
      <c r="E4568" s="5" t="s">
        <v>89</v>
      </c>
      <c r="F4568" s="5" t="s">
        <v>40</v>
      </c>
      <c r="G4568" s="6" t="n">
        <v>635</v>
      </c>
      <c r="H4568" s="6" t="n">
        <v>274</v>
      </c>
      <c r="I4568" s="7" t="n">
        <f aca="false">(G4568-H4568)/G4568</f>
        <v>0.568503937007874</v>
      </c>
      <c r="J4568" s="15" t="n">
        <v>0.405</v>
      </c>
      <c r="K4568" s="11" t="str">
        <f aca="false">IF(I4568&lt;J4568,"TAK","NIE")</f>
        <v>NIE</v>
      </c>
    </row>
    <row r="4569" customFormat="false" ht="15" hidden="false" customHeight="false" outlineLevel="0" collapsed="false">
      <c r="A4569" s="5" t="s">
        <v>975</v>
      </c>
      <c r="B4569" s="5" t="s">
        <v>102</v>
      </c>
      <c r="C4569" s="5" t="n">
        <v>2025</v>
      </c>
      <c r="D4569" s="5" t="s">
        <v>42</v>
      </c>
      <c r="E4569" s="5" t="s">
        <v>89</v>
      </c>
      <c r="F4569" s="5" t="s">
        <v>40</v>
      </c>
      <c r="G4569" s="6" t="n">
        <v>676</v>
      </c>
      <c r="H4569" s="6" t="n">
        <v>194</v>
      </c>
      <c r="I4569" s="7" t="n">
        <f aca="false">(G4569-H4569)/G4569</f>
        <v>0.71301775147929</v>
      </c>
      <c r="J4569" s="15" t="n">
        <v>0.405</v>
      </c>
      <c r="K4569" s="11" t="str">
        <f aca="false">IF(I4569&lt;J4569,"TAK","NIE")</f>
        <v>NIE</v>
      </c>
    </row>
    <row r="4570" customFormat="false" ht="15" hidden="false" customHeight="false" outlineLevel="0" collapsed="false">
      <c r="A4570" s="5" t="s">
        <v>976</v>
      </c>
      <c r="B4570" s="5" t="s">
        <v>102</v>
      </c>
      <c r="C4570" s="5" t="n">
        <v>2025</v>
      </c>
      <c r="D4570" s="5" t="s">
        <v>42</v>
      </c>
      <c r="E4570" s="5" t="s">
        <v>89</v>
      </c>
      <c r="F4570" s="5" t="s">
        <v>40</v>
      </c>
      <c r="G4570" s="6" t="n">
        <v>696</v>
      </c>
      <c r="H4570" s="6" t="n">
        <v>213</v>
      </c>
      <c r="I4570" s="7" t="n">
        <f aca="false">(G4570-H4570)/G4570</f>
        <v>0.693965517241379</v>
      </c>
      <c r="J4570" s="15" t="n">
        <v>0.405</v>
      </c>
      <c r="K4570" s="11" t="str">
        <f aca="false">IF(I4570&lt;J4570,"TAK","NIE")</f>
        <v>NIE</v>
      </c>
    </row>
    <row r="4571" customFormat="false" ht="15" hidden="false" customHeight="false" outlineLevel="0" collapsed="false">
      <c r="A4571" s="5" t="s">
        <v>977</v>
      </c>
      <c r="B4571" s="5" t="s">
        <v>102</v>
      </c>
      <c r="C4571" s="5" t="n">
        <v>2025</v>
      </c>
      <c r="D4571" s="5" t="s">
        <v>42</v>
      </c>
      <c r="E4571" s="5" t="s">
        <v>89</v>
      </c>
      <c r="F4571" s="5" t="s">
        <v>40</v>
      </c>
      <c r="G4571" s="6" t="n">
        <v>696</v>
      </c>
      <c r="H4571" s="6" t="n">
        <v>284</v>
      </c>
      <c r="I4571" s="7" t="n">
        <f aca="false">(G4571-H4571)/G4571</f>
        <v>0.591954022988506</v>
      </c>
      <c r="J4571" s="15" t="n">
        <v>0.405</v>
      </c>
      <c r="K4571" s="11" t="str">
        <f aca="false">IF(I4571&lt;J4571,"TAK","NIE")</f>
        <v>NIE</v>
      </c>
    </row>
    <row r="4572" customFormat="false" ht="15" hidden="false" customHeight="false" outlineLevel="0" collapsed="false">
      <c r="A4572" s="5" t="s">
        <v>978</v>
      </c>
      <c r="B4572" s="5" t="s">
        <v>102</v>
      </c>
      <c r="C4572" s="5" t="n">
        <v>2025</v>
      </c>
      <c r="D4572" s="5" t="s">
        <v>42</v>
      </c>
      <c r="E4572" s="5" t="s">
        <v>89</v>
      </c>
      <c r="F4572" s="5" t="s">
        <v>40</v>
      </c>
      <c r="G4572" s="6" t="n">
        <v>696</v>
      </c>
      <c r="H4572" s="6" t="n">
        <v>190</v>
      </c>
      <c r="I4572" s="7" t="n">
        <f aca="false">(G4572-H4572)/G4572</f>
        <v>0.727011494252874</v>
      </c>
      <c r="J4572" s="15" t="n">
        <v>0.405</v>
      </c>
      <c r="K4572" s="11" t="str">
        <f aca="false">IF(I4572&lt;J4572,"TAK","NIE")</f>
        <v>NIE</v>
      </c>
    </row>
    <row r="4573" customFormat="false" ht="15" hidden="false" customHeight="false" outlineLevel="0" collapsed="false">
      <c r="A4573" s="5" t="s">
        <v>979</v>
      </c>
      <c r="B4573" s="5" t="s">
        <v>102</v>
      </c>
      <c r="C4573" s="5" t="n">
        <v>2025</v>
      </c>
      <c r="D4573" s="5" t="s">
        <v>42</v>
      </c>
      <c r="E4573" s="5" t="s">
        <v>89</v>
      </c>
      <c r="F4573" s="5" t="s">
        <v>40</v>
      </c>
      <c r="G4573" s="6" t="n">
        <v>696</v>
      </c>
      <c r="H4573" s="6" t="n">
        <v>247</v>
      </c>
      <c r="I4573" s="7" t="n">
        <f aca="false">(G4573-H4573)/G4573</f>
        <v>0.645114942528736</v>
      </c>
      <c r="J4573" s="15" t="n">
        <v>0.405</v>
      </c>
      <c r="K4573" s="11" t="str">
        <f aca="false">IF(I4573&lt;J4573,"TAK","NIE")</f>
        <v>NIE</v>
      </c>
    </row>
    <row r="4574" customFormat="false" ht="15" hidden="false" customHeight="false" outlineLevel="0" collapsed="false">
      <c r="A4574" s="5" t="s">
        <v>980</v>
      </c>
      <c r="B4574" s="5" t="s">
        <v>102</v>
      </c>
      <c r="C4574" s="5" t="n">
        <v>2025</v>
      </c>
      <c r="D4574" s="5" t="s">
        <v>42</v>
      </c>
      <c r="E4574" s="5" t="s">
        <v>89</v>
      </c>
      <c r="F4574" s="5" t="s">
        <v>40</v>
      </c>
      <c r="G4574" s="6" t="n">
        <v>696</v>
      </c>
      <c r="H4574" s="6" t="n">
        <v>129</v>
      </c>
      <c r="I4574" s="7" t="n">
        <f aca="false">(G4574-H4574)/G4574</f>
        <v>0.814655172413793</v>
      </c>
      <c r="J4574" s="15" t="n">
        <v>0.405</v>
      </c>
      <c r="K4574" s="11" t="str">
        <f aca="false">IF(I4574&lt;J4574,"TAK","NIE")</f>
        <v>NIE</v>
      </c>
    </row>
    <row r="4575" customFormat="false" ht="15" hidden="false" customHeight="false" outlineLevel="0" collapsed="false">
      <c r="A4575" s="5" t="s">
        <v>981</v>
      </c>
      <c r="B4575" s="5" t="s">
        <v>102</v>
      </c>
      <c r="C4575" s="5" t="n">
        <v>2025</v>
      </c>
      <c r="D4575" s="5" t="s">
        <v>42</v>
      </c>
      <c r="E4575" s="5" t="s">
        <v>89</v>
      </c>
      <c r="F4575" s="5" t="s">
        <v>40</v>
      </c>
      <c r="G4575" s="6" t="n">
        <v>696</v>
      </c>
      <c r="H4575" s="6" t="n">
        <v>136</v>
      </c>
      <c r="I4575" s="7" t="n">
        <f aca="false">(G4575-H4575)/G4575</f>
        <v>0.804597701149425</v>
      </c>
      <c r="J4575" s="15" t="n">
        <v>0.405</v>
      </c>
      <c r="K4575" s="11" t="str">
        <f aca="false">IF(I4575&lt;J4575,"TAK","NIE")</f>
        <v>NIE</v>
      </c>
    </row>
    <row r="4576" customFormat="false" ht="15" hidden="false" customHeight="false" outlineLevel="0" collapsed="false">
      <c r="A4576" s="5" t="s">
        <v>982</v>
      </c>
      <c r="B4576" s="5" t="s">
        <v>102</v>
      </c>
      <c r="C4576" s="5" t="n">
        <v>2025</v>
      </c>
      <c r="D4576" s="5" t="s">
        <v>42</v>
      </c>
      <c r="E4576" s="5" t="s">
        <v>89</v>
      </c>
      <c r="F4576" s="5" t="s">
        <v>40</v>
      </c>
      <c r="G4576" s="6" t="n">
        <v>696</v>
      </c>
      <c r="H4576" s="6" t="n">
        <v>314</v>
      </c>
      <c r="I4576" s="7" t="n">
        <f aca="false">(G4576-H4576)/G4576</f>
        <v>0.548850574712644</v>
      </c>
      <c r="J4576" s="15" t="n">
        <v>0.405</v>
      </c>
      <c r="K4576" s="11" t="str">
        <f aca="false">IF(I4576&lt;J4576,"TAK","NIE")</f>
        <v>NIE</v>
      </c>
    </row>
    <row r="4577" customFormat="false" ht="15" hidden="false" customHeight="false" outlineLevel="0" collapsed="false">
      <c r="A4577" s="5" t="s">
        <v>983</v>
      </c>
      <c r="B4577" s="5" t="s">
        <v>102</v>
      </c>
      <c r="C4577" s="5" t="n">
        <v>2025</v>
      </c>
      <c r="D4577" s="5" t="s">
        <v>42</v>
      </c>
      <c r="E4577" s="5" t="s">
        <v>89</v>
      </c>
      <c r="F4577" s="5" t="s">
        <v>40</v>
      </c>
      <c r="G4577" s="6" t="n">
        <v>696</v>
      </c>
      <c r="H4577" s="6" t="n">
        <v>218</v>
      </c>
      <c r="I4577" s="7" t="n">
        <f aca="false">(G4577-H4577)/G4577</f>
        <v>0.686781609195402</v>
      </c>
      <c r="J4577" s="15" t="n">
        <v>0.405</v>
      </c>
      <c r="K4577" s="11" t="str">
        <f aca="false">IF(I4577&lt;J4577,"TAK","NIE")</f>
        <v>NIE</v>
      </c>
    </row>
    <row r="4578" customFormat="false" ht="15" hidden="false" customHeight="false" outlineLevel="0" collapsed="false">
      <c r="A4578" s="5" t="s">
        <v>984</v>
      </c>
      <c r="B4578" s="5" t="s">
        <v>102</v>
      </c>
      <c r="C4578" s="5" t="n">
        <v>2025</v>
      </c>
      <c r="D4578" s="5" t="s">
        <v>42</v>
      </c>
      <c r="E4578" s="5" t="s">
        <v>89</v>
      </c>
      <c r="F4578" s="5" t="s">
        <v>40</v>
      </c>
      <c r="G4578" s="6" t="n">
        <v>696</v>
      </c>
      <c r="H4578" s="6" t="n">
        <v>276</v>
      </c>
      <c r="I4578" s="7" t="n">
        <f aca="false">(G4578-H4578)/G4578</f>
        <v>0.603448275862069</v>
      </c>
      <c r="J4578" s="15" t="n">
        <v>0.405</v>
      </c>
      <c r="K4578" s="11" t="str">
        <f aca="false">IF(I4578&lt;J4578,"TAK","NIE")</f>
        <v>NIE</v>
      </c>
    </row>
    <row r="4579" customFormat="false" ht="15" hidden="false" customHeight="false" outlineLevel="0" collapsed="false">
      <c r="A4579" s="5" t="s">
        <v>985</v>
      </c>
      <c r="B4579" s="5" t="s">
        <v>102</v>
      </c>
      <c r="C4579" s="5" t="n">
        <v>2025</v>
      </c>
      <c r="D4579" s="5" t="s">
        <v>42</v>
      </c>
      <c r="E4579" s="5" t="s">
        <v>89</v>
      </c>
      <c r="F4579" s="5" t="s">
        <v>40</v>
      </c>
      <c r="G4579" s="6" t="n">
        <v>696</v>
      </c>
      <c r="H4579" s="6" t="n">
        <v>160</v>
      </c>
      <c r="I4579" s="7" t="n">
        <f aca="false">(G4579-H4579)/G4579</f>
        <v>0.770114942528736</v>
      </c>
      <c r="J4579" s="15" t="n">
        <v>0.405</v>
      </c>
      <c r="K4579" s="11" t="str">
        <f aca="false">IF(I4579&lt;J4579,"TAK","NIE")</f>
        <v>NIE</v>
      </c>
    </row>
    <row r="4580" customFormat="false" ht="15" hidden="false" customHeight="false" outlineLevel="0" collapsed="false">
      <c r="A4580" s="5" t="s">
        <v>986</v>
      </c>
      <c r="B4580" s="5" t="s">
        <v>102</v>
      </c>
      <c r="C4580" s="5" t="n">
        <v>2025</v>
      </c>
      <c r="D4580" s="5" t="s">
        <v>42</v>
      </c>
      <c r="E4580" s="5" t="s">
        <v>89</v>
      </c>
      <c r="F4580" s="5" t="s">
        <v>40</v>
      </c>
      <c r="G4580" s="6" t="n">
        <v>696</v>
      </c>
      <c r="H4580" s="6" t="n">
        <v>154</v>
      </c>
      <c r="I4580" s="7" t="n">
        <f aca="false">(G4580-H4580)/G4580</f>
        <v>0.778735632183908</v>
      </c>
      <c r="J4580" s="15" t="n">
        <v>0.405</v>
      </c>
      <c r="K4580" s="11" t="str">
        <f aca="false">IF(I4580&lt;J4580,"TAK","NIE")</f>
        <v>NIE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8" min="7" style="0" width="20"/>
    <col collapsed="false" customWidth="true" hidden="false" outlineLevel="0" max="9" min="9" style="0" width="12"/>
  </cols>
  <sheetData>
    <row r="1" customFormat="false" ht="37.3" hidden="false" customHeight="false" outlineLevel="0" collapsed="false">
      <c r="A1" s="4" t="s">
        <v>31</v>
      </c>
      <c r="B1" s="4" t="s">
        <v>32</v>
      </c>
      <c r="C1" s="4" t="s">
        <v>126</v>
      </c>
      <c r="D1" s="4" t="s">
        <v>987</v>
      </c>
      <c r="E1" s="4" t="s">
        <v>988</v>
      </c>
      <c r="F1" s="4" t="s">
        <v>989</v>
      </c>
      <c r="G1" s="4" t="s">
        <v>990</v>
      </c>
      <c r="H1" s="4" t="s">
        <v>991</v>
      </c>
      <c r="I1" s="4" t="s">
        <v>992</v>
      </c>
    </row>
    <row r="2" customFormat="false" ht="15" hidden="false" customHeight="false" outlineLevel="0" collapsed="false">
      <c r="A2" s="5" t="s">
        <v>38</v>
      </c>
      <c r="B2" s="5" t="s">
        <v>39</v>
      </c>
      <c r="C2" s="5" t="s">
        <v>72</v>
      </c>
      <c r="D2" s="5" t="n">
        <f aca="false">COUNTIFS('Uczniowie (zanonimizowani)'!$B$2:$B$4580,C2,'Uczniowie (zanonimizowani)'!$E$2:$E$4580,A2,'Uczniowie (zanonimizowani)'!$F$2:$F$4580,B2)</f>
        <v>15</v>
      </c>
      <c r="E2" s="5" t="n">
        <f aca="false">COUNTIFS('Uczniowie (zanonimizowani)'!$B$2:$B$4580,C2,'Uczniowie (zanonimizowani)'!$E$2:$E$4580,A2,'Uczniowie (zanonimizowani)'!$F$2:$F$4580,B2,'Uczniowie (zanonimizowani)'!$K$2:$K$4580,"TAK")</f>
        <v>0</v>
      </c>
      <c r="F2" s="7" t="n">
        <f aca="false">IFERROR(E2/D2,"")</f>
        <v>0</v>
      </c>
      <c r="G2" s="7" t="n">
        <f aca="false">IFERROR(AVERAGEIFS('Uczniowie (zanonimizowani)'!$I$2:$I$4580,'Uczniowie (zanonimizowani)'!$B$2:$B$4580,C2,'Uczniowie (zanonimizowani)'!$E$2:$E$4580,A2,'Uczniowie (zanonimizowani)'!$F$2:$F$4580,B2),"")</f>
        <v>0.763828382838284</v>
      </c>
      <c r="H2" s="7" t="n">
        <f aca="false">IFERROR(AVERAGEIFS('Uczniowie (zanonimizowani)'!$I$2:$I$4580,'Uczniowie (zanonimizowani)'!$B$2:$B$4580,C2,'Uczniowie (zanonimizowani)'!$E$2:$E$4580,A2,'Uczniowie (zanonimizowani)'!$F$2:$F$4580,B2,'Uczniowie (zanonimizowani)'!$K$2:$K$4580,"NIE"),"")</f>
        <v>0.763828382838284</v>
      </c>
      <c r="I2" s="7" t="n">
        <f aca="false">IFERROR(H2-G2,"")</f>
        <v>0</v>
      </c>
    </row>
    <row r="3" customFormat="false" ht="15" hidden="false" customHeight="false" outlineLevel="0" collapsed="false">
      <c r="A3" s="5" t="s">
        <v>38</v>
      </c>
      <c r="B3" s="5" t="s">
        <v>40</v>
      </c>
      <c r="C3" s="5" t="s">
        <v>72</v>
      </c>
      <c r="D3" s="5" t="n">
        <f aca="false">COUNTIFS('Uczniowie (zanonimizowani)'!$B$2:$B$4580,C3,'Uczniowie (zanonimizowani)'!$E$2:$E$4580,A3,'Uczniowie (zanonimizowani)'!$F$2:$F$4580,B3)</f>
        <v>15</v>
      </c>
      <c r="E3" s="5" t="n">
        <f aca="false">COUNTIFS('Uczniowie (zanonimizowani)'!$B$2:$B$4580,C3,'Uczniowie (zanonimizowani)'!$E$2:$E$4580,A3,'Uczniowie (zanonimizowani)'!$F$2:$F$4580,B3,'Uczniowie (zanonimizowani)'!$K$2:$K$4580,"TAK")</f>
        <v>0</v>
      </c>
      <c r="F3" s="7" t="n">
        <f aca="false">IFERROR(E3/D3,"")</f>
        <v>0</v>
      </c>
      <c r="G3" s="7" t="n">
        <f aca="false">IFERROR(AVERAGEIFS('Uczniowie (zanonimizowani)'!$I$2:$I$4580,'Uczniowie (zanonimizowani)'!$B$2:$B$4580,C3,'Uczniowie (zanonimizowani)'!$E$2:$E$4580,A3,'Uczniowie (zanonimizowani)'!$F$2:$F$4580,B3),"")</f>
        <v>0.72107161257084</v>
      </c>
      <c r="H3" s="7" t="n">
        <f aca="false">IFERROR(AVERAGEIFS('Uczniowie (zanonimizowani)'!$I$2:$I$4580,'Uczniowie (zanonimizowani)'!$B$2:$B$4580,C3,'Uczniowie (zanonimizowani)'!$E$2:$E$4580,A3,'Uczniowie (zanonimizowani)'!$F$2:$F$4580,B3,'Uczniowie (zanonimizowani)'!$K$2:$K$4580,"NIE"),"")</f>
        <v>0.72107161257084</v>
      </c>
      <c r="I3" s="7" t="n">
        <f aca="false">IFERROR(H3-G3,"")</f>
        <v>0</v>
      </c>
    </row>
    <row r="4" customFormat="false" ht="15" hidden="false" customHeight="false" outlineLevel="0" collapsed="false">
      <c r="A4" s="5" t="s">
        <v>46</v>
      </c>
      <c r="B4" s="5" t="s">
        <v>39</v>
      </c>
      <c r="C4" s="5" t="s">
        <v>72</v>
      </c>
      <c r="D4" s="5" t="n">
        <f aca="false">COUNTIFS('Uczniowie (zanonimizowani)'!$B$2:$B$4580,C4,'Uczniowie (zanonimizowani)'!$E$2:$E$4580,A4,'Uczniowie (zanonimizowani)'!$F$2:$F$4580,B4)</f>
        <v>15</v>
      </c>
      <c r="E4" s="5" t="n">
        <f aca="false">COUNTIFS('Uczniowie (zanonimizowani)'!$B$2:$B$4580,C4,'Uczniowie (zanonimizowani)'!$E$2:$E$4580,A4,'Uczniowie (zanonimizowani)'!$F$2:$F$4580,B4,'Uczniowie (zanonimizowani)'!$K$2:$K$4580,"TAK")</f>
        <v>1</v>
      </c>
      <c r="F4" s="7" t="n">
        <f aca="false">IFERROR(E4/D4,"")</f>
        <v>0.0666666666666667</v>
      </c>
      <c r="G4" s="7" t="n">
        <f aca="false">IFERROR(AVERAGEIFS('Uczniowie (zanonimizowani)'!$I$2:$I$4580,'Uczniowie (zanonimizowani)'!$B$2:$B$4580,C4,'Uczniowie (zanonimizowani)'!$E$2:$E$4580,A4,'Uczniowie (zanonimizowani)'!$F$2:$F$4580,B4),"")</f>
        <v>0.804527447651387</v>
      </c>
      <c r="H4" s="7" t="n">
        <f aca="false">IFERROR(AVERAGEIFS('Uczniowie (zanonimizowani)'!$I$2:$I$4580,'Uczniowie (zanonimizowani)'!$B$2:$B$4580,C4,'Uczniowie (zanonimizowani)'!$E$2:$E$4580,A4,'Uczniowie (zanonimizowani)'!$F$2:$F$4580,B4,'Uczniowie (zanonimizowani)'!$K$2:$K$4580,"NIE"),"")</f>
        <v>0.823065728838225</v>
      </c>
      <c r="I4" s="7" t="n">
        <f aca="false">IFERROR(H4-G4,"")</f>
        <v>0.018538281186838</v>
      </c>
    </row>
    <row r="5" customFormat="false" ht="15" hidden="false" customHeight="false" outlineLevel="0" collapsed="false">
      <c r="A5" s="5" t="s">
        <v>46</v>
      </c>
      <c r="B5" s="5" t="s">
        <v>40</v>
      </c>
      <c r="C5" s="5" t="s">
        <v>72</v>
      </c>
      <c r="D5" s="5" t="n">
        <f aca="false">COUNTIFS('Uczniowie (zanonimizowani)'!$B$2:$B$4580,C5,'Uczniowie (zanonimizowani)'!$E$2:$E$4580,A5,'Uczniowie (zanonimizowani)'!$F$2:$F$4580,B5)</f>
        <v>16</v>
      </c>
      <c r="E5" s="5" t="n">
        <f aca="false">COUNTIFS('Uczniowie (zanonimizowani)'!$B$2:$B$4580,C5,'Uczniowie (zanonimizowani)'!$E$2:$E$4580,A5,'Uczniowie (zanonimizowani)'!$F$2:$F$4580,B5,'Uczniowie (zanonimizowani)'!$K$2:$K$4580,"TAK")</f>
        <v>0</v>
      </c>
      <c r="F5" s="7" t="n">
        <f aca="false">IFERROR(E5/D5,"")</f>
        <v>0</v>
      </c>
      <c r="G5" s="7" t="n">
        <f aca="false">IFERROR(AVERAGEIFS('Uczniowie (zanonimizowani)'!$I$2:$I$4580,'Uczniowie (zanonimizowani)'!$B$2:$B$4580,C5,'Uczniowie (zanonimizowani)'!$E$2:$E$4580,A5,'Uczniowie (zanonimizowani)'!$F$2:$F$4580,B5),"")</f>
        <v>0.765357064434753</v>
      </c>
      <c r="H5" s="7" t="n">
        <f aca="false">IFERROR(AVERAGEIFS('Uczniowie (zanonimizowani)'!$I$2:$I$4580,'Uczniowie (zanonimizowani)'!$B$2:$B$4580,C5,'Uczniowie (zanonimizowani)'!$E$2:$E$4580,A5,'Uczniowie (zanonimizowani)'!$F$2:$F$4580,B5,'Uczniowie (zanonimizowani)'!$K$2:$K$4580,"NIE"),"")</f>
        <v>0.765357064434753</v>
      </c>
      <c r="I5" s="7" t="n">
        <f aca="false">IFERROR(H5-G5,"")</f>
        <v>0</v>
      </c>
    </row>
    <row r="6" customFormat="false" ht="15" hidden="false" customHeight="false" outlineLevel="0" collapsed="false">
      <c r="A6" s="5" t="s">
        <v>57</v>
      </c>
      <c r="B6" s="5" t="s">
        <v>39</v>
      </c>
      <c r="C6" s="5" t="s">
        <v>72</v>
      </c>
      <c r="D6" s="5" t="n">
        <f aca="false">COUNTIFS('Uczniowie (zanonimizowani)'!$B$2:$B$4580,C6,'Uczniowie (zanonimizowani)'!$E$2:$E$4580,A6,'Uczniowie (zanonimizowani)'!$F$2:$F$4580,B6)</f>
        <v>22</v>
      </c>
      <c r="E6" s="5" t="n">
        <f aca="false">COUNTIFS('Uczniowie (zanonimizowani)'!$B$2:$B$4580,C6,'Uczniowie (zanonimizowani)'!$E$2:$E$4580,A6,'Uczniowie (zanonimizowani)'!$F$2:$F$4580,B6,'Uczniowie (zanonimizowani)'!$K$2:$K$4580,"TAK")</f>
        <v>1</v>
      </c>
      <c r="F6" s="7" t="n">
        <f aca="false">IFERROR(E6/D6,"")</f>
        <v>0.0454545454545455</v>
      </c>
      <c r="G6" s="7" t="n">
        <f aca="false">IFERROR(AVERAGEIFS('Uczniowie (zanonimizowani)'!$I$2:$I$4580,'Uczniowie (zanonimizowani)'!$B$2:$B$4580,C6,'Uczniowie (zanonimizowani)'!$E$2:$E$4580,A6,'Uczniowie (zanonimizowani)'!$F$2:$F$4580,B6),"")</f>
        <v>0.758592187852712</v>
      </c>
      <c r="H6" s="7" t="n">
        <f aca="false">IFERROR(AVERAGEIFS('Uczniowie (zanonimizowani)'!$I$2:$I$4580,'Uczniowie (zanonimizowani)'!$B$2:$B$4580,C6,'Uczniowie (zanonimizowani)'!$E$2:$E$4580,A6,'Uczniowie (zanonimizowani)'!$F$2:$F$4580,B6,'Uczniowie (zanonimizowani)'!$K$2:$K$4580,"NIE"),"")</f>
        <v>0.77303957143539</v>
      </c>
      <c r="I6" s="7" t="n">
        <f aca="false">IFERROR(H6-G6,"")</f>
        <v>0.0144473835826774</v>
      </c>
    </row>
    <row r="7" customFormat="false" ht="15" hidden="false" customHeight="false" outlineLevel="0" collapsed="false">
      <c r="A7" s="5" t="s">
        <v>57</v>
      </c>
      <c r="B7" s="5" t="s">
        <v>40</v>
      </c>
      <c r="C7" s="5" t="s">
        <v>72</v>
      </c>
      <c r="D7" s="5" t="n">
        <f aca="false">COUNTIFS('Uczniowie (zanonimizowani)'!$B$2:$B$4580,C7,'Uczniowie (zanonimizowani)'!$E$2:$E$4580,A7,'Uczniowie (zanonimizowani)'!$F$2:$F$4580,B7)</f>
        <v>24</v>
      </c>
      <c r="E7" s="5" t="n">
        <f aca="false">COUNTIFS('Uczniowie (zanonimizowani)'!$B$2:$B$4580,C7,'Uczniowie (zanonimizowani)'!$E$2:$E$4580,A7,'Uczniowie (zanonimizowani)'!$F$2:$F$4580,B7,'Uczniowie (zanonimizowani)'!$K$2:$K$4580,"TAK")</f>
        <v>2</v>
      </c>
      <c r="F7" s="7" t="n">
        <f aca="false">IFERROR(E7/D7,"")</f>
        <v>0.0833333333333333</v>
      </c>
      <c r="G7" s="7" t="n">
        <f aca="false">IFERROR(AVERAGEIFS('Uczniowie (zanonimizowani)'!$I$2:$I$4580,'Uczniowie (zanonimizowani)'!$B$2:$B$4580,C7,'Uczniowie (zanonimizowani)'!$E$2:$E$4580,A7,'Uczniowie (zanonimizowani)'!$F$2:$F$4580,B7),"")</f>
        <v>0.622742697514802</v>
      </c>
      <c r="H7" s="7" t="n">
        <f aca="false">IFERROR(AVERAGEIFS('Uczniowie (zanonimizowani)'!$I$2:$I$4580,'Uczniowie (zanonimizowani)'!$B$2:$B$4580,C7,'Uczniowie (zanonimizowani)'!$E$2:$E$4580,A7,'Uczniowie (zanonimizowani)'!$F$2:$F$4580,B7,'Uczniowie (zanonimizowani)'!$K$2:$K$4580,"NIE"),"")</f>
        <v>0.677361623949589</v>
      </c>
      <c r="I7" s="7" t="n">
        <f aca="false">IFERROR(H7-G7,"")</f>
        <v>0.0546189264347872</v>
      </c>
    </row>
    <row r="8" customFormat="false" ht="15" hidden="false" customHeight="false" outlineLevel="0" collapsed="false">
      <c r="A8" s="5" t="s">
        <v>75</v>
      </c>
      <c r="B8" s="5" t="s">
        <v>39</v>
      </c>
      <c r="C8" s="5" t="s">
        <v>72</v>
      </c>
      <c r="D8" s="5" t="n">
        <f aca="false">COUNTIFS('Uczniowie (zanonimizowani)'!$B$2:$B$4580,C8,'Uczniowie (zanonimizowani)'!$E$2:$E$4580,A8,'Uczniowie (zanonimizowani)'!$F$2:$F$4580,B8)</f>
        <v>15</v>
      </c>
      <c r="E8" s="5" t="n">
        <f aca="false">COUNTIFS('Uczniowie (zanonimizowani)'!$B$2:$B$4580,C8,'Uczniowie (zanonimizowani)'!$E$2:$E$4580,A8,'Uczniowie (zanonimizowani)'!$F$2:$F$4580,B8,'Uczniowie (zanonimizowani)'!$K$2:$K$4580,"TAK")</f>
        <v>1</v>
      </c>
      <c r="F8" s="7" t="n">
        <f aca="false">IFERROR(E8/D8,"")</f>
        <v>0.0666666666666667</v>
      </c>
      <c r="G8" s="7" t="n">
        <f aca="false">IFERROR(AVERAGEIFS('Uczniowie (zanonimizowani)'!$I$2:$I$4580,'Uczniowie (zanonimizowani)'!$B$2:$B$4580,C8,'Uczniowie (zanonimizowani)'!$E$2:$E$4580,A8,'Uczniowie (zanonimizowani)'!$F$2:$F$4580,B8),"")</f>
        <v>0.713236320500727</v>
      </c>
      <c r="H8" s="7" t="n">
        <f aca="false">IFERROR(AVERAGEIFS('Uczniowie (zanonimizowani)'!$I$2:$I$4580,'Uczniowie (zanonimizowani)'!$B$2:$B$4580,C8,'Uczniowie (zanonimizowani)'!$E$2:$E$4580,A8,'Uczniowie (zanonimizowani)'!$F$2:$F$4580,B8,'Uczniowie (zanonimizowani)'!$K$2:$K$4580,"NIE"),"")</f>
        <v>0.756870185913321</v>
      </c>
      <c r="I8" s="7" t="n">
        <f aca="false">IFERROR(H8-G8,"")</f>
        <v>0.0436338654125942</v>
      </c>
    </row>
    <row r="9" customFormat="false" ht="15" hidden="false" customHeight="false" outlineLevel="0" collapsed="false">
      <c r="A9" s="5" t="s">
        <v>75</v>
      </c>
      <c r="B9" s="5" t="s">
        <v>40</v>
      </c>
      <c r="C9" s="5" t="s">
        <v>72</v>
      </c>
      <c r="D9" s="5" t="n">
        <f aca="false">COUNTIFS('Uczniowie (zanonimizowani)'!$B$2:$B$4580,C9,'Uczniowie (zanonimizowani)'!$E$2:$E$4580,A9,'Uczniowie (zanonimizowani)'!$F$2:$F$4580,B9)</f>
        <v>18</v>
      </c>
      <c r="E9" s="5" t="n">
        <f aca="false">COUNTIFS('Uczniowie (zanonimizowani)'!$B$2:$B$4580,C9,'Uczniowie (zanonimizowani)'!$E$2:$E$4580,A9,'Uczniowie (zanonimizowani)'!$F$2:$F$4580,B9,'Uczniowie (zanonimizowani)'!$K$2:$K$4580,"TAK")</f>
        <v>0</v>
      </c>
      <c r="F9" s="7" t="n">
        <f aca="false">IFERROR(E9/D9,"")</f>
        <v>0</v>
      </c>
      <c r="G9" s="7" t="n">
        <f aca="false">IFERROR(AVERAGEIFS('Uczniowie (zanonimizowani)'!$I$2:$I$4580,'Uczniowie (zanonimizowani)'!$B$2:$B$4580,C9,'Uczniowie (zanonimizowani)'!$E$2:$E$4580,A9,'Uczniowie (zanonimizowani)'!$F$2:$F$4580,B9),"")</f>
        <v>0.570406424352979</v>
      </c>
      <c r="H9" s="7" t="n">
        <f aca="false">IFERROR(AVERAGEIFS('Uczniowie (zanonimizowani)'!$I$2:$I$4580,'Uczniowie (zanonimizowani)'!$B$2:$B$4580,C9,'Uczniowie (zanonimizowani)'!$E$2:$E$4580,A9,'Uczniowie (zanonimizowani)'!$F$2:$F$4580,B9,'Uczniowie (zanonimizowani)'!$K$2:$K$4580,"NIE"),"")</f>
        <v>0.570406424352979</v>
      </c>
      <c r="I9" s="7" t="n">
        <f aca="false">IFERROR(H9-G9,"")</f>
        <v>0</v>
      </c>
    </row>
    <row r="10" customFormat="false" ht="15" hidden="false" customHeight="false" outlineLevel="0" collapsed="false">
      <c r="A10" s="5" t="s">
        <v>89</v>
      </c>
      <c r="B10" s="5" t="s">
        <v>39</v>
      </c>
      <c r="C10" s="5" t="s">
        <v>72</v>
      </c>
      <c r="D10" s="5" t="n">
        <f aca="false">COUNTIFS('Uczniowie (zanonimizowani)'!$B$2:$B$4580,C10,'Uczniowie (zanonimizowani)'!$E$2:$E$4580,A10,'Uczniowie (zanonimizowani)'!$F$2:$F$4580,B10)</f>
        <v>17</v>
      </c>
      <c r="E10" s="5" t="n">
        <f aca="false">COUNTIFS('Uczniowie (zanonimizowani)'!$B$2:$B$4580,C10,'Uczniowie (zanonimizowani)'!$E$2:$E$4580,A10,'Uczniowie (zanonimizowani)'!$F$2:$F$4580,B10,'Uczniowie (zanonimizowani)'!$K$2:$K$4580,"TAK")</f>
        <v>0</v>
      </c>
      <c r="F10" s="7" t="n">
        <f aca="false">IFERROR(E10/D10,"")</f>
        <v>0</v>
      </c>
      <c r="G10" s="7" t="n">
        <f aca="false">IFERROR(AVERAGEIFS('Uczniowie (zanonimizowani)'!$I$2:$I$4580,'Uczniowie (zanonimizowani)'!$B$2:$B$4580,C10,'Uczniowie (zanonimizowani)'!$E$2:$E$4580,A10,'Uczniowie (zanonimizowani)'!$F$2:$F$4580,B10),"")</f>
        <v>0.71657247311813</v>
      </c>
      <c r="H10" s="7" t="n">
        <f aca="false">IFERROR(AVERAGEIFS('Uczniowie (zanonimizowani)'!$I$2:$I$4580,'Uczniowie (zanonimizowani)'!$B$2:$B$4580,C10,'Uczniowie (zanonimizowani)'!$E$2:$E$4580,A10,'Uczniowie (zanonimizowani)'!$F$2:$F$4580,B10,'Uczniowie (zanonimizowani)'!$K$2:$K$4580,"NIE"),"")</f>
        <v>0.71657247311813</v>
      </c>
      <c r="I10" s="7" t="n">
        <f aca="false">IFERROR(H10-G10,"")</f>
        <v>0</v>
      </c>
    </row>
    <row r="11" customFormat="false" ht="15" hidden="false" customHeight="false" outlineLevel="0" collapsed="false">
      <c r="A11" s="5" t="s">
        <v>89</v>
      </c>
      <c r="B11" s="5" t="s">
        <v>40</v>
      </c>
      <c r="C11" s="5" t="s">
        <v>72</v>
      </c>
      <c r="D11" s="5" t="n">
        <f aca="false">COUNTIFS('Uczniowie (zanonimizowani)'!$B$2:$B$4580,C11,'Uczniowie (zanonimizowani)'!$E$2:$E$4580,A11,'Uczniowie (zanonimizowani)'!$F$2:$F$4580,B11)</f>
        <v>19</v>
      </c>
      <c r="E11" s="5" t="n">
        <f aca="false">COUNTIFS('Uczniowie (zanonimizowani)'!$B$2:$B$4580,C11,'Uczniowie (zanonimizowani)'!$E$2:$E$4580,A11,'Uczniowie (zanonimizowani)'!$F$2:$F$4580,B11,'Uczniowie (zanonimizowani)'!$K$2:$K$4580,"TAK")</f>
        <v>0</v>
      </c>
      <c r="F11" s="7" t="n">
        <f aca="false">IFERROR(E11/D11,"")</f>
        <v>0</v>
      </c>
      <c r="G11" s="7" t="n">
        <f aca="false">IFERROR(AVERAGEIFS('Uczniowie (zanonimizowani)'!$I$2:$I$4580,'Uczniowie (zanonimizowani)'!$B$2:$B$4580,C11,'Uczniowie (zanonimizowani)'!$E$2:$E$4580,A11,'Uczniowie (zanonimizowani)'!$F$2:$F$4580,B11),"")</f>
        <v>0.519496902224559</v>
      </c>
      <c r="H11" s="7" t="n">
        <f aca="false">IFERROR(AVERAGEIFS('Uczniowie (zanonimizowani)'!$I$2:$I$4580,'Uczniowie (zanonimizowani)'!$B$2:$B$4580,C11,'Uczniowie (zanonimizowani)'!$E$2:$E$4580,A11,'Uczniowie (zanonimizowani)'!$F$2:$F$4580,B11,'Uczniowie (zanonimizowani)'!$K$2:$K$4580,"NIE"),"")</f>
        <v>0.519496902224559</v>
      </c>
      <c r="I11" s="7" t="n">
        <f aca="false">IFERROR(H11-G11,"")</f>
        <v>0</v>
      </c>
    </row>
    <row r="12" customFormat="false" ht="15" hidden="false" customHeight="false" outlineLevel="0" collapsed="false">
      <c r="A12" s="5" t="s">
        <v>55</v>
      </c>
      <c r="B12" s="5" t="s">
        <v>39</v>
      </c>
      <c r="C12" s="5" t="s">
        <v>90</v>
      </c>
      <c r="D12" s="5" t="n">
        <f aca="false">COUNTIFS('Uczniowie (zanonimizowani)'!$B$2:$B$4580,C12,'Uczniowie (zanonimizowani)'!$E$2:$E$4580,A12,'Uczniowie (zanonimizowani)'!$F$2:$F$4580,B12)</f>
        <v>33</v>
      </c>
      <c r="E12" s="5" t="n">
        <f aca="false">COUNTIFS('Uczniowie (zanonimizowani)'!$B$2:$B$4580,C12,'Uczniowie (zanonimizowani)'!$E$2:$E$4580,A12,'Uczniowie (zanonimizowani)'!$F$2:$F$4580,B12,'Uczniowie (zanonimizowani)'!$K$2:$K$4580,"TAK")</f>
        <v>0</v>
      </c>
      <c r="F12" s="7" t="n">
        <f aca="false">IFERROR(E12/D12,"")</f>
        <v>0</v>
      </c>
      <c r="G12" s="7" t="n">
        <f aca="false">IFERROR(AVERAGEIFS('Uczniowie (zanonimizowani)'!$I$2:$I$4580,'Uczniowie (zanonimizowani)'!$B$2:$B$4580,C12,'Uczniowie (zanonimizowani)'!$E$2:$E$4580,A12,'Uczniowie (zanonimizowani)'!$F$2:$F$4580,B12),"")</f>
        <v>0.800475111734581</v>
      </c>
      <c r="H12" s="7" t="n">
        <f aca="false">IFERROR(AVERAGEIFS('Uczniowie (zanonimizowani)'!$I$2:$I$4580,'Uczniowie (zanonimizowani)'!$B$2:$B$4580,C12,'Uczniowie (zanonimizowani)'!$E$2:$E$4580,A12,'Uczniowie (zanonimizowani)'!$F$2:$F$4580,B12,'Uczniowie (zanonimizowani)'!$K$2:$K$4580,"NIE"),"")</f>
        <v>0.800475111734581</v>
      </c>
      <c r="I12" s="7" t="n">
        <f aca="false">IFERROR(H12-G12,"")</f>
        <v>0</v>
      </c>
    </row>
    <row r="13" customFormat="false" ht="15" hidden="false" customHeight="false" outlineLevel="0" collapsed="false">
      <c r="A13" s="5" t="s">
        <v>55</v>
      </c>
      <c r="B13" s="5" t="s">
        <v>40</v>
      </c>
      <c r="C13" s="5" t="s">
        <v>90</v>
      </c>
      <c r="D13" s="5" t="n">
        <f aca="false">COUNTIFS('Uczniowie (zanonimizowani)'!$B$2:$B$4580,C13,'Uczniowie (zanonimizowani)'!$E$2:$E$4580,A13,'Uczniowie (zanonimizowani)'!$F$2:$F$4580,B13)</f>
        <v>30</v>
      </c>
      <c r="E13" s="5" t="n">
        <f aca="false">COUNTIFS('Uczniowie (zanonimizowani)'!$B$2:$B$4580,C13,'Uczniowie (zanonimizowani)'!$E$2:$E$4580,A13,'Uczniowie (zanonimizowani)'!$F$2:$F$4580,B13,'Uczniowie (zanonimizowani)'!$K$2:$K$4580,"TAK")</f>
        <v>1</v>
      </c>
      <c r="F13" s="7" t="n">
        <f aca="false">IFERROR(E13/D13,"")</f>
        <v>0.0333333333333333</v>
      </c>
      <c r="G13" s="7" t="n">
        <f aca="false">IFERROR(AVERAGEIFS('Uczniowie (zanonimizowani)'!$I$2:$I$4580,'Uczniowie (zanonimizowani)'!$B$2:$B$4580,C13,'Uczniowie (zanonimizowani)'!$E$2:$E$4580,A13,'Uczniowie (zanonimizowani)'!$F$2:$F$4580,B13),"")</f>
        <v>0.73482890932974</v>
      </c>
      <c r="H13" s="7" t="n">
        <f aca="false">IFERROR(AVERAGEIFS('Uczniowie (zanonimizowani)'!$I$2:$I$4580,'Uczniowie (zanonimizowani)'!$B$2:$B$4580,C13,'Uczniowie (zanonimizowani)'!$E$2:$E$4580,A13,'Uczniowie (zanonimizowani)'!$F$2:$F$4580,B13,'Uczniowie (zanonimizowani)'!$K$2:$K$4580,"NIE"),"")</f>
        <v>0.756008732579464</v>
      </c>
      <c r="I13" s="7" t="n">
        <f aca="false">IFERROR(H13-G13,"")</f>
        <v>0.0211798232497249</v>
      </c>
    </row>
    <row r="14" customFormat="false" ht="15" hidden="false" customHeight="false" outlineLevel="0" collapsed="false">
      <c r="A14" s="5" t="s">
        <v>75</v>
      </c>
      <c r="B14" s="5" t="s">
        <v>39</v>
      </c>
      <c r="C14" s="5" t="s">
        <v>103</v>
      </c>
      <c r="D14" s="5" t="n">
        <f aca="false">COUNTIFS('Uczniowie (zanonimizowani)'!$B$2:$B$4580,C14,'Uczniowie (zanonimizowani)'!$E$2:$E$4580,A14,'Uczniowie (zanonimizowani)'!$F$2:$F$4580,B14)</f>
        <v>18</v>
      </c>
      <c r="E14" s="5" t="n">
        <f aca="false">COUNTIFS('Uczniowie (zanonimizowani)'!$B$2:$B$4580,C14,'Uczniowie (zanonimizowani)'!$E$2:$E$4580,A14,'Uczniowie (zanonimizowani)'!$F$2:$F$4580,B14,'Uczniowie (zanonimizowani)'!$K$2:$K$4580,"TAK")</f>
        <v>1</v>
      </c>
      <c r="F14" s="7" t="n">
        <f aca="false">IFERROR(E14/D14,"")</f>
        <v>0.0555555555555556</v>
      </c>
      <c r="G14" s="7" t="n">
        <f aca="false">IFERROR(AVERAGEIFS('Uczniowie (zanonimizowani)'!$I$2:$I$4580,'Uczniowie (zanonimizowani)'!$B$2:$B$4580,C14,'Uczniowie (zanonimizowani)'!$E$2:$E$4580,A14,'Uczniowie (zanonimizowani)'!$F$2:$F$4580,B14),"")</f>
        <v>0.788702793365188</v>
      </c>
      <c r="H14" s="7" t="n">
        <f aca="false">IFERROR(AVERAGEIFS('Uczniowie (zanonimizowani)'!$I$2:$I$4580,'Uczniowie (zanonimizowani)'!$B$2:$B$4580,C14,'Uczniowie (zanonimizowani)'!$E$2:$E$4580,A14,'Uczniowie (zanonimizowani)'!$F$2:$F$4580,B14,'Uczniowie (zanonimizowani)'!$K$2:$K$4580,"NIE"),"")</f>
        <v>0.807749294110095</v>
      </c>
      <c r="I14" s="7" t="n">
        <f aca="false">IFERROR(H14-G14,"")</f>
        <v>0.0190465007449078</v>
      </c>
    </row>
    <row r="15" customFormat="false" ht="15" hidden="false" customHeight="false" outlineLevel="0" collapsed="false">
      <c r="A15" s="5" t="s">
        <v>75</v>
      </c>
      <c r="B15" s="5" t="s">
        <v>40</v>
      </c>
      <c r="C15" s="5" t="s">
        <v>103</v>
      </c>
      <c r="D15" s="5" t="n">
        <f aca="false">COUNTIFS('Uczniowie (zanonimizowani)'!$B$2:$B$4580,C15,'Uczniowie (zanonimizowani)'!$E$2:$E$4580,A15,'Uczniowie (zanonimizowani)'!$F$2:$F$4580,B15)</f>
        <v>19</v>
      </c>
      <c r="E15" s="5" t="n">
        <f aca="false">COUNTIFS('Uczniowie (zanonimizowani)'!$B$2:$B$4580,C15,'Uczniowie (zanonimizowani)'!$E$2:$E$4580,A15,'Uczniowie (zanonimizowani)'!$F$2:$F$4580,B15,'Uczniowie (zanonimizowani)'!$K$2:$K$4580,"TAK")</f>
        <v>2</v>
      </c>
      <c r="F15" s="7" t="n">
        <f aca="false">IFERROR(E15/D15,"")</f>
        <v>0.105263157894737</v>
      </c>
      <c r="G15" s="7" t="n">
        <f aca="false">IFERROR(AVERAGEIFS('Uczniowie (zanonimizowani)'!$I$2:$I$4580,'Uczniowie (zanonimizowani)'!$B$2:$B$4580,C15,'Uczniowie (zanonimizowani)'!$E$2:$E$4580,A15,'Uczniowie (zanonimizowani)'!$F$2:$F$4580,B15),"")</f>
        <v>0.71212473410867</v>
      </c>
      <c r="H15" s="7" t="n">
        <f aca="false">IFERROR(AVERAGEIFS('Uczniowie (zanonimizowani)'!$I$2:$I$4580,'Uczniowie (zanonimizowani)'!$B$2:$B$4580,C15,'Uczniowie (zanonimizowani)'!$E$2:$E$4580,A15,'Uczniowie (zanonimizowani)'!$F$2:$F$4580,B15,'Uczniowie (zanonimizowani)'!$K$2:$K$4580,"NIE"),"")</f>
        <v>0.759936863794973</v>
      </c>
      <c r="I15" s="7" t="n">
        <f aca="false">IFERROR(H15-G15,"")</f>
        <v>0.0478121296863022</v>
      </c>
    </row>
    <row r="16" customFormat="false" ht="15" hidden="false" customHeight="false" outlineLevel="0" collapsed="false">
      <c r="A16" s="5" t="s">
        <v>46</v>
      </c>
      <c r="B16" s="5" t="s">
        <v>39</v>
      </c>
      <c r="C16" s="5" t="s">
        <v>88</v>
      </c>
      <c r="D16" s="5" t="n">
        <f aca="false">COUNTIFS('Uczniowie (zanonimizowani)'!$B$2:$B$4580,C16,'Uczniowie (zanonimizowani)'!$E$2:$E$4580,A16,'Uczniowie (zanonimizowani)'!$F$2:$F$4580,B16)</f>
        <v>28</v>
      </c>
      <c r="E16" s="5" t="n">
        <f aca="false">COUNTIFS('Uczniowie (zanonimizowani)'!$B$2:$B$4580,C16,'Uczniowie (zanonimizowani)'!$E$2:$E$4580,A16,'Uczniowie (zanonimizowani)'!$F$2:$F$4580,B16,'Uczniowie (zanonimizowani)'!$K$2:$K$4580,"TAK")</f>
        <v>1</v>
      </c>
      <c r="F16" s="7" t="n">
        <f aca="false">IFERROR(E16/D16,"")</f>
        <v>0.0357142857142857</v>
      </c>
      <c r="G16" s="7" t="n">
        <f aca="false">IFERROR(AVERAGEIFS('Uczniowie (zanonimizowani)'!$I$2:$I$4580,'Uczniowie (zanonimizowani)'!$B$2:$B$4580,C16,'Uczniowie (zanonimizowani)'!$E$2:$E$4580,A16,'Uczniowie (zanonimizowani)'!$F$2:$F$4580,B16),"")</f>
        <v>0.856426262513131</v>
      </c>
      <c r="H16" s="7" t="n">
        <f aca="false">IFERROR(AVERAGEIFS('Uczniowie (zanonimizowani)'!$I$2:$I$4580,'Uczniowie (zanonimizowani)'!$B$2:$B$4580,C16,'Uczniowie (zanonimizowani)'!$E$2:$E$4580,A16,'Uczniowie (zanonimizowani)'!$F$2:$F$4580,B16,'Uczniowie (zanonimizowani)'!$K$2:$K$4580,"NIE"),"")</f>
        <v>0.869711282937918</v>
      </c>
      <c r="I16" s="7" t="n">
        <f aca="false">IFERROR(H16-G16,"")</f>
        <v>0.0132850204247873</v>
      </c>
    </row>
    <row r="17" customFormat="false" ht="15" hidden="false" customHeight="false" outlineLevel="0" collapsed="false">
      <c r="A17" s="5" t="s">
        <v>46</v>
      </c>
      <c r="B17" s="5" t="s">
        <v>40</v>
      </c>
      <c r="C17" s="5" t="s">
        <v>88</v>
      </c>
      <c r="D17" s="5" t="n">
        <f aca="false">COUNTIFS('Uczniowie (zanonimizowani)'!$B$2:$B$4580,C17,'Uczniowie (zanonimizowani)'!$E$2:$E$4580,A17,'Uczniowie (zanonimizowani)'!$F$2:$F$4580,B17)</f>
        <v>27</v>
      </c>
      <c r="E17" s="5" t="n">
        <f aca="false">COUNTIFS('Uczniowie (zanonimizowani)'!$B$2:$B$4580,C17,'Uczniowie (zanonimizowani)'!$E$2:$E$4580,A17,'Uczniowie (zanonimizowani)'!$F$2:$F$4580,B17,'Uczniowie (zanonimizowani)'!$K$2:$K$4580,"TAK")</f>
        <v>3</v>
      </c>
      <c r="F17" s="7" t="n">
        <f aca="false">IFERROR(E17/D17,"")</f>
        <v>0.111111111111111</v>
      </c>
      <c r="G17" s="7" t="n">
        <f aca="false">IFERROR(AVERAGEIFS('Uczniowie (zanonimizowani)'!$I$2:$I$4580,'Uczniowie (zanonimizowani)'!$B$2:$B$4580,C17,'Uczniowie (zanonimizowani)'!$E$2:$E$4580,A17,'Uczniowie (zanonimizowani)'!$F$2:$F$4580,B17),"")</f>
        <v>0.759561673231155</v>
      </c>
      <c r="H17" s="7" t="n">
        <f aca="false">IFERROR(AVERAGEIFS('Uczniowie (zanonimizowani)'!$I$2:$I$4580,'Uczniowie (zanonimizowani)'!$B$2:$B$4580,C17,'Uczniowie (zanonimizowani)'!$E$2:$E$4580,A17,'Uczniowie (zanonimizowani)'!$F$2:$F$4580,B17,'Uczniowie (zanonimizowani)'!$K$2:$K$4580,"NIE"),"")</f>
        <v>0.800859469336798</v>
      </c>
      <c r="I17" s="7" t="n">
        <f aca="false">IFERROR(H17-G17,"")</f>
        <v>0.0412977961056434</v>
      </c>
    </row>
    <row r="18" customFormat="false" ht="15" hidden="false" customHeight="false" outlineLevel="0" collapsed="false">
      <c r="A18" s="5" t="s">
        <v>38</v>
      </c>
      <c r="B18" s="5" t="s">
        <v>39</v>
      </c>
      <c r="C18" s="5" t="s">
        <v>74</v>
      </c>
      <c r="D18" s="5" t="n">
        <f aca="false">COUNTIFS('Uczniowie (zanonimizowani)'!$B$2:$B$4580,C18,'Uczniowie (zanonimizowani)'!$E$2:$E$4580,A18,'Uczniowie (zanonimizowani)'!$F$2:$F$4580,B18)</f>
        <v>21</v>
      </c>
      <c r="E18" s="5" t="n">
        <f aca="false">COUNTIFS('Uczniowie (zanonimizowani)'!$B$2:$B$4580,C18,'Uczniowie (zanonimizowani)'!$E$2:$E$4580,A18,'Uczniowie (zanonimizowani)'!$F$2:$F$4580,B18,'Uczniowie (zanonimizowani)'!$K$2:$K$4580,"TAK")</f>
        <v>0</v>
      </c>
      <c r="F18" s="7" t="n">
        <f aca="false">IFERROR(E18/D18,"")</f>
        <v>0</v>
      </c>
      <c r="G18" s="7" t="n">
        <f aca="false">IFERROR(AVERAGEIFS('Uczniowie (zanonimizowani)'!$I$2:$I$4580,'Uczniowie (zanonimizowani)'!$B$2:$B$4580,C18,'Uczniowie (zanonimizowani)'!$E$2:$E$4580,A18,'Uczniowie (zanonimizowani)'!$F$2:$F$4580,B18),"")</f>
        <v>0.862444378512181</v>
      </c>
      <c r="H18" s="7" t="n">
        <f aca="false">IFERROR(AVERAGEIFS('Uczniowie (zanonimizowani)'!$I$2:$I$4580,'Uczniowie (zanonimizowani)'!$B$2:$B$4580,C18,'Uczniowie (zanonimizowani)'!$E$2:$E$4580,A18,'Uczniowie (zanonimizowani)'!$F$2:$F$4580,B18,'Uczniowie (zanonimizowani)'!$K$2:$K$4580,"NIE"),"")</f>
        <v>0.862444378512181</v>
      </c>
      <c r="I18" s="7" t="n">
        <f aca="false">IFERROR(H18-G18,"")</f>
        <v>0</v>
      </c>
    </row>
    <row r="19" customFormat="false" ht="15" hidden="false" customHeight="false" outlineLevel="0" collapsed="false">
      <c r="A19" s="5" t="s">
        <v>38</v>
      </c>
      <c r="B19" s="5" t="s">
        <v>40</v>
      </c>
      <c r="C19" s="5" t="s">
        <v>74</v>
      </c>
      <c r="D19" s="5" t="n">
        <f aca="false">COUNTIFS('Uczniowie (zanonimizowani)'!$B$2:$B$4580,C19,'Uczniowie (zanonimizowani)'!$E$2:$E$4580,A19,'Uczniowie (zanonimizowani)'!$F$2:$F$4580,B19)</f>
        <v>21</v>
      </c>
      <c r="E19" s="5" t="n">
        <f aca="false">COUNTIFS('Uczniowie (zanonimizowani)'!$B$2:$B$4580,C19,'Uczniowie (zanonimizowani)'!$E$2:$E$4580,A19,'Uczniowie (zanonimizowani)'!$F$2:$F$4580,B19,'Uczniowie (zanonimizowani)'!$K$2:$K$4580,"TAK")</f>
        <v>0</v>
      </c>
      <c r="F19" s="7" t="n">
        <f aca="false">IFERROR(E19/D19,"")</f>
        <v>0</v>
      </c>
      <c r="G19" s="7" t="n">
        <f aca="false">IFERROR(AVERAGEIFS('Uczniowie (zanonimizowani)'!$I$2:$I$4580,'Uczniowie (zanonimizowani)'!$B$2:$B$4580,C19,'Uczniowie (zanonimizowani)'!$E$2:$E$4580,A19,'Uczniowie (zanonimizowani)'!$F$2:$F$4580,B19),"")</f>
        <v>0.843185489012954</v>
      </c>
      <c r="H19" s="7" t="n">
        <f aca="false">IFERROR(AVERAGEIFS('Uczniowie (zanonimizowani)'!$I$2:$I$4580,'Uczniowie (zanonimizowani)'!$B$2:$B$4580,C19,'Uczniowie (zanonimizowani)'!$E$2:$E$4580,A19,'Uczniowie (zanonimizowani)'!$F$2:$F$4580,B19,'Uczniowie (zanonimizowani)'!$K$2:$K$4580,"NIE"),"")</f>
        <v>0.843185489012954</v>
      </c>
      <c r="I19" s="7" t="n">
        <f aca="false">IFERROR(H19-G19,"")</f>
        <v>0</v>
      </c>
    </row>
    <row r="20" customFormat="false" ht="15" hidden="false" customHeight="false" outlineLevel="0" collapsed="false">
      <c r="A20" s="5" t="s">
        <v>46</v>
      </c>
      <c r="B20" s="5" t="s">
        <v>39</v>
      </c>
      <c r="C20" s="5" t="s">
        <v>74</v>
      </c>
      <c r="D20" s="5" t="n">
        <f aca="false">COUNTIFS('Uczniowie (zanonimizowani)'!$B$2:$B$4580,C20,'Uczniowie (zanonimizowani)'!$E$2:$E$4580,A20,'Uczniowie (zanonimizowani)'!$F$2:$F$4580,B20)</f>
        <v>23</v>
      </c>
      <c r="E20" s="5" t="n">
        <f aca="false">COUNTIFS('Uczniowie (zanonimizowani)'!$B$2:$B$4580,C20,'Uczniowie (zanonimizowani)'!$E$2:$E$4580,A20,'Uczniowie (zanonimizowani)'!$F$2:$F$4580,B20,'Uczniowie (zanonimizowani)'!$K$2:$K$4580,"TAK")</f>
        <v>1</v>
      </c>
      <c r="F20" s="7" t="n">
        <f aca="false">IFERROR(E20/D20,"")</f>
        <v>0.0434782608695652</v>
      </c>
      <c r="G20" s="7" t="n">
        <f aca="false">IFERROR(AVERAGEIFS('Uczniowie (zanonimizowani)'!$I$2:$I$4580,'Uczniowie (zanonimizowani)'!$B$2:$B$4580,C20,'Uczniowie (zanonimizowani)'!$E$2:$E$4580,A20,'Uczniowie (zanonimizowani)'!$F$2:$F$4580,B20),"")</f>
        <v>0.840445229794034</v>
      </c>
      <c r="H20" s="7" t="n">
        <f aca="false">IFERROR(AVERAGEIFS('Uczniowie (zanonimizowani)'!$I$2:$I$4580,'Uczniowie (zanonimizowani)'!$B$2:$B$4580,C20,'Uczniowie (zanonimizowani)'!$E$2:$E$4580,A20,'Uczniowie (zanonimizowani)'!$F$2:$F$4580,B20,'Uczniowie (zanonimizowani)'!$K$2:$K$4580,"NIE"),"")</f>
        <v>0.849888937595085</v>
      </c>
      <c r="I20" s="7" t="n">
        <f aca="false">IFERROR(H20-G20,"")</f>
        <v>0.00944370780105086</v>
      </c>
    </row>
    <row r="21" customFormat="false" ht="15" hidden="false" customHeight="false" outlineLevel="0" collapsed="false">
      <c r="A21" s="5" t="s">
        <v>46</v>
      </c>
      <c r="B21" s="5" t="s">
        <v>40</v>
      </c>
      <c r="C21" s="5" t="s">
        <v>74</v>
      </c>
      <c r="D21" s="5" t="n">
        <f aca="false">COUNTIFS('Uczniowie (zanonimizowani)'!$B$2:$B$4580,C21,'Uczniowie (zanonimizowani)'!$E$2:$E$4580,A21,'Uczniowie (zanonimizowani)'!$F$2:$F$4580,B21)</f>
        <v>23</v>
      </c>
      <c r="E21" s="5" t="n">
        <f aca="false">COUNTIFS('Uczniowie (zanonimizowani)'!$B$2:$B$4580,C21,'Uczniowie (zanonimizowani)'!$E$2:$E$4580,A21,'Uczniowie (zanonimizowani)'!$F$2:$F$4580,B21,'Uczniowie (zanonimizowani)'!$K$2:$K$4580,"TAK")</f>
        <v>1</v>
      </c>
      <c r="F21" s="7" t="n">
        <f aca="false">IFERROR(E21/D21,"")</f>
        <v>0.0434782608695652</v>
      </c>
      <c r="G21" s="7" t="n">
        <f aca="false">IFERROR(AVERAGEIFS('Uczniowie (zanonimizowani)'!$I$2:$I$4580,'Uczniowie (zanonimizowani)'!$B$2:$B$4580,C21,'Uczniowie (zanonimizowani)'!$E$2:$E$4580,A21,'Uczniowie (zanonimizowani)'!$F$2:$F$4580,B21),"")</f>
        <v>0.820040875701239</v>
      </c>
      <c r="H21" s="7" t="n">
        <f aca="false">IFERROR(AVERAGEIFS('Uczniowie (zanonimizowani)'!$I$2:$I$4580,'Uczniowie (zanonimizowani)'!$B$2:$B$4580,C21,'Uczniowie (zanonimizowani)'!$E$2:$E$4580,A21,'Uczniowie (zanonimizowani)'!$F$2:$F$4580,B21,'Uczniowie (zanonimizowani)'!$K$2:$K$4580,"NIE"),"")</f>
        <v>0.830459338359583</v>
      </c>
      <c r="I21" s="7" t="n">
        <f aca="false">IFERROR(H21-G21,"")</f>
        <v>0.0104184626583438</v>
      </c>
    </row>
    <row r="22" customFormat="false" ht="15" hidden="false" customHeight="false" outlineLevel="0" collapsed="false">
      <c r="A22" s="5" t="s">
        <v>55</v>
      </c>
      <c r="B22" s="5" t="s">
        <v>39</v>
      </c>
      <c r="C22" s="5" t="s">
        <v>74</v>
      </c>
      <c r="D22" s="5" t="n">
        <f aca="false">COUNTIFS('Uczniowie (zanonimizowani)'!$B$2:$B$4580,C22,'Uczniowie (zanonimizowani)'!$E$2:$E$4580,A22,'Uczniowie (zanonimizowani)'!$F$2:$F$4580,B22)</f>
        <v>23</v>
      </c>
      <c r="E22" s="5" t="n">
        <f aca="false">COUNTIFS('Uczniowie (zanonimizowani)'!$B$2:$B$4580,C22,'Uczniowie (zanonimizowani)'!$E$2:$E$4580,A22,'Uczniowie (zanonimizowani)'!$F$2:$F$4580,B22,'Uczniowie (zanonimizowani)'!$K$2:$K$4580,"TAK")</f>
        <v>0</v>
      </c>
      <c r="F22" s="7" t="n">
        <f aca="false">IFERROR(E22/D22,"")</f>
        <v>0</v>
      </c>
      <c r="G22" s="7" t="n">
        <f aca="false">IFERROR(AVERAGEIFS('Uczniowie (zanonimizowani)'!$I$2:$I$4580,'Uczniowie (zanonimizowani)'!$B$2:$B$4580,C22,'Uczniowie (zanonimizowani)'!$E$2:$E$4580,A22,'Uczniowie (zanonimizowani)'!$F$2:$F$4580,B22),"")</f>
        <v>0.863776445575279</v>
      </c>
      <c r="H22" s="7" t="n">
        <f aca="false">IFERROR(AVERAGEIFS('Uczniowie (zanonimizowani)'!$I$2:$I$4580,'Uczniowie (zanonimizowani)'!$B$2:$B$4580,C22,'Uczniowie (zanonimizowani)'!$E$2:$E$4580,A22,'Uczniowie (zanonimizowani)'!$F$2:$F$4580,B22,'Uczniowie (zanonimizowani)'!$K$2:$K$4580,"NIE"),"")</f>
        <v>0.863776445575279</v>
      </c>
      <c r="I22" s="7" t="n">
        <f aca="false">IFERROR(H22-G22,"")</f>
        <v>0</v>
      </c>
    </row>
    <row r="23" customFormat="false" ht="15" hidden="false" customHeight="false" outlineLevel="0" collapsed="false">
      <c r="A23" s="5" t="s">
        <v>55</v>
      </c>
      <c r="B23" s="5" t="s">
        <v>40</v>
      </c>
      <c r="C23" s="5" t="s">
        <v>74</v>
      </c>
      <c r="D23" s="5" t="n">
        <f aca="false">COUNTIFS('Uczniowie (zanonimizowani)'!$B$2:$B$4580,C23,'Uczniowie (zanonimizowani)'!$E$2:$E$4580,A23,'Uczniowie (zanonimizowani)'!$F$2:$F$4580,B23)</f>
        <v>23</v>
      </c>
      <c r="E23" s="5" t="n">
        <f aca="false">COUNTIFS('Uczniowie (zanonimizowani)'!$B$2:$B$4580,C23,'Uczniowie (zanonimizowani)'!$E$2:$E$4580,A23,'Uczniowie (zanonimizowani)'!$F$2:$F$4580,B23,'Uczniowie (zanonimizowani)'!$K$2:$K$4580,"TAK")</f>
        <v>0</v>
      </c>
      <c r="F23" s="7" t="n">
        <f aca="false">IFERROR(E23/D23,"")</f>
        <v>0</v>
      </c>
      <c r="G23" s="7" t="n">
        <f aca="false">IFERROR(AVERAGEIFS('Uczniowie (zanonimizowani)'!$I$2:$I$4580,'Uczniowie (zanonimizowani)'!$B$2:$B$4580,C23,'Uczniowie (zanonimizowani)'!$E$2:$E$4580,A23,'Uczniowie (zanonimizowani)'!$F$2:$F$4580,B23),"")</f>
        <v>0.751167166707218</v>
      </c>
      <c r="H23" s="7" t="n">
        <f aca="false">IFERROR(AVERAGEIFS('Uczniowie (zanonimizowani)'!$I$2:$I$4580,'Uczniowie (zanonimizowani)'!$B$2:$B$4580,C23,'Uczniowie (zanonimizowani)'!$E$2:$E$4580,A23,'Uczniowie (zanonimizowani)'!$F$2:$F$4580,B23,'Uczniowie (zanonimizowani)'!$K$2:$K$4580,"NIE"),"")</f>
        <v>0.751167166707218</v>
      </c>
      <c r="I23" s="7" t="n">
        <f aca="false">IFERROR(H23-G23,"")</f>
        <v>0</v>
      </c>
    </row>
    <row r="24" customFormat="false" ht="15" hidden="false" customHeight="false" outlineLevel="0" collapsed="false">
      <c r="A24" s="5" t="s">
        <v>57</v>
      </c>
      <c r="B24" s="5" t="s">
        <v>39</v>
      </c>
      <c r="C24" s="5" t="s">
        <v>96</v>
      </c>
      <c r="D24" s="5" t="n">
        <f aca="false">COUNTIFS('Uczniowie (zanonimizowani)'!$B$2:$B$4580,C24,'Uczniowie (zanonimizowani)'!$E$2:$E$4580,A24,'Uczniowie (zanonimizowani)'!$F$2:$F$4580,B24)</f>
        <v>25</v>
      </c>
      <c r="E24" s="5" t="n">
        <f aca="false">COUNTIFS('Uczniowie (zanonimizowani)'!$B$2:$B$4580,C24,'Uczniowie (zanonimizowani)'!$E$2:$E$4580,A24,'Uczniowie (zanonimizowani)'!$F$2:$F$4580,B24,'Uczniowie (zanonimizowani)'!$K$2:$K$4580,"TAK")</f>
        <v>1</v>
      </c>
      <c r="F24" s="7" t="n">
        <f aca="false">IFERROR(E24/D24,"")</f>
        <v>0.04</v>
      </c>
      <c r="G24" s="7" t="n">
        <f aca="false">IFERROR(AVERAGEIFS('Uczniowie (zanonimizowani)'!$I$2:$I$4580,'Uczniowie (zanonimizowani)'!$B$2:$B$4580,C24,'Uczniowie (zanonimizowani)'!$E$2:$E$4580,A24,'Uczniowie (zanonimizowani)'!$F$2:$F$4580,B24),"")</f>
        <v>0.855039542778465</v>
      </c>
      <c r="H24" s="7" t="n">
        <f aca="false">IFERROR(AVERAGEIFS('Uczniowie (zanonimizowani)'!$I$2:$I$4580,'Uczniowie (zanonimizowani)'!$B$2:$B$4580,C24,'Uczniowie (zanonimizowani)'!$E$2:$E$4580,A24,'Uczniowie (zanonimizowani)'!$F$2:$F$4580,B24,'Uczniowie (zanonimizowani)'!$K$2:$K$4580,"NIE"),"")</f>
        <v>0.867913538244598</v>
      </c>
      <c r="I24" s="7" t="n">
        <f aca="false">IFERROR(H24-G24,"")</f>
        <v>0.0128739954661323</v>
      </c>
    </row>
    <row r="25" customFormat="false" ht="15" hidden="false" customHeight="false" outlineLevel="0" collapsed="false">
      <c r="A25" s="5" t="s">
        <v>57</v>
      </c>
      <c r="B25" s="5" t="s">
        <v>40</v>
      </c>
      <c r="C25" s="5" t="s">
        <v>96</v>
      </c>
      <c r="D25" s="5" t="n">
        <f aca="false">COUNTIFS('Uczniowie (zanonimizowani)'!$B$2:$B$4580,C25,'Uczniowie (zanonimizowani)'!$E$2:$E$4580,A25,'Uczniowie (zanonimizowani)'!$F$2:$F$4580,B25)</f>
        <v>24</v>
      </c>
      <c r="E25" s="5" t="n">
        <f aca="false">COUNTIFS('Uczniowie (zanonimizowani)'!$B$2:$B$4580,C25,'Uczniowie (zanonimizowani)'!$E$2:$E$4580,A25,'Uczniowie (zanonimizowani)'!$F$2:$F$4580,B25,'Uczniowie (zanonimizowani)'!$K$2:$K$4580,"TAK")</f>
        <v>0</v>
      </c>
      <c r="F25" s="7" t="n">
        <f aca="false">IFERROR(E25/D25,"")</f>
        <v>0</v>
      </c>
      <c r="G25" s="7" t="n">
        <f aca="false">IFERROR(AVERAGEIFS('Uczniowie (zanonimizowani)'!$I$2:$I$4580,'Uczniowie (zanonimizowani)'!$B$2:$B$4580,C25,'Uczniowie (zanonimizowani)'!$E$2:$E$4580,A25,'Uczniowie (zanonimizowani)'!$F$2:$F$4580,B25),"")</f>
        <v>0.718775021626157</v>
      </c>
      <c r="H25" s="7" t="n">
        <f aca="false">IFERROR(AVERAGEIFS('Uczniowie (zanonimizowani)'!$I$2:$I$4580,'Uczniowie (zanonimizowani)'!$B$2:$B$4580,C25,'Uczniowie (zanonimizowani)'!$E$2:$E$4580,A25,'Uczniowie (zanonimizowani)'!$F$2:$F$4580,B25,'Uczniowie (zanonimizowani)'!$K$2:$K$4580,"NIE"),"")</f>
        <v>0.718775021626157</v>
      </c>
      <c r="I25" s="7" t="n">
        <f aca="false">IFERROR(H25-G25,"")</f>
        <v>0</v>
      </c>
    </row>
    <row r="26" customFormat="false" ht="15" hidden="false" customHeight="false" outlineLevel="0" collapsed="false">
      <c r="A26" s="5" t="s">
        <v>75</v>
      </c>
      <c r="B26" s="5" t="s">
        <v>39</v>
      </c>
      <c r="C26" s="5" t="s">
        <v>96</v>
      </c>
      <c r="D26" s="5" t="n">
        <f aca="false">COUNTIFS('Uczniowie (zanonimizowani)'!$B$2:$B$4580,C26,'Uczniowie (zanonimizowani)'!$E$2:$E$4580,A26,'Uczniowie (zanonimizowani)'!$F$2:$F$4580,B26)</f>
        <v>19</v>
      </c>
      <c r="E26" s="5" t="n">
        <f aca="false">COUNTIFS('Uczniowie (zanonimizowani)'!$B$2:$B$4580,C26,'Uczniowie (zanonimizowani)'!$E$2:$E$4580,A26,'Uczniowie (zanonimizowani)'!$F$2:$F$4580,B26,'Uczniowie (zanonimizowani)'!$K$2:$K$4580,"TAK")</f>
        <v>0</v>
      </c>
      <c r="F26" s="7" t="n">
        <f aca="false">IFERROR(E26/D26,"")</f>
        <v>0</v>
      </c>
      <c r="G26" s="7" t="n">
        <f aca="false">IFERROR(AVERAGEIFS('Uczniowie (zanonimizowani)'!$I$2:$I$4580,'Uczniowie (zanonimizowani)'!$B$2:$B$4580,C26,'Uczniowie (zanonimizowani)'!$E$2:$E$4580,A26,'Uczniowie (zanonimizowani)'!$F$2:$F$4580,B26),"")</f>
        <v>0.856646848416754</v>
      </c>
      <c r="H26" s="7" t="n">
        <f aca="false">IFERROR(AVERAGEIFS('Uczniowie (zanonimizowani)'!$I$2:$I$4580,'Uczniowie (zanonimizowani)'!$B$2:$B$4580,C26,'Uczniowie (zanonimizowani)'!$E$2:$E$4580,A26,'Uczniowie (zanonimizowani)'!$F$2:$F$4580,B26,'Uczniowie (zanonimizowani)'!$K$2:$K$4580,"NIE"),"")</f>
        <v>0.856646848416754</v>
      </c>
      <c r="I26" s="7" t="n">
        <f aca="false">IFERROR(H26-G26,"")</f>
        <v>0</v>
      </c>
    </row>
    <row r="27" customFormat="false" ht="15" hidden="false" customHeight="false" outlineLevel="0" collapsed="false">
      <c r="A27" s="5" t="s">
        <v>75</v>
      </c>
      <c r="B27" s="5" t="s">
        <v>40</v>
      </c>
      <c r="C27" s="5" t="s">
        <v>96</v>
      </c>
      <c r="D27" s="5" t="n">
        <f aca="false">COUNTIFS('Uczniowie (zanonimizowani)'!$B$2:$B$4580,C27,'Uczniowie (zanonimizowani)'!$E$2:$E$4580,A27,'Uczniowie (zanonimizowani)'!$F$2:$F$4580,B27)</f>
        <v>20</v>
      </c>
      <c r="E27" s="5" t="n">
        <f aca="false">COUNTIFS('Uczniowie (zanonimizowani)'!$B$2:$B$4580,C27,'Uczniowie (zanonimizowani)'!$E$2:$E$4580,A27,'Uczniowie (zanonimizowani)'!$F$2:$F$4580,B27,'Uczniowie (zanonimizowani)'!$K$2:$K$4580,"TAK")</f>
        <v>2</v>
      </c>
      <c r="F27" s="7" t="n">
        <f aca="false">IFERROR(E27/D27,"")</f>
        <v>0.1</v>
      </c>
      <c r="G27" s="7" t="n">
        <f aca="false">IFERROR(AVERAGEIFS('Uczniowie (zanonimizowani)'!$I$2:$I$4580,'Uczniowie (zanonimizowani)'!$B$2:$B$4580,C27,'Uczniowie (zanonimizowani)'!$E$2:$E$4580,A27,'Uczniowie (zanonimizowani)'!$F$2:$F$4580,B27),"")</f>
        <v>0.678089279599812</v>
      </c>
      <c r="H27" s="7" t="n">
        <f aca="false">IFERROR(AVERAGEIFS('Uczniowie (zanonimizowani)'!$I$2:$I$4580,'Uczniowie (zanonimizowani)'!$B$2:$B$4580,C27,'Uczniowie (zanonimizowani)'!$E$2:$E$4580,A27,'Uczniowie (zanonimizowani)'!$F$2:$F$4580,B27,'Uczniowie (zanonimizowani)'!$K$2:$K$4580,"NIE"),"")</f>
        <v>0.723011942807073</v>
      </c>
      <c r="I27" s="7" t="n">
        <f aca="false">IFERROR(H27-G27,"")</f>
        <v>0.0449226632072608</v>
      </c>
    </row>
    <row r="28" customFormat="false" ht="15" hidden="false" customHeight="false" outlineLevel="0" collapsed="false">
      <c r="A28" s="5" t="s">
        <v>89</v>
      </c>
      <c r="B28" s="5" t="s">
        <v>39</v>
      </c>
      <c r="C28" s="5" t="s">
        <v>96</v>
      </c>
      <c r="D28" s="5" t="n">
        <f aca="false">COUNTIFS('Uczniowie (zanonimizowani)'!$B$2:$B$4580,C28,'Uczniowie (zanonimizowani)'!$E$2:$E$4580,A28,'Uczniowie (zanonimizowani)'!$F$2:$F$4580,B28)</f>
        <v>24</v>
      </c>
      <c r="E28" s="5" t="n">
        <f aca="false">COUNTIFS('Uczniowie (zanonimizowani)'!$B$2:$B$4580,C28,'Uczniowie (zanonimizowani)'!$E$2:$E$4580,A28,'Uczniowie (zanonimizowani)'!$F$2:$F$4580,B28,'Uczniowie (zanonimizowani)'!$K$2:$K$4580,"TAK")</f>
        <v>2</v>
      </c>
      <c r="F28" s="7" t="n">
        <f aca="false">IFERROR(E28/D28,"")</f>
        <v>0.0833333333333333</v>
      </c>
      <c r="G28" s="7" t="n">
        <f aca="false">IFERROR(AVERAGEIFS('Uczniowie (zanonimizowani)'!$I$2:$I$4580,'Uczniowie (zanonimizowani)'!$B$2:$B$4580,C28,'Uczniowie (zanonimizowani)'!$E$2:$E$4580,A28,'Uczniowie (zanonimizowani)'!$F$2:$F$4580,B28),"")</f>
        <v>0.868588564100093</v>
      </c>
      <c r="H28" s="7" t="n">
        <f aca="false">IFERROR(AVERAGEIFS('Uczniowie (zanonimizowani)'!$I$2:$I$4580,'Uczniowie (zanonimizowani)'!$B$2:$B$4580,C28,'Uczniowie (zanonimizowani)'!$E$2:$E$4580,A28,'Uczniowie (zanonimizowani)'!$F$2:$F$4580,B28,'Uczniowie (zanonimizowani)'!$K$2:$K$4580,"NIE"),"")</f>
        <v>0.892161694541066</v>
      </c>
      <c r="I28" s="7" t="n">
        <f aca="false">IFERROR(H28-G28,"")</f>
        <v>0.0235731304409722</v>
      </c>
    </row>
    <row r="29" customFormat="false" ht="15" hidden="false" customHeight="false" outlineLevel="0" collapsed="false">
      <c r="A29" s="5" t="s">
        <v>89</v>
      </c>
      <c r="B29" s="5" t="s">
        <v>40</v>
      </c>
      <c r="C29" s="5" t="s">
        <v>96</v>
      </c>
      <c r="D29" s="5" t="n">
        <f aca="false">COUNTIFS('Uczniowie (zanonimizowani)'!$B$2:$B$4580,C29,'Uczniowie (zanonimizowani)'!$E$2:$E$4580,A29,'Uczniowie (zanonimizowani)'!$F$2:$F$4580,B29)</f>
        <v>24</v>
      </c>
      <c r="E29" s="5" t="n">
        <f aca="false">COUNTIFS('Uczniowie (zanonimizowani)'!$B$2:$B$4580,C29,'Uczniowie (zanonimizowani)'!$E$2:$E$4580,A29,'Uczniowie (zanonimizowani)'!$F$2:$F$4580,B29,'Uczniowie (zanonimizowani)'!$K$2:$K$4580,"TAK")</f>
        <v>0</v>
      </c>
      <c r="F29" s="7" t="n">
        <f aca="false">IFERROR(E29/D29,"")</f>
        <v>0</v>
      </c>
      <c r="G29" s="7" t="n">
        <f aca="false">IFERROR(AVERAGEIFS('Uczniowie (zanonimizowani)'!$I$2:$I$4580,'Uczniowie (zanonimizowani)'!$B$2:$B$4580,C29,'Uczniowie (zanonimizowani)'!$E$2:$E$4580,A29,'Uczniowie (zanonimizowani)'!$F$2:$F$4580,B29),"")</f>
        <v>0.765997089559551</v>
      </c>
      <c r="H29" s="7" t="n">
        <f aca="false">IFERROR(AVERAGEIFS('Uczniowie (zanonimizowani)'!$I$2:$I$4580,'Uczniowie (zanonimizowani)'!$B$2:$B$4580,C29,'Uczniowie (zanonimizowani)'!$E$2:$E$4580,A29,'Uczniowie (zanonimizowani)'!$F$2:$F$4580,B29,'Uczniowie (zanonimizowani)'!$K$2:$K$4580,"NIE"),"")</f>
        <v>0.765997089559551</v>
      </c>
      <c r="I29" s="7" t="n">
        <f aca="false">IFERROR(H29-G29,"")</f>
        <v>0</v>
      </c>
    </row>
    <row r="30" customFormat="false" ht="15" hidden="false" customHeight="false" outlineLevel="0" collapsed="false">
      <c r="A30" s="5" t="s">
        <v>57</v>
      </c>
      <c r="B30" s="5" t="s">
        <v>39</v>
      </c>
      <c r="C30" s="5" t="s">
        <v>97</v>
      </c>
      <c r="D30" s="5" t="n">
        <f aca="false">COUNTIFS('Uczniowie (zanonimizowani)'!$B$2:$B$4580,C30,'Uczniowie (zanonimizowani)'!$E$2:$E$4580,A30,'Uczniowie (zanonimizowani)'!$F$2:$F$4580,B30)</f>
        <v>26</v>
      </c>
      <c r="E30" s="5" t="n">
        <f aca="false">COUNTIFS('Uczniowie (zanonimizowani)'!$B$2:$B$4580,C30,'Uczniowie (zanonimizowani)'!$E$2:$E$4580,A30,'Uczniowie (zanonimizowani)'!$F$2:$F$4580,B30,'Uczniowie (zanonimizowani)'!$K$2:$K$4580,"TAK")</f>
        <v>0</v>
      </c>
      <c r="F30" s="7" t="n">
        <f aca="false">IFERROR(E30/D30,"")</f>
        <v>0</v>
      </c>
      <c r="G30" s="7" t="n">
        <f aca="false">IFERROR(AVERAGEIFS('Uczniowie (zanonimizowani)'!$I$2:$I$4580,'Uczniowie (zanonimizowani)'!$B$2:$B$4580,C30,'Uczniowie (zanonimizowani)'!$E$2:$E$4580,A30,'Uczniowie (zanonimizowani)'!$F$2:$F$4580,B30),"")</f>
        <v>0.808150624493914</v>
      </c>
      <c r="H30" s="7" t="n">
        <f aca="false">IFERROR(AVERAGEIFS('Uczniowie (zanonimizowani)'!$I$2:$I$4580,'Uczniowie (zanonimizowani)'!$B$2:$B$4580,C30,'Uczniowie (zanonimizowani)'!$E$2:$E$4580,A30,'Uczniowie (zanonimizowani)'!$F$2:$F$4580,B30,'Uczniowie (zanonimizowani)'!$K$2:$K$4580,"NIE"),"")</f>
        <v>0.808150624493914</v>
      </c>
      <c r="I30" s="7" t="n">
        <f aca="false">IFERROR(H30-G30,"")</f>
        <v>0</v>
      </c>
    </row>
    <row r="31" customFormat="false" ht="15" hidden="false" customHeight="false" outlineLevel="0" collapsed="false">
      <c r="A31" s="5" t="s">
        <v>57</v>
      </c>
      <c r="B31" s="5" t="s">
        <v>40</v>
      </c>
      <c r="C31" s="5" t="s">
        <v>97</v>
      </c>
      <c r="D31" s="5" t="n">
        <f aca="false">COUNTIFS('Uczniowie (zanonimizowani)'!$B$2:$B$4580,C31,'Uczniowie (zanonimizowani)'!$E$2:$E$4580,A31,'Uczniowie (zanonimizowani)'!$F$2:$F$4580,B31)</f>
        <v>22</v>
      </c>
      <c r="E31" s="5" t="n">
        <f aca="false">COUNTIFS('Uczniowie (zanonimizowani)'!$B$2:$B$4580,C31,'Uczniowie (zanonimizowani)'!$E$2:$E$4580,A31,'Uczniowie (zanonimizowani)'!$F$2:$F$4580,B31,'Uczniowie (zanonimizowani)'!$K$2:$K$4580,"TAK")</f>
        <v>0</v>
      </c>
      <c r="F31" s="7" t="n">
        <f aca="false">IFERROR(E31/D31,"")</f>
        <v>0</v>
      </c>
      <c r="G31" s="7" t="n">
        <f aca="false">IFERROR(AVERAGEIFS('Uczniowie (zanonimizowani)'!$I$2:$I$4580,'Uczniowie (zanonimizowani)'!$B$2:$B$4580,C31,'Uczniowie (zanonimizowani)'!$E$2:$E$4580,A31,'Uczniowie (zanonimizowani)'!$F$2:$F$4580,B31),"")</f>
        <v>0.71684065186441</v>
      </c>
      <c r="H31" s="7" t="n">
        <f aca="false">IFERROR(AVERAGEIFS('Uczniowie (zanonimizowani)'!$I$2:$I$4580,'Uczniowie (zanonimizowani)'!$B$2:$B$4580,C31,'Uczniowie (zanonimizowani)'!$E$2:$E$4580,A31,'Uczniowie (zanonimizowani)'!$F$2:$F$4580,B31,'Uczniowie (zanonimizowani)'!$K$2:$K$4580,"NIE"),"")</f>
        <v>0.71684065186441</v>
      </c>
      <c r="I31" s="7" t="n">
        <f aca="false">IFERROR(H31-G31,"")</f>
        <v>0</v>
      </c>
    </row>
    <row r="32" customFormat="false" ht="15" hidden="false" customHeight="false" outlineLevel="0" collapsed="false">
      <c r="A32" s="5" t="s">
        <v>89</v>
      </c>
      <c r="B32" s="5" t="s">
        <v>39</v>
      </c>
      <c r="C32" s="5" t="s">
        <v>97</v>
      </c>
      <c r="D32" s="5" t="n">
        <f aca="false">COUNTIFS('Uczniowie (zanonimizowani)'!$B$2:$B$4580,C32,'Uczniowie (zanonimizowani)'!$E$2:$E$4580,A32,'Uczniowie (zanonimizowani)'!$F$2:$F$4580,B32)</f>
        <v>22</v>
      </c>
      <c r="E32" s="5" t="n">
        <f aca="false">COUNTIFS('Uczniowie (zanonimizowani)'!$B$2:$B$4580,C32,'Uczniowie (zanonimizowani)'!$E$2:$E$4580,A32,'Uczniowie (zanonimizowani)'!$F$2:$F$4580,B32,'Uczniowie (zanonimizowani)'!$K$2:$K$4580,"TAK")</f>
        <v>1</v>
      </c>
      <c r="F32" s="7" t="n">
        <f aca="false">IFERROR(E32/D32,"")</f>
        <v>0.0454545454545455</v>
      </c>
      <c r="G32" s="7" t="n">
        <f aca="false">IFERROR(AVERAGEIFS('Uczniowie (zanonimizowani)'!$I$2:$I$4580,'Uczniowie (zanonimizowani)'!$B$2:$B$4580,C32,'Uczniowie (zanonimizowani)'!$E$2:$E$4580,A32,'Uczniowie (zanonimizowani)'!$F$2:$F$4580,B32),"")</f>
        <v>0.840513981456523</v>
      </c>
      <c r="H32" s="7" t="n">
        <f aca="false">IFERROR(AVERAGEIFS('Uczniowie (zanonimizowani)'!$I$2:$I$4580,'Uczniowie (zanonimizowani)'!$B$2:$B$4580,C32,'Uczniowie (zanonimizowani)'!$E$2:$E$4580,A32,'Uczniowie (zanonimizowani)'!$F$2:$F$4580,B32,'Uczniowie (zanonimizowani)'!$K$2:$K$4580,"NIE"),"")</f>
        <v>0.85754995101685</v>
      </c>
      <c r="I32" s="7" t="n">
        <f aca="false">IFERROR(H32-G32,"")</f>
        <v>0.0170359695603272</v>
      </c>
    </row>
    <row r="33" customFormat="false" ht="15" hidden="false" customHeight="false" outlineLevel="0" collapsed="false">
      <c r="A33" s="5" t="s">
        <v>89</v>
      </c>
      <c r="B33" s="5" t="s">
        <v>40</v>
      </c>
      <c r="C33" s="5" t="s">
        <v>97</v>
      </c>
      <c r="D33" s="5" t="n">
        <f aca="false">COUNTIFS('Uczniowie (zanonimizowani)'!$B$2:$B$4580,C33,'Uczniowie (zanonimizowani)'!$E$2:$E$4580,A33,'Uczniowie (zanonimizowani)'!$F$2:$F$4580,B33)</f>
        <v>20</v>
      </c>
      <c r="E33" s="5" t="n">
        <f aca="false">COUNTIFS('Uczniowie (zanonimizowani)'!$B$2:$B$4580,C33,'Uczniowie (zanonimizowani)'!$E$2:$E$4580,A33,'Uczniowie (zanonimizowani)'!$F$2:$F$4580,B33,'Uczniowie (zanonimizowani)'!$K$2:$K$4580,"TAK")</f>
        <v>1</v>
      </c>
      <c r="F33" s="7" t="n">
        <f aca="false">IFERROR(E33/D33,"")</f>
        <v>0.05</v>
      </c>
      <c r="G33" s="7" t="n">
        <f aca="false">IFERROR(AVERAGEIFS('Uczniowie (zanonimizowani)'!$I$2:$I$4580,'Uczniowie (zanonimizowani)'!$B$2:$B$4580,C33,'Uczniowie (zanonimizowani)'!$E$2:$E$4580,A33,'Uczniowie (zanonimizowani)'!$F$2:$F$4580,B33),"")</f>
        <v>0.699824327434954</v>
      </c>
      <c r="H33" s="7" t="n">
        <f aca="false">IFERROR(AVERAGEIFS('Uczniowie (zanonimizowani)'!$I$2:$I$4580,'Uczniowie (zanonimizowani)'!$B$2:$B$4580,C33,'Uczniowie (zanonimizowani)'!$E$2:$E$4580,A33,'Uczniowie (zanonimizowani)'!$F$2:$F$4580,B33,'Uczniowie (zanonimizowani)'!$K$2:$K$4580,"NIE"),"")</f>
        <v>0.725173933185119</v>
      </c>
      <c r="I33" s="7" t="n">
        <f aca="false">IFERROR(H33-G33,"")</f>
        <v>0.0253496057501651</v>
      </c>
    </row>
    <row r="34" customFormat="false" ht="15" hidden="false" customHeight="false" outlineLevel="0" collapsed="false">
      <c r="A34" s="5" t="s">
        <v>55</v>
      </c>
      <c r="B34" s="5" t="s">
        <v>39</v>
      </c>
      <c r="C34" s="5" t="s">
        <v>91</v>
      </c>
      <c r="D34" s="5" t="n">
        <f aca="false">COUNTIFS('Uczniowie (zanonimizowani)'!$B$2:$B$4580,C34,'Uczniowie (zanonimizowani)'!$E$2:$E$4580,A34,'Uczniowie (zanonimizowani)'!$F$2:$F$4580,B34)</f>
        <v>21</v>
      </c>
      <c r="E34" s="5" t="n">
        <f aca="false">COUNTIFS('Uczniowie (zanonimizowani)'!$B$2:$B$4580,C34,'Uczniowie (zanonimizowani)'!$E$2:$E$4580,A34,'Uczniowie (zanonimizowani)'!$F$2:$F$4580,B34,'Uczniowie (zanonimizowani)'!$K$2:$K$4580,"TAK")</f>
        <v>2</v>
      </c>
      <c r="F34" s="7" t="n">
        <f aca="false">IFERROR(E34/D34,"")</f>
        <v>0.0952380952380952</v>
      </c>
      <c r="G34" s="7" t="n">
        <f aca="false">IFERROR(AVERAGEIFS('Uczniowie (zanonimizowani)'!$I$2:$I$4580,'Uczniowie (zanonimizowani)'!$B$2:$B$4580,C34,'Uczniowie (zanonimizowani)'!$E$2:$E$4580,A34,'Uczniowie (zanonimizowani)'!$F$2:$F$4580,B34),"")</f>
        <v>0.840037467878751</v>
      </c>
      <c r="H34" s="7" t="n">
        <f aca="false">IFERROR(AVERAGEIFS('Uczniowie (zanonimizowani)'!$I$2:$I$4580,'Uczniowie (zanonimizowani)'!$B$2:$B$4580,C34,'Uczniowie (zanonimizowani)'!$E$2:$E$4580,A34,'Uczniowie (zanonimizowani)'!$F$2:$F$4580,B34,'Uczniowie (zanonimizowani)'!$K$2:$K$4580,"NIE"),"")</f>
        <v>0.860099977253397</v>
      </c>
      <c r="I34" s="7" t="n">
        <f aca="false">IFERROR(H34-G34,"")</f>
        <v>0.0200625093746454</v>
      </c>
    </row>
    <row r="35" customFormat="false" ht="15" hidden="false" customHeight="false" outlineLevel="0" collapsed="false">
      <c r="A35" s="5" t="s">
        <v>55</v>
      </c>
      <c r="B35" s="5" t="s">
        <v>40</v>
      </c>
      <c r="C35" s="5" t="s">
        <v>91</v>
      </c>
      <c r="D35" s="5" t="n">
        <f aca="false">COUNTIFS('Uczniowie (zanonimizowani)'!$B$2:$B$4580,C35,'Uczniowie (zanonimizowani)'!$E$2:$E$4580,A35,'Uczniowie (zanonimizowani)'!$F$2:$F$4580,B35)</f>
        <v>19</v>
      </c>
      <c r="E35" s="5" t="n">
        <f aca="false">COUNTIFS('Uczniowie (zanonimizowani)'!$B$2:$B$4580,C35,'Uczniowie (zanonimizowani)'!$E$2:$E$4580,A35,'Uczniowie (zanonimizowani)'!$F$2:$F$4580,B35,'Uczniowie (zanonimizowani)'!$K$2:$K$4580,"TAK")</f>
        <v>0</v>
      </c>
      <c r="F35" s="7" t="n">
        <f aca="false">IFERROR(E35/D35,"")</f>
        <v>0</v>
      </c>
      <c r="G35" s="7" t="n">
        <f aca="false">IFERROR(AVERAGEIFS('Uczniowie (zanonimizowani)'!$I$2:$I$4580,'Uczniowie (zanonimizowani)'!$B$2:$B$4580,C35,'Uczniowie (zanonimizowani)'!$E$2:$E$4580,A35,'Uczniowie (zanonimizowani)'!$F$2:$F$4580,B35),"")</f>
        <v>0.685770911672155</v>
      </c>
      <c r="H35" s="7" t="n">
        <f aca="false">IFERROR(AVERAGEIFS('Uczniowie (zanonimizowani)'!$I$2:$I$4580,'Uczniowie (zanonimizowani)'!$B$2:$B$4580,C35,'Uczniowie (zanonimizowani)'!$E$2:$E$4580,A35,'Uczniowie (zanonimizowani)'!$F$2:$F$4580,B35,'Uczniowie (zanonimizowani)'!$K$2:$K$4580,"NIE"),"")</f>
        <v>0.685770911672155</v>
      </c>
      <c r="I35" s="7" t="n">
        <f aca="false">IFERROR(H35-G35,"")</f>
        <v>0</v>
      </c>
    </row>
    <row r="36" customFormat="false" ht="15" hidden="false" customHeight="false" outlineLevel="0" collapsed="false">
      <c r="A36" s="5" t="s">
        <v>57</v>
      </c>
      <c r="B36" s="5" t="s">
        <v>39</v>
      </c>
      <c r="C36" s="5" t="s">
        <v>98</v>
      </c>
      <c r="D36" s="5" t="n">
        <f aca="false">COUNTIFS('Uczniowie (zanonimizowani)'!$B$2:$B$4580,C36,'Uczniowie (zanonimizowani)'!$E$2:$E$4580,A36,'Uczniowie (zanonimizowani)'!$F$2:$F$4580,B36)</f>
        <v>25</v>
      </c>
      <c r="E36" s="5" t="n">
        <f aca="false">COUNTIFS('Uczniowie (zanonimizowani)'!$B$2:$B$4580,C36,'Uczniowie (zanonimizowani)'!$E$2:$E$4580,A36,'Uczniowie (zanonimizowani)'!$F$2:$F$4580,B36,'Uczniowie (zanonimizowani)'!$K$2:$K$4580,"TAK")</f>
        <v>0</v>
      </c>
      <c r="F36" s="7" t="n">
        <f aca="false">IFERROR(E36/D36,"")</f>
        <v>0</v>
      </c>
      <c r="G36" s="7" t="n">
        <f aca="false">IFERROR(AVERAGEIFS('Uczniowie (zanonimizowani)'!$I$2:$I$4580,'Uczniowie (zanonimizowani)'!$B$2:$B$4580,C36,'Uczniowie (zanonimizowani)'!$E$2:$E$4580,A36,'Uczniowie (zanonimizowani)'!$F$2:$F$4580,B36),"")</f>
        <v>0.841162286565572</v>
      </c>
      <c r="H36" s="7" t="n">
        <f aca="false">IFERROR(AVERAGEIFS('Uczniowie (zanonimizowani)'!$I$2:$I$4580,'Uczniowie (zanonimizowani)'!$B$2:$B$4580,C36,'Uczniowie (zanonimizowani)'!$E$2:$E$4580,A36,'Uczniowie (zanonimizowani)'!$F$2:$F$4580,B36,'Uczniowie (zanonimizowani)'!$K$2:$K$4580,"NIE"),"")</f>
        <v>0.841162286565572</v>
      </c>
      <c r="I36" s="7" t="n">
        <f aca="false">IFERROR(H36-G36,"")</f>
        <v>0</v>
      </c>
    </row>
    <row r="37" customFormat="false" ht="15" hidden="false" customHeight="false" outlineLevel="0" collapsed="false">
      <c r="A37" s="5" t="s">
        <v>57</v>
      </c>
      <c r="B37" s="5" t="s">
        <v>40</v>
      </c>
      <c r="C37" s="5" t="s">
        <v>98</v>
      </c>
      <c r="D37" s="5" t="n">
        <f aca="false">COUNTIFS('Uczniowie (zanonimizowani)'!$B$2:$B$4580,C37,'Uczniowie (zanonimizowani)'!$E$2:$E$4580,A37,'Uczniowie (zanonimizowani)'!$F$2:$F$4580,B37)</f>
        <v>25</v>
      </c>
      <c r="E37" s="5" t="n">
        <f aca="false">COUNTIFS('Uczniowie (zanonimizowani)'!$B$2:$B$4580,C37,'Uczniowie (zanonimizowani)'!$E$2:$E$4580,A37,'Uczniowie (zanonimizowani)'!$F$2:$F$4580,B37,'Uczniowie (zanonimizowani)'!$K$2:$K$4580,"TAK")</f>
        <v>0</v>
      </c>
      <c r="F37" s="7" t="n">
        <f aca="false">IFERROR(E37/D37,"")</f>
        <v>0</v>
      </c>
      <c r="G37" s="7" t="n">
        <f aca="false">IFERROR(AVERAGEIFS('Uczniowie (zanonimizowani)'!$I$2:$I$4580,'Uczniowie (zanonimizowani)'!$B$2:$B$4580,C37,'Uczniowie (zanonimizowani)'!$E$2:$E$4580,A37,'Uczniowie (zanonimizowani)'!$F$2:$F$4580,B37),"")</f>
        <v>0.724028981034657</v>
      </c>
      <c r="H37" s="7" t="n">
        <f aca="false">IFERROR(AVERAGEIFS('Uczniowie (zanonimizowani)'!$I$2:$I$4580,'Uczniowie (zanonimizowani)'!$B$2:$B$4580,C37,'Uczniowie (zanonimizowani)'!$E$2:$E$4580,A37,'Uczniowie (zanonimizowani)'!$F$2:$F$4580,B37,'Uczniowie (zanonimizowani)'!$K$2:$K$4580,"NIE"),"")</f>
        <v>0.724028981034657</v>
      </c>
      <c r="I37" s="7" t="n">
        <f aca="false">IFERROR(H37-G37,"")</f>
        <v>0</v>
      </c>
    </row>
    <row r="38" customFormat="false" ht="15" hidden="false" customHeight="false" outlineLevel="0" collapsed="false">
      <c r="A38" s="5" t="s">
        <v>75</v>
      </c>
      <c r="B38" s="5" t="s">
        <v>39</v>
      </c>
      <c r="C38" s="5" t="s">
        <v>98</v>
      </c>
      <c r="D38" s="5" t="n">
        <f aca="false">COUNTIFS('Uczniowie (zanonimizowani)'!$B$2:$B$4580,C38,'Uczniowie (zanonimizowani)'!$E$2:$E$4580,A38,'Uczniowie (zanonimizowani)'!$F$2:$F$4580,B38)</f>
        <v>19</v>
      </c>
      <c r="E38" s="5" t="n">
        <f aca="false">COUNTIFS('Uczniowie (zanonimizowani)'!$B$2:$B$4580,C38,'Uczniowie (zanonimizowani)'!$E$2:$E$4580,A38,'Uczniowie (zanonimizowani)'!$F$2:$F$4580,B38,'Uczniowie (zanonimizowani)'!$K$2:$K$4580,"TAK")</f>
        <v>1</v>
      </c>
      <c r="F38" s="7" t="n">
        <f aca="false">IFERROR(E38/D38,"")</f>
        <v>0.0526315789473684</v>
      </c>
      <c r="G38" s="7" t="n">
        <f aca="false">IFERROR(AVERAGEIFS('Uczniowie (zanonimizowani)'!$I$2:$I$4580,'Uczniowie (zanonimizowani)'!$B$2:$B$4580,C38,'Uczniowie (zanonimizowani)'!$E$2:$E$4580,A38,'Uczniowie (zanonimizowani)'!$F$2:$F$4580,B38),"")</f>
        <v>0.829940076769879</v>
      </c>
      <c r="H38" s="7" t="n">
        <f aca="false">IFERROR(AVERAGEIFS('Uczniowie (zanonimizowani)'!$I$2:$I$4580,'Uczniowie (zanonimizowani)'!$B$2:$B$4580,C38,'Uczniowie (zanonimizowani)'!$E$2:$E$4580,A38,'Uczniowie (zanonimizowani)'!$F$2:$F$4580,B38,'Uczniowie (zanonimizowani)'!$K$2:$K$4580,"NIE"),"")</f>
        <v>0.855214525479317</v>
      </c>
      <c r="I38" s="7" t="n">
        <f aca="false">IFERROR(H38-G38,"")</f>
        <v>0.0252744487094377</v>
      </c>
    </row>
    <row r="39" customFormat="false" ht="15" hidden="false" customHeight="false" outlineLevel="0" collapsed="false">
      <c r="A39" s="5" t="s">
        <v>75</v>
      </c>
      <c r="B39" s="5" t="s">
        <v>40</v>
      </c>
      <c r="C39" s="5" t="s">
        <v>98</v>
      </c>
      <c r="D39" s="5" t="n">
        <f aca="false">COUNTIFS('Uczniowie (zanonimizowani)'!$B$2:$B$4580,C39,'Uczniowie (zanonimizowani)'!$E$2:$E$4580,A39,'Uczniowie (zanonimizowani)'!$F$2:$F$4580,B39)</f>
        <v>19</v>
      </c>
      <c r="E39" s="5" t="n">
        <f aca="false">COUNTIFS('Uczniowie (zanonimizowani)'!$B$2:$B$4580,C39,'Uczniowie (zanonimizowani)'!$E$2:$E$4580,A39,'Uczniowie (zanonimizowani)'!$F$2:$F$4580,B39,'Uczniowie (zanonimizowani)'!$K$2:$K$4580,"TAK")</f>
        <v>2</v>
      </c>
      <c r="F39" s="7" t="n">
        <f aca="false">IFERROR(E39/D39,"")</f>
        <v>0.105263157894737</v>
      </c>
      <c r="G39" s="7" t="n">
        <f aca="false">IFERROR(AVERAGEIFS('Uczniowie (zanonimizowani)'!$I$2:$I$4580,'Uczniowie (zanonimizowani)'!$B$2:$B$4580,C39,'Uczniowie (zanonimizowani)'!$E$2:$E$4580,A39,'Uczniowie (zanonimizowani)'!$F$2:$F$4580,B39),"")</f>
        <v>0.701448613629867</v>
      </c>
      <c r="H39" s="7" t="n">
        <f aca="false">IFERROR(AVERAGEIFS('Uczniowie (zanonimizowani)'!$I$2:$I$4580,'Uczniowie (zanonimizowani)'!$B$2:$B$4580,C39,'Uczniowie (zanonimizowani)'!$E$2:$E$4580,A39,'Uczniowie (zanonimizowani)'!$F$2:$F$4580,B39,'Uczniowie (zanonimizowani)'!$K$2:$K$4580,"NIE"),"")</f>
        <v>0.749325961337647</v>
      </c>
      <c r="I39" s="7" t="n">
        <f aca="false">IFERROR(H39-G39,"")</f>
        <v>0.0478773477077807</v>
      </c>
    </row>
    <row r="40" customFormat="false" ht="15" hidden="false" customHeight="false" outlineLevel="0" collapsed="false">
      <c r="A40" s="5" t="s">
        <v>89</v>
      </c>
      <c r="B40" s="5" t="s">
        <v>39</v>
      </c>
      <c r="C40" s="5" t="s">
        <v>98</v>
      </c>
      <c r="D40" s="5" t="n">
        <f aca="false">COUNTIFS('Uczniowie (zanonimizowani)'!$B$2:$B$4580,C40,'Uczniowie (zanonimizowani)'!$E$2:$E$4580,A40,'Uczniowie (zanonimizowani)'!$F$2:$F$4580,B40)</f>
        <v>28</v>
      </c>
      <c r="E40" s="5" t="n">
        <f aca="false">COUNTIFS('Uczniowie (zanonimizowani)'!$B$2:$B$4580,C40,'Uczniowie (zanonimizowani)'!$E$2:$E$4580,A40,'Uczniowie (zanonimizowani)'!$F$2:$F$4580,B40,'Uczniowie (zanonimizowani)'!$K$2:$K$4580,"TAK")</f>
        <v>0</v>
      </c>
      <c r="F40" s="7" t="n">
        <f aca="false">IFERROR(E40/D40,"")</f>
        <v>0</v>
      </c>
      <c r="G40" s="7" t="n">
        <f aca="false">IFERROR(AVERAGEIFS('Uczniowie (zanonimizowani)'!$I$2:$I$4580,'Uczniowie (zanonimizowani)'!$B$2:$B$4580,C40,'Uczniowie (zanonimizowani)'!$E$2:$E$4580,A40,'Uczniowie (zanonimizowani)'!$F$2:$F$4580,B40),"")</f>
        <v>0.898312700396982</v>
      </c>
      <c r="H40" s="7" t="n">
        <f aca="false">IFERROR(AVERAGEIFS('Uczniowie (zanonimizowani)'!$I$2:$I$4580,'Uczniowie (zanonimizowani)'!$B$2:$B$4580,C40,'Uczniowie (zanonimizowani)'!$E$2:$E$4580,A40,'Uczniowie (zanonimizowani)'!$F$2:$F$4580,B40,'Uczniowie (zanonimizowani)'!$K$2:$K$4580,"NIE"),"")</f>
        <v>0.898312700396982</v>
      </c>
      <c r="I40" s="7" t="n">
        <f aca="false">IFERROR(H40-G40,"")</f>
        <v>0</v>
      </c>
    </row>
    <row r="41" customFormat="false" ht="15" hidden="false" customHeight="false" outlineLevel="0" collapsed="false">
      <c r="A41" s="5" t="s">
        <v>89</v>
      </c>
      <c r="B41" s="5" t="s">
        <v>40</v>
      </c>
      <c r="C41" s="5" t="s">
        <v>98</v>
      </c>
      <c r="D41" s="5" t="n">
        <f aca="false">COUNTIFS('Uczniowie (zanonimizowani)'!$B$2:$B$4580,C41,'Uczniowie (zanonimizowani)'!$E$2:$E$4580,A41,'Uczniowie (zanonimizowani)'!$F$2:$F$4580,B41)</f>
        <v>26</v>
      </c>
      <c r="E41" s="5" t="n">
        <f aca="false">COUNTIFS('Uczniowie (zanonimizowani)'!$B$2:$B$4580,C41,'Uczniowie (zanonimizowani)'!$E$2:$E$4580,A41,'Uczniowie (zanonimizowani)'!$F$2:$F$4580,B41,'Uczniowie (zanonimizowani)'!$K$2:$K$4580,"TAK")</f>
        <v>0</v>
      </c>
      <c r="F41" s="7" t="n">
        <f aca="false">IFERROR(E41/D41,"")</f>
        <v>0</v>
      </c>
      <c r="G41" s="7" t="n">
        <f aca="false">IFERROR(AVERAGEIFS('Uczniowie (zanonimizowani)'!$I$2:$I$4580,'Uczniowie (zanonimizowani)'!$B$2:$B$4580,C41,'Uczniowie (zanonimizowani)'!$E$2:$E$4580,A41,'Uczniowie (zanonimizowani)'!$F$2:$F$4580,B41),"")</f>
        <v>0.75425269209908</v>
      </c>
      <c r="H41" s="7" t="n">
        <f aca="false">IFERROR(AVERAGEIFS('Uczniowie (zanonimizowani)'!$I$2:$I$4580,'Uczniowie (zanonimizowani)'!$B$2:$B$4580,C41,'Uczniowie (zanonimizowani)'!$E$2:$E$4580,A41,'Uczniowie (zanonimizowani)'!$F$2:$F$4580,B41,'Uczniowie (zanonimizowani)'!$K$2:$K$4580,"NIE"),"")</f>
        <v>0.75425269209908</v>
      </c>
      <c r="I41" s="7" t="n">
        <f aca="false">IFERROR(H41-G41,"")</f>
        <v>0</v>
      </c>
    </row>
    <row r="42" customFormat="false" ht="15" hidden="false" customHeight="false" outlineLevel="0" collapsed="false">
      <c r="A42" s="5" t="s">
        <v>38</v>
      </c>
      <c r="B42" s="5" t="s">
        <v>39</v>
      </c>
      <c r="C42" s="5" t="s">
        <v>76</v>
      </c>
      <c r="D42" s="5" t="n">
        <f aca="false">COUNTIFS('Uczniowie (zanonimizowani)'!$B$2:$B$4580,C42,'Uczniowie (zanonimizowani)'!$E$2:$E$4580,A42,'Uczniowie (zanonimizowani)'!$F$2:$F$4580,B42)</f>
        <v>14</v>
      </c>
      <c r="E42" s="5" t="n">
        <f aca="false">COUNTIFS('Uczniowie (zanonimizowani)'!$B$2:$B$4580,C42,'Uczniowie (zanonimizowani)'!$E$2:$E$4580,A42,'Uczniowie (zanonimizowani)'!$F$2:$F$4580,B42,'Uczniowie (zanonimizowani)'!$K$2:$K$4580,"TAK")</f>
        <v>3</v>
      </c>
      <c r="F42" s="7" t="n">
        <f aca="false">IFERROR(E42/D42,"")</f>
        <v>0.214285714285714</v>
      </c>
      <c r="G42" s="7" t="n">
        <f aca="false">IFERROR(AVERAGEIFS('Uczniowie (zanonimizowani)'!$I$2:$I$4580,'Uczniowie (zanonimizowani)'!$B$2:$B$4580,C42,'Uczniowie (zanonimizowani)'!$E$2:$E$4580,A42,'Uczniowie (zanonimizowani)'!$F$2:$F$4580,B42),"")</f>
        <v>0.928087885592406</v>
      </c>
      <c r="H42" s="7" t="n">
        <f aca="false">IFERROR(AVERAGEIFS('Uczniowie (zanonimizowani)'!$I$2:$I$4580,'Uczniowie (zanonimizowani)'!$B$2:$B$4580,C42,'Uczniowie (zanonimizowani)'!$E$2:$E$4580,A42,'Uczniowie (zanonimizowani)'!$F$2:$F$4580,B42,'Uczniowie (zanonimizowani)'!$K$2:$K$4580,"NIE"),"")</f>
        <v>0.962067468396582</v>
      </c>
      <c r="I42" s="7" t="n">
        <f aca="false">IFERROR(H42-G42,"")</f>
        <v>0.0339795828041759</v>
      </c>
    </row>
    <row r="43" customFormat="false" ht="15" hidden="false" customHeight="false" outlineLevel="0" collapsed="false">
      <c r="A43" s="5" t="s">
        <v>38</v>
      </c>
      <c r="B43" s="5" t="s">
        <v>40</v>
      </c>
      <c r="C43" s="5" t="s">
        <v>76</v>
      </c>
      <c r="D43" s="5" t="n">
        <f aca="false">COUNTIFS('Uczniowie (zanonimizowani)'!$B$2:$B$4580,C43,'Uczniowie (zanonimizowani)'!$E$2:$E$4580,A43,'Uczniowie (zanonimizowani)'!$F$2:$F$4580,B43)</f>
        <v>14</v>
      </c>
      <c r="E43" s="5" t="n">
        <f aca="false">COUNTIFS('Uczniowie (zanonimizowani)'!$B$2:$B$4580,C43,'Uczniowie (zanonimizowani)'!$E$2:$E$4580,A43,'Uczniowie (zanonimizowani)'!$F$2:$F$4580,B43,'Uczniowie (zanonimizowani)'!$K$2:$K$4580,"TAK")</f>
        <v>0</v>
      </c>
      <c r="F43" s="7" t="n">
        <f aca="false">IFERROR(E43/D43,"")</f>
        <v>0</v>
      </c>
      <c r="G43" s="7" t="n">
        <f aca="false">IFERROR(AVERAGEIFS('Uczniowie (zanonimizowani)'!$I$2:$I$4580,'Uczniowie (zanonimizowani)'!$B$2:$B$4580,C43,'Uczniowie (zanonimizowani)'!$E$2:$E$4580,A43,'Uczniowie (zanonimizowani)'!$F$2:$F$4580,B43),"")</f>
        <v>0.889910212680578</v>
      </c>
      <c r="H43" s="7" t="n">
        <f aca="false">IFERROR(AVERAGEIFS('Uczniowie (zanonimizowani)'!$I$2:$I$4580,'Uczniowie (zanonimizowani)'!$B$2:$B$4580,C43,'Uczniowie (zanonimizowani)'!$E$2:$E$4580,A43,'Uczniowie (zanonimizowani)'!$F$2:$F$4580,B43,'Uczniowie (zanonimizowani)'!$K$2:$K$4580,"NIE"),"")</f>
        <v>0.889910212680578</v>
      </c>
      <c r="I43" s="7" t="n">
        <f aca="false">IFERROR(H43-G43,"")</f>
        <v>0</v>
      </c>
    </row>
    <row r="44" customFormat="false" ht="15" hidden="false" customHeight="false" outlineLevel="0" collapsed="false">
      <c r="A44" s="5" t="s">
        <v>46</v>
      </c>
      <c r="B44" s="5" t="s">
        <v>39</v>
      </c>
      <c r="C44" s="5" t="s">
        <v>76</v>
      </c>
      <c r="D44" s="5" t="n">
        <f aca="false">COUNTIFS('Uczniowie (zanonimizowani)'!$B$2:$B$4580,C44,'Uczniowie (zanonimizowani)'!$E$2:$E$4580,A44,'Uczniowie (zanonimizowani)'!$F$2:$F$4580,B44)</f>
        <v>24</v>
      </c>
      <c r="E44" s="5" t="n">
        <f aca="false">COUNTIFS('Uczniowie (zanonimizowani)'!$B$2:$B$4580,C44,'Uczniowie (zanonimizowani)'!$E$2:$E$4580,A44,'Uczniowie (zanonimizowani)'!$F$2:$F$4580,B44,'Uczniowie (zanonimizowani)'!$K$2:$K$4580,"TAK")</f>
        <v>0</v>
      </c>
      <c r="F44" s="7" t="n">
        <f aca="false">IFERROR(E44/D44,"")</f>
        <v>0</v>
      </c>
      <c r="G44" s="7" t="n">
        <f aca="false">IFERROR(AVERAGEIFS('Uczniowie (zanonimizowani)'!$I$2:$I$4580,'Uczniowie (zanonimizowani)'!$B$2:$B$4580,C44,'Uczniowie (zanonimizowani)'!$E$2:$E$4580,A44,'Uczniowie (zanonimizowani)'!$F$2:$F$4580,B44),"")</f>
        <v>0.850304408556935</v>
      </c>
      <c r="H44" s="7" t="n">
        <f aca="false">IFERROR(AVERAGEIFS('Uczniowie (zanonimizowani)'!$I$2:$I$4580,'Uczniowie (zanonimizowani)'!$B$2:$B$4580,C44,'Uczniowie (zanonimizowani)'!$E$2:$E$4580,A44,'Uczniowie (zanonimizowani)'!$F$2:$F$4580,B44,'Uczniowie (zanonimizowani)'!$K$2:$K$4580,"NIE"),"")</f>
        <v>0.850304408556935</v>
      </c>
      <c r="I44" s="7" t="n">
        <f aca="false">IFERROR(H44-G44,"")</f>
        <v>0</v>
      </c>
    </row>
    <row r="45" customFormat="false" ht="15" hidden="false" customHeight="false" outlineLevel="0" collapsed="false">
      <c r="A45" s="5" t="s">
        <v>46</v>
      </c>
      <c r="B45" s="5" t="s">
        <v>40</v>
      </c>
      <c r="C45" s="5" t="s">
        <v>76</v>
      </c>
      <c r="D45" s="5" t="n">
        <f aca="false">COUNTIFS('Uczniowie (zanonimizowani)'!$B$2:$B$4580,C45,'Uczniowie (zanonimizowani)'!$E$2:$E$4580,A45,'Uczniowie (zanonimizowani)'!$F$2:$F$4580,B45)</f>
        <v>24</v>
      </c>
      <c r="E45" s="5" t="n">
        <f aca="false">COUNTIFS('Uczniowie (zanonimizowani)'!$B$2:$B$4580,C45,'Uczniowie (zanonimizowani)'!$E$2:$E$4580,A45,'Uczniowie (zanonimizowani)'!$F$2:$F$4580,B45,'Uczniowie (zanonimizowani)'!$K$2:$K$4580,"TAK")</f>
        <v>1</v>
      </c>
      <c r="F45" s="7" t="n">
        <f aca="false">IFERROR(E45/D45,"")</f>
        <v>0.0416666666666667</v>
      </c>
      <c r="G45" s="7" t="n">
        <f aca="false">IFERROR(AVERAGEIFS('Uczniowie (zanonimizowani)'!$I$2:$I$4580,'Uczniowie (zanonimizowani)'!$B$2:$B$4580,C45,'Uczniowie (zanonimizowani)'!$E$2:$E$4580,A45,'Uczniowie (zanonimizowani)'!$F$2:$F$4580,B45),"")</f>
        <v>0.766508313179281</v>
      </c>
      <c r="H45" s="7" t="n">
        <f aca="false">IFERROR(AVERAGEIFS('Uczniowie (zanonimizowani)'!$I$2:$I$4580,'Uczniowie (zanonimizowani)'!$B$2:$B$4580,C45,'Uczniowie (zanonimizowani)'!$E$2:$E$4580,A45,'Uczniowie (zanonimizowani)'!$F$2:$F$4580,B45,'Uczniowie (zanonimizowani)'!$K$2:$K$4580,"NIE"),"")</f>
        <v>0.780861032895019</v>
      </c>
      <c r="I45" s="7" t="n">
        <f aca="false">IFERROR(H45-G45,"")</f>
        <v>0.0143527197157377</v>
      </c>
    </row>
    <row r="46" customFormat="false" ht="15" hidden="false" customHeight="false" outlineLevel="0" collapsed="false">
      <c r="A46" s="5" t="s">
        <v>55</v>
      </c>
      <c r="B46" s="5" t="s">
        <v>39</v>
      </c>
      <c r="C46" s="5" t="s">
        <v>76</v>
      </c>
      <c r="D46" s="5" t="n">
        <f aca="false">COUNTIFS('Uczniowie (zanonimizowani)'!$B$2:$B$4580,C46,'Uczniowie (zanonimizowani)'!$E$2:$E$4580,A46,'Uczniowie (zanonimizowani)'!$F$2:$F$4580,B46)</f>
        <v>24</v>
      </c>
      <c r="E46" s="5" t="n">
        <f aca="false">COUNTIFS('Uczniowie (zanonimizowani)'!$B$2:$B$4580,C46,'Uczniowie (zanonimizowani)'!$E$2:$E$4580,A46,'Uczniowie (zanonimizowani)'!$F$2:$F$4580,B46,'Uczniowie (zanonimizowani)'!$K$2:$K$4580,"TAK")</f>
        <v>1</v>
      </c>
      <c r="F46" s="7" t="n">
        <f aca="false">IFERROR(E46/D46,"")</f>
        <v>0.0416666666666667</v>
      </c>
      <c r="G46" s="7" t="n">
        <f aca="false">IFERROR(AVERAGEIFS('Uczniowie (zanonimizowani)'!$I$2:$I$4580,'Uczniowie (zanonimizowani)'!$B$2:$B$4580,C46,'Uczniowie (zanonimizowani)'!$E$2:$E$4580,A46,'Uczniowie (zanonimizowani)'!$F$2:$F$4580,B46),"")</f>
        <v>0.86695940222566</v>
      </c>
      <c r="H46" s="7" t="n">
        <f aca="false">IFERROR(AVERAGEIFS('Uczniowie (zanonimizowani)'!$I$2:$I$4580,'Uczniowie (zanonimizowani)'!$B$2:$B$4580,C46,'Uczniowie (zanonimizowani)'!$E$2:$E$4580,A46,'Uczniowie (zanonimizowani)'!$F$2:$F$4580,B46,'Uczniowie (zanonimizowani)'!$K$2:$K$4580,"NIE"),"")</f>
        <v>0.875895119344309</v>
      </c>
      <c r="I46" s="7" t="n">
        <f aca="false">IFERROR(H46-G46,"")</f>
        <v>0.00893571711864905</v>
      </c>
    </row>
    <row r="47" customFormat="false" ht="15" hidden="false" customHeight="false" outlineLevel="0" collapsed="false">
      <c r="A47" s="5" t="s">
        <v>55</v>
      </c>
      <c r="B47" s="5" t="s">
        <v>40</v>
      </c>
      <c r="C47" s="5" t="s">
        <v>76</v>
      </c>
      <c r="D47" s="5" t="n">
        <f aca="false">COUNTIFS('Uczniowie (zanonimizowani)'!$B$2:$B$4580,C47,'Uczniowie (zanonimizowani)'!$E$2:$E$4580,A47,'Uczniowie (zanonimizowani)'!$F$2:$F$4580,B47)</f>
        <v>24</v>
      </c>
      <c r="E47" s="5" t="n">
        <f aca="false">COUNTIFS('Uczniowie (zanonimizowani)'!$B$2:$B$4580,C47,'Uczniowie (zanonimizowani)'!$E$2:$E$4580,A47,'Uczniowie (zanonimizowani)'!$F$2:$F$4580,B47,'Uczniowie (zanonimizowani)'!$K$2:$K$4580,"TAK")</f>
        <v>0</v>
      </c>
      <c r="F47" s="7" t="n">
        <f aca="false">IFERROR(E47/D47,"")</f>
        <v>0</v>
      </c>
      <c r="G47" s="7" t="n">
        <f aca="false">IFERROR(AVERAGEIFS('Uczniowie (zanonimizowani)'!$I$2:$I$4580,'Uczniowie (zanonimizowani)'!$B$2:$B$4580,C47,'Uczniowie (zanonimizowani)'!$E$2:$E$4580,A47,'Uczniowie (zanonimizowani)'!$F$2:$F$4580,B47),"")</f>
        <v>0.725034225049685</v>
      </c>
      <c r="H47" s="7" t="n">
        <f aca="false">IFERROR(AVERAGEIFS('Uczniowie (zanonimizowani)'!$I$2:$I$4580,'Uczniowie (zanonimizowani)'!$B$2:$B$4580,C47,'Uczniowie (zanonimizowani)'!$E$2:$E$4580,A47,'Uczniowie (zanonimizowani)'!$F$2:$F$4580,B47,'Uczniowie (zanonimizowani)'!$K$2:$K$4580,"NIE"),"")</f>
        <v>0.725034225049685</v>
      </c>
      <c r="I47" s="7" t="n">
        <f aca="false">IFERROR(H47-G47,"")</f>
        <v>0</v>
      </c>
    </row>
    <row r="48" customFormat="false" ht="15" hidden="false" customHeight="false" outlineLevel="0" collapsed="false">
      <c r="A48" s="5" t="s">
        <v>57</v>
      </c>
      <c r="B48" s="5" t="s">
        <v>39</v>
      </c>
      <c r="C48" s="5" t="s">
        <v>102</v>
      </c>
      <c r="D48" s="5" t="n">
        <f aca="false">COUNTIFS('Uczniowie (zanonimizowani)'!$B$2:$B$4580,C48,'Uczniowie (zanonimizowani)'!$E$2:$E$4580,A48,'Uczniowie (zanonimizowani)'!$F$2:$F$4580,B48)</f>
        <v>29</v>
      </c>
      <c r="E48" s="5" t="n">
        <f aca="false">COUNTIFS('Uczniowie (zanonimizowani)'!$B$2:$B$4580,C48,'Uczniowie (zanonimizowani)'!$E$2:$E$4580,A48,'Uczniowie (zanonimizowani)'!$F$2:$F$4580,B48,'Uczniowie (zanonimizowani)'!$K$2:$K$4580,"TAK")</f>
        <v>2</v>
      </c>
      <c r="F48" s="7" t="n">
        <f aca="false">IFERROR(E48/D48,"")</f>
        <v>0.0689655172413793</v>
      </c>
      <c r="G48" s="7" t="n">
        <f aca="false">IFERROR(AVERAGEIFS('Uczniowie (zanonimizowani)'!$I$2:$I$4580,'Uczniowie (zanonimizowani)'!$B$2:$B$4580,C48,'Uczniowie (zanonimizowani)'!$E$2:$E$4580,A48,'Uczniowie (zanonimizowani)'!$F$2:$F$4580,B48),"")</f>
        <v>0.855855303630933</v>
      </c>
      <c r="H48" s="7" t="n">
        <f aca="false">IFERROR(AVERAGEIFS('Uczniowie (zanonimizowani)'!$I$2:$I$4580,'Uczniowie (zanonimizowani)'!$B$2:$B$4580,C48,'Uczniowie (zanonimizowani)'!$E$2:$E$4580,A48,'Uczniowie (zanonimizowani)'!$F$2:$F$4580,B48,'Uczniowie (zanonimizowani)'!$K$2:$K$4580,"NIE"),"")</f>
        <v>0.872926851448063</v>
      </c>
      <c r="I48" s="7" t="n">
        <f aca="false">IFERROR(H48-G48,"")</f>
        <v>0.0170715478171293</v>
      </c>
    </row>
    <row r="49" customFormat="false" ht="15" hidden="false" customHeight="false" outlineLevel="0" collapsed="false">
      <c r="A49" s="5" t="s">
        <v>57</v>
      </c>
      <c r="B49" s="5" t="s">
        <v>40</v>
      </c>
      <c r="C49" s="5" t="s">
        <v>102</v>
      </c>
      <c r="D49" s="5" t="n">
        <f aca="false">COUNTIFS('Uczniowie (zanonimizowani)'!$B$2:$B$4580,C49,'Uczniowie (zanonimizowani)'!$E$2:$E$4580,A49,'Uczniowie (zanonimizowani)'!$F$2:$F$4580,B49)</f>
        <v>29</v>
      </c>
      <c r="E49" s="5" t="n">
        <f aca="false">COUNTIFS('Uczniowie (zanonimizowani)'!$B$2:$B$4580,C49,'Uczniowie (zanonimizowani)'!$E$2:$E$4580,A49,'Uczniowie (zanonimizowani)'!$F$2:$F$4580,B49,'Uczniowie (zanonimizowani)'!$K$2:$K$4580,"TAK")</f>
        <v>1</v>
      </c>
      <c r="F49" s="7" t="n">
        <f aca="false">IFERROR(E49/D49,"")</f>
        <v>0.0344827586206897</v>
      </c>
      <c r="G49" s="7" t="n">
        <f aca="false">IFERROR(AVERAGEIFS('Uczniowie (zanonimizowani)'!$I$2:$I$4580,'Uczniowie (zanonimizowani)'!$B$2:$B$4580,C49,'Uczniowie (zanonimizowani)'!$E$2:$E$4580,A49,'Uczniowie (zanonimizowani)'!$F$2:$F$4580,B49),"")</f>
        <v>0.767579449214517</v>
      </c>
      <c r="H49" s="7" t="n">
        <f aca="false">IFERROR(AVERAGEIFS('Uczniowie (zanonimizowani)'!$I$2:$I$4580,'Uczniowie (zanonimizowani)'!$B$2:$B$4580,C49,'Uczniowie (zanonimizowani)'!$E$2:$E$4580,A49,'Uczniowie (zanonimizowani)'!$F$2:$F$4580,B49,'Uczniowie (zanonimizowani)'!$K$2:$K$4580,"NIE"),"")</f>
        <v>0.777773613217076</v>
      </c>
      <c r="I49" s="7" t="n">
        <f aca="false">IFERROR(H49-G49,"")</f>
        <v>0.0101941640025592</v>
      </c>
    </row>
    <row r="50" customFormat="false" ht="15" hidden="false" customHeight="false" outlineLevel="0" collapsed="false">
      <c r="A50" s="5" t="s">
        <v>89</v>
      </c>
      <c r="B50" s="5" t="s">
        <v>39</v>
      </c>
      <c r="C50" s="5" t="s">
        <v>102</v>
      </c>
      <c r="D50" s="5" t="n">
        <f aca="false">COUNTIFS('Uczniowie (zanonimizowani)'!$B$2:$B$4580,C50,'Uczniowie (zanonimizowani)'!$E$2:$E$4580,A50,'Uczniowie (zanonimizowani)'!$F$2:$F$4580,B50)</f>
        <v>25</v>
      </c>
      <c r="E50" s="5" t="n">
        <f aca="false">COUNTIFS('Uczniowie (zanonimizowani)'!$B$2:$B$4580,C50,'Uczniowie (zanonimizowani)'!$E$2:$E$4580,A50,'Uczniowie (zanonimizowani)'!$F$2:$F$4580,B50,'Uczniowie (zanonimizowani)'!$K$2:$K$4580,"TAK")</f>
        <v>0</v>
      </c>
      <c r="F50" s="7" t="n">
        <f aca="false">IFERROR(E50/D50,"")</f>
        <v>0</v>
      </c>
      <c r="G50" s="7" t="n">
        <f aca="false">IFERROR(AVERAGEIFS('Uczniowie (zanonimizowani)'!$I$2:$I$4580,'Uczniowie (zanonimizowani)'!$B$2:$B$4580,C50,'Uczniowie (zanonimizowani)'!$E$2:$E$4580,A50,'Uczniowie (zanonimizowani)'!$F$2:$F$4580,B50),"")</f>
        <v>0.839334821900443</v>
      </c>
      <c r="H50" s="7" t="n">
        <f aca="false">IFERROR(AVERAGEIFS('Uczniowie (zanonimizowani)'!$I$2:$I$4580,'Uczniowie (zanonimizowani)'!$B$2:$B$4580,C50,'Uczniowie (zanonimizowani)'!$E$2:$E$4580,A50,'Uczniowie (zanonimizowani)'!$F$2:$F$4580,B50,'Uczniowie (zanonimizowani)'!$K$2:$K$4580,"NIE"),"")</f>
        <v>0.839334821900443</v>
      </c>
      <c r="I50" s="7" t="n">
        <f aca="false">IFERROR(H50-G50,"")</f>
        <v>0</v>
      </c>
    </row>
    <row r="51" customFormat="false" ht="15" hidden="false" customHeight="false" outlineLevel="0" collapsed="false">
      <c r="A51" s="5" t="s">
        <v>89</v>
      </c>
      <c r="B51" s="5" t="s">
        <v>40</v>
      </c>
      <c r="C51" s="5" t="s">
        <v>102</v>
      </c>
      <c r="D51" s="5" t="n">
        <f aca="false">COUNTIFS('Uczniowie (zanonimizowani)'!$B$2:$B$4580,C51,'Uczniowie (zanonimizowani)'!$E$2:$E$4580,A51,'Uczniowie (zanonimizowani)'!$F$2:$F$4580,B51)</f>
        <v>25</v>
      </c>
      <c r="E51" s="5" t="n">
        <f aca="false">COUNTIFS('Uczniowie (zanonimizowani)'!$B$2:$B$4580,C51,'Uczniowie (zanonimizowani)'!$E$2:$E$4580,A51,'Uczniowie (zanonimizowani)'!$F$2:$F$4580,B51,'Uczniowie (zanonimizowani)'!$K$2:$K$4580,"TAK")</f>
        <v>0</v>
      </c>
      <c r="F51" s="7" t="n">
        <f aca="false">IFERROR(E51/D51,"")</f>
        <v>0</v>
      </c>
      <c r="G51" s="7" t="n">
        <f aca="false">IFERROR(AVERAGEIFS('Uczniowie (zanonimizowani)'!$I$2:$I$4580,'Uczniowie (zanonimizowani)'!$B$2:$B$4580,C51,'Uczniowie (zanonimizowani)'!$E$2:$E$4580,A51,'Uczniowie (zanonimizowani)'!$F$2:$F$4580,B51),"")</f>
        <v>0.683490004450321</v>
      </c>
      <c r="H51" s="7" t="n">
        <f aca="false">IFERROR(AVERAGEIFS('Uczniowie (zanonimizowani)'!$I$2:$I$4580,'Uczniowie (zanonimizowani)'!$B$2:$B$4580,C51,'Uczniowie (zanonimizowani)'!$E$2:$E$4580,A51,'Uczniowie (zanonimizowani)'!$F$2:$F$4580,B51,'Uczniowie (zanonimizowani)'!$K$2:$K$4580,"NIE"),"")</f>
        <v>0.683490004450321</v>
      </c>
      <c r="I51" s="7" t="n">
        <f aca="false">IFERROR(H51-G51,"")</f>
        <v>0</v>
      </c>
    </row>
    <row r="52" customFormat="false" ht="15" hidden="false" customHeight="false" outlineLevel="0" collapsed="false">
      <c r="A52" s="5" t="s">
        <v>38</v>
      </c>
      <c r="B52" s="5" t="s">
        <v>39</v>
      </c>
      <c r="C52" s="5" t="s">
        <v>82</v>
      </c>
      <c r="D52" s="5" t="n">
        <f aca="false">COUNTIFS('Uczniowie (zanonimizowani)'!$B$2:$B$4580,C52,'Uczniowie (zanonimizowani)'!$E$2:$E$4580,A52,'Uczniowie (zanonimizowani)'!$F$2:$F$4580,B52)</f>
        <v>15</v>
      </c>
      <c r="E52" s="5" t="n">
        <f aca="false">COUNTIFS('Uczniowie (zanonimizowani)'!$B$2:$B$4580,C52,'Uczniowie (zanonimizowani)'!$E$2:$E$4580,A52,'Uczniowie (zanonimizowani)'!$F$2:$F$4580,B52,'Uczniowie (zanonimizowani)'!$K$2:$K$4580,"TAK")</f>
        <v>0</v>
      </c>
      <c r="F52" s="7" t="n">
        <f aca="false">IFERROR(E52/D52,"")</f>
        <v>0</v>
      </c>
      <c r="G52" s="7" t="n">
        <f aca="false">IFERROR(AVERAGEIFS('Uczniowie (zanonimizowani)'!$I$2:$I$4580,'Uczniowie (zanonimizowani)'!$B$2:$B$4580,C52,'Uczniowie (zanonimizowani)'!$E$2:$E$4580,A52,'Uczniowie (zanonimizowani)'!$F$2:$F$4580,B52),"")</f>
        <v>0.854111936703192</v>
      </c>
      <c r="H52" s="7" t="n">
        <f aca="false">IFERROR(AVERAGEIFS('Uczniowie (zanonimizowani)'!$I$2:$I$4580,'Uczniowie (zanonimizowani)'!$B$2:$B$4580,C52,'Uczniowie (zanonimizowani)'!$E$2:$E$4580,A52,'Uczniowie (zanonimizowani)'!$F$2:$F$4580,B52,'Uczniowie (zanonimizowani)'!$K$2:$K$4580,"NIE"),"")</f>
        <v>0.854111936703192</v>
      </c>
      <c r="I52" s="7" t="n">
        <f aca="false">IFERROR(H52-G52,"")</f>
        <v>0</v>
      </c>
    </row>
    <row r="53" customFormat="false" ht="15" hidden="false" customHeight="false" outlineLevel="0" collapsed="false">
      <c r="A53" s="5" t="s">
        <v>38</v>
      </c>
      <c r="B53" s="5" t="s">
        <v>40</v>
      </c>
      <c r="C53" s="5" t="s">
        <v>82</v>
      </c>
      <c r="D53" s="5" t="n">
        <f aca="false">COUNTIFS('Uczniowie (zanonimizowani)'!$B$2:$B$4580,C53,'Uczniowie (zanonimizowani)'!$E$2:$E$4580,A53,'Uczniowie (zanonimizowani)'!$F$2:$F$4580,B53)</f>
        <v>15</v>
      </c>
      <c r="E53" s="5" t="n">
        <f aca="false">COUNTIFS('Uczniowie (zanonimizowani)'!$B$2:$B$4580,C53,'Uczniowie (zanonimizowani)'!$E$2:$E$4580,A53,'Uczniowie (zanonimizowani)'!$F$2:$F$4580,B53,'Uczniowie (zanonimizowani)'!$K$2:$K$4580,"TAK")</f>
        <v>1</v>
      </c>
      <c r="F53" s="7" t="n">
        <f aca="false">IFERROR(E53/D53,"")</f>
        <v>0.0666666666666667</v>
      </c>
      <c r="G53" s="7" t="n">
        <f aca="false">IFERROR(AVERAGEIFS('Uczniowie (zanonimizowani)'!$I$2:$I$4580,'Uczniowie (zanonimizowani)'!$B$2:$B$4580,C53,'Uczniowie (zanonimizowani)'!$E$2:$E$4580,A53,'Uczniowie (zanonimizowani)'!$F$2:$F$4580,B53),"")</f>
        <v>0.803598225493552</v>
      </c>
      <c r="H53" s="7" t="n">
        <f aca="false">IFERROR(AVERAGEIFS('Uczniowie (zanonimizowani)'!$I$2:$I$4580,'Uczniowie (zanonimizowani)'!$B$2:$B$4580,C53,'Uczniowie (zanonimizowani)'!$E$2:$E$4580,A53,'Uczniowie (zanonimizowani)'!$F$2:$F$4580,B53,'Uczniowie (zanonimizowani)'!$K$2:$K$4580,"NIE"),"")</f>
        <v>0.851999223602485</v>
      </c>
      <c r="I53" s="7" t="n">
        <f aca="false">IFERROR(H53-G53,"")</f>
        <v>0.0484009981089321</v>
      </c>
    </row>
    <row r="54" customFormat="false" ht="15" hidden="false" customHeight="false" outlineLevel="0" collapsed="false">
      <c r="A54" s="5" t="s">
        <v>55</v>
      </c>
      <c r="B54" s="5" t="s">
        <v>39</v>
      </c>
      <c r="C54" s="5" t="s">
        <v>82</v>
      </c>
      <c r="D54" s="5" t="n">
        <f aca="false">COUNTIFS('Uczniowie (zanonimizowani)'!$B$2:$B$4580,C54,'Uczniowie (zanonimizowani)'!$E$2:$E$4580,A54,'Uczniowie (zanonimizowani)'!$F$2:$F$4580,B54)</f>
        <v>24</v>
      </c>
      <c r="E54" s="5" t="n">
        <f aca="false">COUNTIFS('Uczniowie (zanonimizowani)'!$B$2:$B$4580,C54,'Uczniowie (zanonimizowani)'!$E$2:$E$4580,A54,'Uczniowie (zanonimizowani)'!$F$2:$F$4580,B54,'Uczniowie (zanonimizowani)'!$K$2:$K$4580,"TAK")</f>
        <v>0</v>
      </c>
      <c r="F54" s="7" t="n">
        <f aca="false">IFERROR(E54/D54,"")</f>
        <v>0</v>
      </c>
      <c r="G54" s="7" t="n">
        <f aca="false">IFERROR(AVERAGEIFS('Uczniowie (zanonimizowani)'!$I$2:$I$4580,'Uczniowie (zanonimizowani)'!$B$2:$B$4580,C54,'Uczniowie (zanonimizowani)'!$E$2:$E$4580,A54,'Uczniowie (zanonimizowani)'!$F$2:$F$4580,B54),"")</f>
        <v>0.886087347592471</v>
      </c>
      <c r="H54" s="7" t="n">
        <f aca="false">IFERROR(AVERAGEIFS('Uczniowie (zanonimizowani)'!$I$2:$I$4580,'Uczniowie (zanonimizowani)'!$B$2:$B$4580,C54,'Uczniowie (zanonimizowani)'!$E$2:$E$4580,A54,'Uczniowie (zanonimizowani)'!$F$2:$F$4580,B54,'Uczniowie (zanonimizowani)'!$K$2:$K$4580,"NIE"),"")</f>
        <v>0.886087347592471</v>
      </c>
      <c r="I54" s="7" t="n">
        <f aca="false">IFERROR(H54-G54,"")</f>
        <v>0</v>
      </c>
    </row>
    <row r="55" customFormat="false" ht="15" hidden="false" customHeight="false" outlineLevel="0" collapsed="false">
      <c r="A55" s="5" t="s">
        <v>55</v>
      </c>
      <c r="B55" s="5" t="s">
        <v>40</v>
      </c>
      <c r="C55" s="5" t="s">
        <v>82</v>
      </c>
      <c r="D55" s="5" t="n">
        <f aca="false">COUNTIFS('Uczniowie (zanonimizowani)'!$B$2:$B$4580,C55,'Uczniowie (zanonimizowani)'!$E$2:$E$4580,A55,'Uczniowie (zanonimizowani)'!$F$2:$F$4580,B55)</f>
        <v>22</v>
      </c>
      <c r="E55" s="5" t="n">
        <f aca="false">COUNTIFS('Uczniowie (zanonimizowani)'!$B$2:$B$4580,C55,'Uczniowie (zanonimizowani)'!$E$2:$E$4580,A55,'Uczniowie (zanonimizowani)'!$F$2:$F$4580,B55,'Uczniowie (zanonimizowani)'!$K$2:$K$4580,"TAK")</f>
        <v>1</v>
      </c>
      <c r="F55" s="7" t="n">
        <f aca="false">IFERROR(E55/D55,"")</f>
        <v>0.0454545454545455</v>
      </c>
      <c r="G55" s="7" t="n">
        <f aca="false">IFERROR(AVERAGEIFS('Uczniowie (zanonimizowani)'!$I$2:$I$4580,'Uczniowie (zanonimizowani)'!$B$2:$B$4580,C55,'Uczniowie (zanonimizowani)'!$E$2:$E$4580,A55,'Uczniowie (zanonimizowani)'!$F$2:$F$4580,B55),"")</f>
        <v>0.731578568595516</v>
      </c>
      <c r="H55" s="7" t="n">
        <f aca="false">IFERROR(AVERAGEIFS('Uczniowie (zanonimizowani)'!$I$2:$I$4580,'Uczniowie (zanonimizowani)'!$B$2:$B$4580,C55,'Uczniowie (zanonimizowani)'!$E$2:$E$4580,A55,'Uczniowie (zanonimizowani)'!$F$2:$F$4580,B55,'Uczniowie (zanonimizowani)'!$K$2:$K$4580,"NIE"),"")</f>
        <v>0.748152112978818</v>
      </c>
      <c r="I55" s="7" t="n">
        <f aca="false">IFERROR(H55-G55,"")</f>
        <v>0.0165735443833016</v>
      </c>
    </row>
    <row r="56" customFormat="false" ht="15" hidden="false" customHeight="false" outlineLevel="0" collapsed="false">
      <c r="A56" s="5" t="s">
        <v>46</v>
      </c>
      <c r="B56" s="5" t="s">
        <v>39</v>
      </c>
      <c r="C56" s="5" t="s">
        <v>73</v>
      </c>
      <c r="D56" s="5" t="n">
        <f aca="false">COUNTIFS('Uczniowie (zanonimizowani)'!$B$2:$B$4580,C56,'Uczniowie (zanonimizowani)'!$E$2:$E$4580,A56,'Uczniowie (zanonimizowani)'!$F$2:$F$4580,B56)</f>
        <v>16</v>
      </c>
      <c r="E56" s="5" t="n">
        <f aca="false">COUNTIFS('Uczniowie (zanonimizowani)'!$B$2:$B$4580,C56,'Uczniowie (zanonimizowani)'!$E$2:$E$4580,A56,'Uczniowie (zanonimizowani)'!$F$2:$F$4580,B56,'Uczniowie (zanonimizowani)'!$K$2:$K$4580,"TAK")</f>
        <v>0</v>
      </c>
      <c r="F56" s="7" t="n">
        <f aca="false">IFERROR(E56/D56,"")</f>
        <v>0</v>
      </c>
      <c r="G56" s="7" t="n">
        <f aca="false">IFERROR(AVERAGEIFS('Uczniowie (zanonimizowani)'!$I$2:$I$4580,'Uczniowie (zanonimizowani)'!$B$2:$B$4580,C56,'Uczniowie (zanonimizowani)'!$E$2:$E$4580,A56,'Uczniowie (zanonimizowani)'!$F$2:$F$4580,B56),"")</f>
        <v>0.689181687797911</v>
      </c>
      <c r="H56" s="7" t="n">
        <f aca="false">IFERROR(AVERAGEIFS('Uczniowie (zanonimizowani)'!$I$2:$I$4580,'Uczniowie (zanonimizowani)'!$B$2:$B$4580,C56,'Uczniowie (zanonimizowani)'!$E$2:$E$4580,A56,'Uczniowie (zanonimizowani)'!$F$2:$F$4580,B56,'Uczniowie (zanonimizowani)'!$K$2:$K$4580,"NIE"),"")</f>
        <v>0.689181687797911</v>
      </c>
      <c r="I56" s="7" t="n">
        <f aca="false">IFERROR(H56-G56,"")</f>
        <v>0</v>
      </c>
    </row>
    <row r="57" customFormat="false" ht="15" hidden="false" customHeight="false" outlineLevel="0" collapsed="false">
      <c r="A57" s="5" t="s">
        <v>46</v>
      </c>
      <c r="B57" s="5" t="s">
        <v>40</v>
      </c>
      <c r="C57" s="5" t="s">
        <v>73</v>
      </c>
      <c r="D57" s="5" t="n">
        <f aca="false">COUNTIFS('Uczniowie (zanonimizowani)'!$B$2:$B$4580,C57,'Uczniowie (zanonimizowani)'!$E$2:$E$4580,A57,'Uczniowie (zanonimizowani)'!$F$2:$F$4580,B57)</f>
        <v>16</v>
      </c>
      <c r="E57" s="5" t="n">
        <f aca="false">COUNTIFS('Uczniowie (zanonimizowani)'!$B$2:$B$4580,C57,'Uczniowie (zanonimizowani)'!$E$2:$E$4580,A57,'Uczniowie (zanonimizowani)'!$F$2:$F$4580,B57,'Uczniowie (zanonimizowani)'!$K$2:$K$4580,"TAK")</f>
        <v>2</v>
      </c>
      <c r="F57" s="7" t="n">
        <f aca="false">IFERROR(E57/D57,"")</f>
        <v>0.125</v>
      </c>
      <c r="G57" s="7" t="n">
        <f aca="false">IFERROR(AVERAGEIFS('Uczniowie (zanonimizowani)'!$I$2:$I$4580,'Uczniowie (zanonimizowani)'!$B$2:$B$4580,C57,'Uczniowie (zanonimizowani)'!$E$2:$E$4580,A57,'Uczniowie (zanonimizowani)'!$F$2:$F$4580,B57),"")</f>
        <v>0.553302304964539</v>
      </c>
      <c r="H57" s="7" t="n">
        <f aca="false">IFERROR(AVERAGEIFS('Uczniowie (zanonimizowani)'!$I$2:$I$4580,'Uczniowie (zanonimizowani)'!$B$2:$B$4580,C57,'Uczniowie (zanonimizowani)'!$E$2:$E$4580,A57,'Uczniowie (zanonimizowani)'!$F$2:$F$4580,B57,'Uczniowie (zanonimizowani)'!$K$2:$K$4580,"NIE"),"")</f>
        <v>0.625</v>
      </c>
      <c r="I57" s="7" t="n">
        <f aca="false">IFERROR(H57-G57,"")</f>
        <v>0.071697695035461</v>
      </c>
    </row>
    <row r="58" customFormat="false" ht="15" hidden="false" customHeight="false" outlineLevel="0" collapsed="false">
      <c r="A58" s="5" t="s">
        <v>55</v>
      </c>
      <c r="B58" s="5" t="s">
        <v>39</v>
      </c>
      <c r="C58" s="5" t="s">
        <v>73</v>
      </c>
      <c r="D58" s="5" t="n">
        <f aca="false">COUNTIFS('Uczniowie (zanonimizowani)'!$B$2:$B$4580,C58,'Uczniowie (zanonimizowani)'!$E$2:$E$4580,A58,'Uczniowie (zanonimizowani)'!$F$2:$F$4580,B58)</f>
        <v>14</v>
      </c>
      <c r="E58" s="5" t="n">
        <f aca="false">COUNTIFS('Uczniowie (zanonimizowani)'!$B$2:$B$4580,C58,'Uczniowie (zanonimizowani)'!$E$2:$E$4580,A58,'Uczniowie (zanonimizowani)'!$F$2:$F$4580,B58,'Uczniowie (zanonimizowani)'!$K$2:$K$4580,"TAK")</f>
        <v>0</v>
      </c>
      <c r="F58" s="7" t="n">
        <f aca="false">IFERROR(E58/D58,"")</f>
        <v>0</v>
      </c>
      <c r="G58" s="7" t="n">
        <f aca="false">IFERROR(AVERAGEIFS('Uczniowie (zanonimizowani)'!$I$2:$I$4580,'Uczniowie (zanonimizowani)'!$B$2:$B$4580,C58,'Uczniowie (zanonimizowani)'!$E$2:$E$4580,A58,'Uczniowie (zanonimizowani)'!$F$2:$F$4580,B58),"")</f>
        <v>0.758833037581039</v>
      </c>
      <c r="H58" s="7" t="n">
        <f aca="false">IFERROR(AVERAGEIFS('Uczniowie (zanonimizowani)'!$I$2:$I$4580,'Uczniowie (zanonimizowani)'!$B$2:$B$4580,C58,'Uczniowie (zanonimizowani)'!$E$2:$E$4580,A58,'Uczniowie (zanonimizowani)'!$F$2:$F$4580,B58,'Uczniowie (zanonimizowani)'!$K$2:$K$4580,"NIE"),"")</f>
        <v>0.758833037581039</v>
      </c>
      <c r="I58" s="7" t="n">
        <f aca="false">IFERROR(H58-G58,"")</f>
        <v>0</v>
      </c>
    </row>
    <row r="59" customFormat="false" ht="15" hidden="false" customHeight="false" outlineLevel="0" collapsed="false">
      <c r="A59" s="5" t="s">
        <v>55</v>
      </c>
      <c r="B59" s="5" t="s">
        <v>40</v>
      </c>
      <c r="C59" s="5" t="s">
        <v>73</v>
      </c>
      <c r="D59" s="5" t="n">
        <f aca="false">COUNTIFS('Uczniowie (zanonimizowani)'!$B$2:$B$4580,C59,'Uczniowie (zanonimizowani)'!$E$2:$E$4580,A59,'Uczniowie (zanonimizowani)'!$F$2:$F$4580,B59)</f>
        <v>14</v>
      </c>
      <c r="E59" s="5" t="n">
        <f aca="false">COUNTIFS('Uczniowie (zanonimizowani)'!$B$2:$B$4580,C59,'Uczniowie (zanonimizowani)'!$E$2:$E$4580,A59,'Uczniowie (zanonimizowani)'!$F$2:$F$4580,B59,'Uczniowie (zanonimizowani)'!$K$2:$K$4580,"TAK")</f>
        <v>1</v>
      </c>
      <c r="F59" s="7" t="n">
        <f aca="false">IFERROR(E59/D59,"")</f>
        <v>0.0714285714285714</v>
      </c>
      <c r="G59" s="7" t="n">
        <f aca="false">IFERROR(AVERAGEIFS('Uczniowie (zanonimizowani)'!$I$2:$I$4580,'Uczniowie (zanonimizowani)'!$B$2:$B$4580,C59,'Uczniowie (zanonimizowani)'!$E$2:$E$4580,A59,'Uczniowie (zanonimizowani)'!$F$2:$F$4580,B59),"")</f>
        <v>0.584121768019645</v>
      </c>
      <c r="H59" s="7" t="n">
        <f aca="false">IFERROR(AVERAGEIFS('Uczniowie (zanonimizowani)'!$I$2:$I$4580,'Uczniowie (zanonimizowani)'!$B$2:$B$4580,C59,'Uczniowie (zanonimizowani)'!$E$2:$E$4580,A59,'Uczniowie (zanonimizowani)'!$F$2:$F$4580,B59,'Uczniowie (zanonimizowani)'!$K$2:$K$4580,"NIE"),"")</f>
        <v>0.624581939799331</v>
      </c>
      <c r="I59" s="7" t="n">
        <f aca="false">IFERROR(H59-G59,"")</f>
        <v>0.0404601717796864</v>
      </c>
    </row>
    <row r="60" customFormat="false" ht="15" hidden="false" customHeight="false" outlineLevel="0" collapsed="false">
      <c r="A60" s="5" t="s">
        <v>75</v>
      </c>
      <c r="B60" s="5" t="s">
        <v>39</v>
      </c>
      <c r="C60" s="5" t="s">
        <v>73</v>
      </c>
      <c r="D60" s="5" t="n">
        <f aca="false">COUNTIFS('Uczniowie (zanonimizowani)'!$B$2:$B$4580,C60,'Uczniowie (zanonimizowani)'!$E$2:$E$4580,A60,'Uczniowie (zanonimizowani)'!$F$2:$F$4580,B60)</f>
        <v>22</v>
      </c>
      <c r="E60" s="5" t="n">
        <f aca="false">COUNTIFS('Uczniowie (zanonimizowani)'!$B$2:$B$4580,C60,'Uczniowie (zanonimizowani)'!$E$2:$E$4580,A60,'Uczniowie (zanonimizowani)'!$F$2:$F$4580,B60,'Uczniowie (zanonimizowani)'!$K$2:$K$4580,"TAK")</f>
        <v>0</v>
      </c>
      <c r="F60" s="7" t="n">
        <f aca="false">IFERROR(E60/D60,"")</f>
        <v>0</v>
      </c>
      <c r="G60" s="7" t="n">
        <f aca="false">IFERROR(AVERAGEIFS('Uczniowie (zanonimizowani)'!$I$2:$I$4580,'Uczniowie (zanonimizowani)'!$B$2:$B$4580,C60,'Uczniowie (zanonimizowani)'!$E$2:$E$4580,A60,'Uczniowie (zanonimizowani)'!$F$2:$F$4580,B60),"")</f>
        <v>0.72114828447691</v>
      </c>
      <c r="H60" s="7" t="n">
        <f aca="false">IFERROR(AVERAGEIFS('Uczniowie (zanonimizowani)'!$I$2:$I$4580,'Uczniowie (zanonimizowani)'!$B$2:$B$4580,C60,'Uczniowie (zanonimizowani)'!$E$2:$E$4580,A60,'Uczniowie (zanonimizowani)'!$F$2:$F$4580,B60,'Uczniowie (zanonimizowani)'!$K$2:$K$4580,"NIE"),"")</f>
        <v>0.72114828447691</v>
      </c>
      <c r="I60" s="7" t="n">
        <f aca="false">IFERROR(H60-G60,"")</f>
        <v>0</v>
      </c>
    </row>
    <row r="61" customFormat="false" ht="15" hidden="false" customHeight="false" outlineLevel="0" collapsed="false">
      <c r="A61" s="5" t="s">
        <v>75</v>
      </c>
      <c r="B61" s="5" t="s">
        <v>40</v>
      </c>
      <c r="C61" s="5" t="s">
        <v>73</v>
      </c>
      <c r="D61" s="5" t="n">
        <f aca="false">COUNTIFS('Uczniowie (zanonimizowani)'!$B$2:$B$4580,C61,'Uczniowie (zanonimizowani)'!$E$2:$E$4580,A61,'Uczniowie (zanonimizowani)'!$F$2:$F$4580,B61)</f>
        <v>23</v>
      </c>
      <c r="E61" s="5" t="n">
        <f aca="false">COUNTIFS('Uczniowie (zanonimizowani)'!$B$2:$B$4580,C61,'Uczniowie (zanonimizowani)'!$E$2:$E$4580,A61,'Uczniowie (zanonimizowani)'!$F$2:$F$4580,B61,'Uczniowie (zanonimizowani)'!$K$2:$K$4580,"TAK")</f>
        <v>2</v>
      </c>
      <c r="F61" s="7" t="n">
        <f aca="false">IFERROR(E61/D61,"")</f>
        <v>0.0869565217391304</v>
      </c>
      <c r="G61" s="7" t="n">
        <f aca="false">IFERROR(AVERAGEIFS('Uczniowie (zanonimizowani)'!$I$2:$I$4580,'Uczniowie (zanonimizowani)'!$B$2:$B$4580,C61,'Uczniowie (zanonimizowani)'!$E$2:$E$4580,A61,'Uczniowie (zanonimizowani)'!$F$2:$F$4580,B61),"")</f>
        <v>0.617847163688986</v>
      </c>
      <c r="H61" s="7" t="n">
        <f aca="false">IFERROR(AVERAGEIFS('Uczniowie (zanonimizowani)'!$I$2:$I$4580,'Uczniowie (zanonimizowani)'!$B$2:$B$4580,C61,'Uczniowie (zanonimizowani)'!$E$2:$E$4580,A61,'Uczniowie (zanonimizowani)'!$F$2:$F$4580,B61,'Uczniowie (zanonimizowani)'!$K$2:$K$4580,"NIE"),"")</f>
        <v>0.660120447847359</v>
      </c>
      <c r="I61" s="7" t="n">
        <f aca="false">IFERROR(H61-G61,"")</f>
        <v>0.0422732841583733</v>
      </c>
    </row>
    <row r="62" customFormat="false" ht="15" hidden="false" customHeight="false" outlineLevel="0" collapsed="false">
      <c r="A62" s="5" t="s">
        <v>89</v>
      </c>
      <c r="B62" s="5" t="s">
        <v>39</v>
      </c>
      <c r="C62" s="5" t="s">
        <v>73</v>
      </c>
      <c r="D62" s="5" t="n">
        <f aca="false">COUNTIFS('Uczniowie (zanonimizowani)'!$B$2:$B$4580,C62,'Uczniowie (zanonimizowani)'!$E$2:$E$4580,A62,'Uczniowie (zanonimizowani)'!$F$2:$F$4580,B62)</f>
        <v>16</v>
      </c>
      <c r="E62" s="5" t="n">
        <f aca="false">COUNTIFS('Uczniowie (zanonimizowani)'!$B$2:$B$4580,C62,'Uczniowie (zanonimizowani)'!$E$2:$E$4580,A62,'Uczniowie (zanonimizowani)'!$F$2:$F$4580,B62,'Uczniowie (zanonimizowani)'!$K$2:$K$4580,"TAK")</f>
        <v>0</v>
      </c>
      <c r="F62" s="7" t="n">
        <f aca="false">IFERROR(E62/D62,"")</f>
        <v>0</v>
      </c>
      <c r="G62" s="7" t="n">
        <f aca="false">IFERROR(AVERAGEIFS('Uczniowie (zanonimizowani)'!$I$2:$I$4580,'Uczniowie (zanonimizowani)'!$B$2:$B$4580,C62,'Uczniowie (zanonimizowani)'!$E$2:$E$4580,A62,'Uczniowie (zanonimizowani)'!$F$2:$F$4580,B62),"")</f>
        <v>0.775360927944274</v>
      </c>
      <c r="H62" s="7" t="n">
        <f aca="false">IFERROR(AVERAGEIFS('Uczniowie (zanonimizowani)'!$I$2:$I$4580,'Uczniowie (zanonimizowani)'!$B$2:$B$4580,C62,'Uczniowie (zanonimizowani)'!$E$2:$E$4580,A62,'Uczniowie (zanonimizowani)'!$F$2:$F$4580,B62,'Uczniowie (zanonimizowani)'!$K$2:$K$4580,"NIE"),"")</f>
        <v>0.775360927944274</v>
      </c>
      <c r="I62" s="7" t="n">
        <f aca="false">IFERROR(H62-G62,"")</f>
        <v>0</v>
      </c>
    </row>
    <row r="63" customFormat="false" ht="15" hidden="false" customHeight="false" outlineLevel="0" collapsed="false">
      <c r="A63" s="5" t="s">
        <v>89</v>
      </c>
      <c r="B63" s="5" t="s">
        <v>40</v>
      </c>
      <c r="C63" s="5" t="s">
        <v>73</v>
      </c>
      <c r="D63" s="5" t="n">
        <f aca="false">COUNTIFS('Uczniowie (zanonimizowani)'!$B$2:$B$4580,C63,'Uczniowie (zanonimizowani)'!$E$2:$E$4580,A63,'Uczniowie (zanonimizowani)'!$F$2:$F$4580,B63)</f>
        <v>17</v>
      </c>
      <c r="E63" s="5" t="n">
        <f aca="false">COUNTIFS('Uczniowie (zanonimizowani)'!$B$2:$B$4580,C63,'Uczniowie (zanonimizowani)'!$E$2:$E$4580,A63,'Uczniowie (zanonimizowani)'!$F$2:$F$4580,B63,'Uczniowie (zanonimizowani)'!$K$2:$K$4580,"TAK")</f>
        <v>1</v>
      </c>
      <c r="F63" s="7" t="n">
        <f aca="false">IFERROR(E63/D63,"")</f>
        <v>0.0588235294117647</v>
      </c>
      <c r="G63" s="7" t="n">
        <f aca="false">IFERROR(AVERAGEIFS('Uczniowie (zanonimizowani)'!$I$2:$I$4580,'Uczniowie (zanonimizowani)'!$B$2:$B$4580,C63,'Uczniowie (zanonimizowani)'!$E$2:$E$4580,A63,'Uczniowie (zanonimizowani)'!$F$2:$F$4580,B63),"")</f>
        <v>0.642672548754307</v>
      </c>
      <c r="H63" s="7" t="n">
        <f aca="false">IFERROR(AVERAGEIFS('Uczniowie (zanonimizowani)'!$I$2:$I$4580,'Uczniowie (zanonimizowani)'!$B$2:$B$4580,C63,'Uczniowie (zanonimizowani)'!$E$2:$E$4580,A63,'Uczniowie (zanonimizowani)'!$F$2:$F$4580,B63,'Uczniowie (zanonimizowani)'!$K$2:$K$4580,"NIE"),"")</f>
        <v>0.660255549438006</v>
      </c>
      <c r="I63" s="7" t="n">
        <f aca="false">IFERROR(H63-G63,"")</f>
        <v>0.0175830006836989</v>
      </c>
    </row>
    <row r="64" customFormat="false" ht="15" hidden="false" customHeight="false" outlineLevel="0" collapsed="false">
      <c r="A64" s="5" t="s">
        <v>38</v>
      </c>
      <c r="B64" s="5" t="s">
        <v>39</v>
      </c>
      <c r="C64" s="5" t="s">
        <v>48</v>
      </c>
      <c r="D64" s="5" t="n">
        <f aca="false">COUNTIFS('Uczniowie (zanonimizowani)'!$B$2:$B$4580,C64,'Uczniowie (zanonimizowani)'!$E$2:$E$4580,A64,'Uczniowie (zanonimizowani)'!$F$2:$F$4580,B64)</f>
        <v>24</v>
      </c>
      <c r="E64" s="5" t="n">
        <f aca="false">COUNTIFS('Uczniowie (zanonimizowani)'!$B$2:$B$4580,C64,'Uczniowie (zanonimizowani)'!$E$2:$E$4580,A64,'Uczniowie (zanonimizowani)'!$F$2:$F$4580,B64,'Uczniowie (zanonimizowani)'!$K$2:$K$4580,"TAK")</f>
        <v>0</v>
      </c>
      <c r="F64" s="7" t="n">
        <f aca="false">IFERROR(E64/D64,"")</f>
        <v>0</v>
      </c>
      <c r="G64" s="7" t="n">
        <f aca="false">IFERROR(AVERAGEIFS('Uczniowie (zanonimizowani)'!$I$2:$I$4580,'Uczniowie (zanonimizowani)'!$B$2:$B$4580,C64,'Uczniowie (zanonimizowani)'!$E$2:$E$4580,A64,'Uczniowie (zanonimizowani)'!$F$2:$F$4580,B64),"")</f>
        <v>0.730960597841956</v>
      </c>
      <c r="H64" s="7" t="n">
        <f aca="false">IFERROR(AVERAGEIFS('Uczniowie (zanonimizowani)'!$I$2:$I$4580,'Uczniowie (zanonimizowani)'!$B$2:$B$4580,C64,'Uczniowie (zanonimizowani)'!$E$2:$E$4580,A64,'Uczniowie (zanonimizowani)'!$F$2:$F$4580,B64,'Uczniowie (zanonimizowani)'!$K$2:$K$4580,"NIE"),"")</f>
        <v>0.730960597841956</v>
      </c>
      <c r="I64" s="7" t="n">
        <f aca="false">IFERROR(H64-G64,"")</f>
        <v>0</v>
      </c>
    </row>
    <row r="65" customFormat="false" ht="15" hidden="false" customHeight="false" outlineLevel="0" collapsed="false">
      <c r="A65" s="5" t="s">
        <v>38</v>
      </c>
      <c r="B65" s="5" t="s">
        <v>40</v>
      </c>
      <c r="C65" s="5" t="s">
        <v>48</v>
      </c>
      <c r="D65" s="5" t="n">
        <f aca="false">COUNTIFS('Uczniowie (zanonimizowani)'!$B$2:$B$4580,C65,'Uczniowie (zanonimizowani)'!$E$2:$E$4580,A65,'Uczniowie (zanonimizowani)'!$F$2:$F$4580,B65)</f>
        <v>24</v>
      </c>
      <c r="E65" s="5" t="n">
        <f aca="false">COUNTIFS('Uczniowie (zanonimizowani)'!$B$2:$B$4580,C65,'Uczniowie (zanonimizowani)'!$E$2:$E$4580,A65,'Uczniowie (zanonimizowani)'!$F$2:$F$4580,B65,'Uczniowie (zanonimizowani)'!$K$2:$K$4580,"TAK")</f>
        <v>1</v>
      </c>
      <c r="F65" s="7" t="n">
        <f aca="false">IFERROR(E65/D65,"")</f>
        <v>0.0416666666666667</v>
      </c>
      <c r="G65" s="7" t="n">
        <f aca="false">IFERROR(AVERAGEIFS('Uczniowie (zanonimizowani)'!$I$2:$I$4580,'Uczniowie (zanonimizowani)'!$B$2:$B$4580,C65,'Uczniowie (zanonimizowani)'!$E$2:$E$4580,A65,'Uczniowie (zanonimizowani)'!$F$2:$F$4580,B65),"")</f>
        <v>0.690640046456536</v>
      </c>
      <c r="H65" s="7" t="n">
        <f aca="false">IFERROR(AVERAGEIFS('Uczniowie (zanonimizowani)'!$I$2:$I$4580,'Uczniowie (zanonimizowani)'!$B$2:$B$4580,C65,'Uczniowie (zanonimizowani)'!$E$2:$E$4580,A65,'Uczniowie (zanonimizowani)'!$F$2:$F$4580,B65,'Uczniowie (zanonimizowani)'!$K$2:$K$4580,"NIE"),"")</f>
        <v>0.719921466651417</v>
      </c>
      <c r="I65" s="7" t="n">
        <f aca="false">IFERROR(H65-G65,"")</f>
        <v>0.0292814201948819</v>
      </c>
    </row>
    <row r="66" customFormat="false" ht="15" hidden="false" customHeight="false" outlineLevel="0" collapsed="false">
      <c r="A66" s="5" t="s">
        <v>57</v>
      </c>
      <c r="B66" s="5" t="s">
        <v>39</v>
      </c>
      <c r="C66" s="5" t="s">
        <v>48</v>
      </c>
      <c r="D66" s="5" t="n">
        <f aca="false">COUNTIFS('Uczniowie (zanonimizowani)'!$B$2:$B$4580,C66,'Uczniowie (zanonimizowani)'!$E$2:$E$4580,A66,'Uczniowie (zanonimizowani)'!$F$2:$F$4580,B66)</f>
        <v>31</v>
      </c>
      <c r="E66" s="5" t="n">
        <f aca="false">COUNTIFS('Uczniowie (zanonimizowani)'!$B$2:$B$4580,C66,'Uczniowie (zanonimizowani)'!$E$2:$E$4580,A66,'Uczniowie (zanonimizowani)'!$F$2:$F$4580,B66,'Uczniowie (zanonimizowani)'!$K$2:$K$4580,"TAK")</f>
        <v>1</v>
      </c>
      <c r="F66" s="7" t="n">
        <f aca="false">IFERROR(E66/D66,"")</f>
        <v>0.032258064516129</v>
      </c>
      <c r="G66" s="7" t="n">
        <f aca="false">IFERROR(AVERAGEIFS('Uczniowie (zanonimizowani)'!$I$2:$I$4580,'Uczniowie (zanonimizowani)'!$B$2:$B$4580,C66,'Uczniowie (zanonimizowani)'!$E$2:$E$4580,A66,'Uczniowie (zanonimizowani)'!$F$2:$F$4580,B66),"")</f>
        <v>0.726752750945158</v>
      </c>
      <c r="H66" s="7" t="n">
        <f aca="false">IFERROR(AVERAGEIFS('Uczniowie (zanonimizowani)'!$I$2:$I$4580,'Uczniowie (zanonimizowani)'!$B$2:$B$4580,C66,'Uczniowie (zanonimizowani)'!$E$2:$E$4580,A66,'Uczniowie (zanonimizowani)'!$F$2:$F$4580,B66,'Uczniowie (zanonimizowani)'!$K$2:$K$4580,"NIE"),"")</f>
        <v>0.7397068594299</v>
      </c>
      <c r="I66" s="7" t="n">
        <f aca="false">IFERROR(H66-G66,"")</f>
        <v>0.0129541084847427</v>
      </c>
    </row>
    <row r="67" customFormat="false" ht="15" hidden="false" customHeight="false" outlineLevel="0" collapsed="false">
      <c r="A67" s="5" t="s">
        <v>57</v>
      </c>
      <c r="B67" s="5" t="s">
        <v>40</v>
      </c>
      <c r="C67" s="5" t="s">
        <v>48</v>
      </c>
      <c r="D67" s="5" t="n">
        <f aca="false">COUNTIFS('Uczniowie (zanonimizowani)'!$B$2:$B$4580,C67,'Uczniowie (zanonimizowani)'!$E$2:$E$4580,A67,'Uczniowie (zanonimizowani)'!$F$2:$F$4580,B67)</f>
        <v>33</v>
      </c>
      <c r="E67" s="5" t="n">
        <f aca="false">COUNTIFS('Uczniowie (zanonimizowani)'!$B$2:$B$4580,C67,'Uczniowie (zanonimizowani)'!$E$2:$E$4580,A67,'Uczniowie (zanonimizowani)'!$F$2:$F$4580,B67,'Uczniowie (zanonimizowani)'!$K$2:$K$4580,"TAK")</f>
        <v>1</v>
      </c>
      <c r="F67" s="7" t="n">
        <f aca="false">IFERROR(E67/D67,"")</f>
        <v>0.0303030303030303</v>
      </c>
      <c r="G67" s="7" t="n">
        <f aca="false">IFERROR(AVERAGEIFS('Uczniowie (zanonimizowani)'!$I$2:$I$4580,'Uczniowie (zanonimizowani)'!$B$2:$B$4580,C67,'Uczniowie (zanonimizowani)'!$E$2:$E$4580,A67,'Uczniowie (zanonimizowani)'!$F$2:$F$4580,B67),"")</f>
        <v>0.593370651931561</v>
      </c>
      <c r="H67" s="7" t="n">
        <f aca="false">IFERROR(AVERAGEIFS('Uczniowie (zanonimizowani)'!$I$2:$I$4580,'Uczniowie (zanonimizowani)'!$B$2:$B$4580,C67,'Uczniowie (zanonimizowani)'!$E$2:$E$4580,A67,'Uczniowie (zanonimizowani)'!$F$2:$F$4580,B67,'Uczniowie (zanonimizowani)'!$K$2:$K$4580,"NIE"),"")</f>
        <v>0.608327419230652</v>
      </c>
      <c r="I67" s="7" t="n">
        <f aca="false">IFERROR(H67-G67,"")</f>
        <v>0.0149567672990909</v>
      </c>
    </row>
    <row r="68" customFormat="false" ht="15" hidden="false" customHeight="false" outlineLevel="0" collapsed="false">
      <c r="A68" s="5" t="s">
        <v>38</v>
      </c>
      <c r="B68" s="5" t="s">
        <v>39</v>
      </c>
      <c r="C68" s="5" t="s">
        <v>51</v>
      </c>
      <c r="D68" s="5" t="n">
        <f aca="false">COUNTIFS('Uczniowie (zanonimizowani)'!$B$2:$B$4580,C68,'Uczniowie (zanonimizowani)'!$E$2:$E$4580,A68,'Uczniowie (zanonimizowani)'!$F$2:$F$4580,B68)</f>
        <v>30</v>
      </c>
      <c r="E68" s="5" t="n">
        <f aca="false">COUNTIFS('Uczniowie (zanonimizowani)'!$B$2:$B$4580,C68,'Uczniowie (zanonimizowani)'!$E$2:$E$4580,A68,'Uczniowie (zanonimizowani)'!$F$2:$F$4580,B68,'Uczniowie (zanonimizowani)'!$K$2:$K$4580,"TAK")</f>
        <v>0</v>
      </c>
      <c r="F68" s="7" t="n">
        <f aca="false">IFERROR(E68/D68,"")</f>
        <v>0</v>
      </c>
      <c r="G68" s="7" t="n">
        <f aca="false">IFERROR(AVERAGEIFS('Uczniowie (zanonimizowani)'!$I$2:$I$4580,'Uczniowie (zanonimizowani)'!$B$2:$B$4580,C68,'Uczniowie (zanonimizowani)'!$E$2:$E$4580,A68,'Uczniowie (zanonimizowani)'!$F$2:$F$4580,B68),"")</f>
        <v>0.819495427838018</v>
      </c>
      <c r="H68" s="7" t="n">
        <f aca="false">IFERROR(AVERAGEIFS('Uczniowie (zanonimizowani)'!$I$2:$I$4580,'Uczniowie (zanonimizowani)'!$B$2:$B$4580,C68,'Uczniowie (zanonimizowani)'!$E$2:$E$4580,A68,'Uczniowie (zanonimizowani)'!$F$2:$F$4580,B68,'Uczniowie (zanonimizowani)'!$K$2:$K$4580,"NIE"),"")</f>
        <v>0.819495427838018</v>
      </c>
      <c r="I68" s="7" t="n">
        <f aca="false">IFERROR(H68-G68,"")</f>
        <v>0</v>
      </c>
    </row>
    <row r="69" customFormat="false" ht="15" hidden="false" customHeight="false" outlineLevel="0" collapsed="false">
      <c r="A69" s="5" t="s">
        <v>38</v>
      </c>
      <c r="B69" s="5" t="s">
        <v>40</v>
      </c>
      <c r="C69" s="5" t="s">
        <v>51</v>
      </c>
      <c r="D69" s="5" t="n">
        <f aca="false">COUNTIFS('Uczniowie (zanonimizowani)'!$B$2:$B$4580,C69,'Uczniowie (zanonimizowani)'!$E$2:$E$4580,A69,'Uczniowie (zanonimizowani)'!$F$2:$F$4580,B69)</f>
        <v>30</v>
      </c>
      <c r="E69" s="5" t="n">
        <f aca="false">COUNTIFS('Uczniowie (zanonimizowani)'!$B$2:$B$4580,C69,'Uczniowie (zanonimizowani)'!$E$2:$E$4580,A69,'Uczniowie (zanonimizowani)'!$F$2:$F$4580,B69,'Uczniowie (zanonimizowani)'!$K$2:$K$4580,"TAK")</f>
        <v>0</v>
      </c>
      <c r="F69" s="7" t="n">
        <f aca="false">IFERROR(E69/D69,"")</f>
        <v>0</v>
      </c>
      <c r="G69" s="7" t="n">
        <f aca="false">IFERROR(AVERAGEIFS('Uczniowie (zanonimizowani)'!$I$2:$I$4580,'Uczniowie (zanonimizowani)'!$B$2:$B$4580,C69,'Uczniowie (zanonimizowani)'!$E$2:$E$4580,A69,'Uczniowie (zanonimizowani)'!$F$2:$F$4580,B69),"")</f>
        <v>0.732474804339214</v>
      </c>
      <c r="H69" s="7" t="n">
        <f aca="false">IFERROR(AVERAGEIFS('Uczniowie (zanonimizowani)'!$I$2:$I$4580,'Uczniowie (zanonimizowani)'!$B$2:$B$4580,C69,'Uczniowie (zanonimizowani)'!$E$2:$E$4580,A69,'Uczniowie (zanonimizowani)'!$F$2:$F$4580,B69,'Uczniowie (zanonimizowani)'!$K$2:$K$4580,"NIE"),"")</f>
        <v>0.732474804339214</v>
      </c>
      <c r="I69" s="7" t="n">
        <f aca="false">IFERROR(H69-G69,"")</f>
        <v>0</v>
      </c>
    </row>
    <row r="70" customFormat="false" ht="15" hidden="false" customHeight="false" outlineLevel="0" collapsed="false">
      <c r="A70" s="5" t="s">
        <v>55</v>
      </c>
      <c r="B70" s="5" t="s">
        <v>39</v>
      </c>
      <c r="C70" s="5" t="s">
        <v>51</v>
      </c>
      <c r="D70" s="5" t="n">
        <f aca="false">COUNTIFS('Uczniowie (zanonimizowani)'!$B$2:$B$4580,C70,'Uczniowie (zanonimizowani)'!$E$2:$E$4580,A70,'Uczniowie (zanonimizowani)'!$F$2:$F$4580,B70)</f>
        <v>25</v>
      </c>
      <c r="E70" s="5" t="n">
        <f aca="false">COUNTIFS('Uczniowie (zanonimizowani)'!$B$2:$B$4580,C70,'Uczniowie (zanonimizowani)'!$E$2:$E$4580,A70,'Uczniowie (zanonimizowani)'!$F$2:$F$4580,B70,'Uczniowie (zanonimizowani)'!$K$2:$K$4580,"TAK")</f>
        <v>0</v>
      </c>
      <c r="F70" s="7" t="n">
        <f aca="false">IFERROR(E70/D70,"")</f>
        <v>0</v>
      </c>
      <c r="G70" s="7" t="n">
        <f aca="false">IFERROR(AVERAGEIFS('Uczniowie (zanonimizowani)'!$I$2:$I$4580,'Uczniowie (zanonimizowani)'!$B$2:$B$4580,C70,'Uczniowie (zanonimizowani)'!$E$2:$E$4580,A70,'Uczniowie (zanonimizowani)'!$F$2:$F$4580,B70),"")</f>
        <v>0.853446637313584</v>
      </c>
      <c r="H70" s="7" t="n">
        <f aca="false">IFERROR(AVERAGEIFS('Uczniowie (zanonimizowani)'!$I$2:$I$4580,'Uczniowie (zanonimizowani)'!$B$2:$B$4580,C70,'Uczniowie (zanonimizowani)'!$E$2:$E$4580,A70,'Uczniowie (zanonimizowani)'!$F$2:$F$4580,B70,'Uczniowie (zanonimizowani)'!$K$2:$K$4580,"NIE"),"")</f>
        <v>0.853446637313584</v>
      </c>
      <c r="I70" s="7" t="n">
        <f aca="false">IFERROR(H70-G70,"")</f>
        <v>0</v>
      </c>
    </row>
    <row r="71" customFormat="false" ht="15" hidden="false" customHeight="false" outlineLevel="0" collapsed="false">
      <c r="A71" s="5" t="s">
        <v>55</v>
      </c>
      <c r="B71" s="5" t="s">
        <v>40</v>
      </c>
      <c r="C71" s="5" t="s">
        <v>51</v>
      </c>
      <c r="D71" s="5" t="n">
        <f aca="false">COUNTIFS('Uczniowie (zanonimizowani)'!$B$2:$B$4580,C71,'Uczniowie (zanonimizowani)'!$E$2:$E$4580,A71,'Uczniowie (zanonimizowani)'!$F$2:$F$4580,B71)</f>
        <v>25</v>
      </c>
      <c r="E71" s="5" t="n">
        <f aca="false">COUNTIFS('Uczniowie (zanonimizowani)'!$B$2:$B$4580,C71,'Uczniowie (zanonimizowani)'!$E$2:$E$4580,A71,'Uczniowie (zanonimizowani)'!$F$2:$F$4580,B71,'Uczniowie (zanonimizowani)'!$K$2:$K$4580,"TAK")</f>
        <v>0</v>
      </c>
      <c r="F71" s="7" t="n">
        <f aca="false">IFERROR(E71/D71,"")</f>
        <v>0</v>
      </c>
      <c r="G71" s="7" t="n">
        <f aca="false">IFERROR(AVERAGEIFS('Uczniowie (zanonimizowani)'!$I$2:$I$4580,'Uczniowie (zanonimizowani)'!$B$2:$B$4580,C71,'Uczniowie (zanonimizowani)'!$E$2:$E$4580,A71,'Uczniowie (zanonimizowani)'!$F$2:$F$4580,B71),"")</f>
        <v>0.693193069020691</v>
      </c>
      <c r="H71" s="7" t="n">
        <f aca="false">IFERROR(AVERAGEIFS('Uczniowie (zanonimizowani)'!$I$2:$I$4580,'Uczniowie (zanonimizowani)'!$B$2:$B$4580,C71,'Uczniowie (zanonimizowani)'!$E$2:$E$4580,A71,'Uczniowie (zanonimizowani)'!$F$2:$F$4580,B71,'Uczniowie (zanonimizowani)'!$K$2:$K$4580,"NIE"),"")</f>
        <v>0.693193069020691</v>
      </c>
      <c r="I71" s="7" t="n">
        <f aca="false">IFERROR(H71-G71,"")</f>
        <v>0</v>
      </c>
    </row>
    <row r="72" customFormat="false" ht="15" hidden="false" customHeight="false" outlineLevel="0" collapsed="false">
      <c r="A72" s="5" t="s">
        <v>38</v>
      </c>
      <c r="B72" s="5" t="s">
        <v>39</v>
      </c>
      <c r="C72" s="5" t="s">
        <v>58</v>
      </c>
      <c r="D72" s="5" t="n">
        <f aca="false">COUNTIFS('Uczniowie (zanonimizowani)'!$B$2:$B$4580,C72,'Uczniowie (zanonimizowani)'!$E$2:$E$4580,A72,'Uczniowie (zanonimizowani)'!$F$2:$F$4580,B72)</f>
        <v>22</v>
      </c>
      <c r="E72" s="5" t="n">
        <f aca="false">COUNTIFS('Uczniowie (zanonimizowani)'!$B$2:$B$4580,C72,'Uczniowie (zanonimizowani)'!$E$2:$E$4580,A72,'Uczniowie (zanonimizowani)'!$F$2:$F$4580,B72,'Uczniowie (zanonimizowani)'!$K$2:$K$4580,"TAK")</f>
        <v>0</v>
      </c>
      <c r="F72" s="7" t="n">
        <f aca="false">IFERROR(E72/D72,"")</f>
        <v>0</v>
      </c>
      <c r="G72" s="7" t="n">
        <f aca="false">IFERROR(AVERAGEIFS('Uczniowie (zanonimizowani)'!$I$2:$I$4580,'Uczniowie (zanonimizowani)'!$B$2:$B$4580,C72,'Uczniowie (zanonimizowani)'!$E$2:$E$4580,A72,'Uczniowie (zanonimizowani)'!$F$2:$F$4580,B72),"")</f>
        <v>0.88893644679709</v>
      </c>
      <c r="H72" s="7" t="n">
        <f aca="false">IFERROR(AVERAGEIFS('Uczniowie (zanonimizowani)'!$I$2:$I$4580,'Uczniowie (zanonimizowani)'!$B$2:$B$4580,C72,'Uczniowie (zanonimizowani)'!$E$2:$E$4580,A72,'Uczniowie (zanonimizowani)'!$F$2:$F$4580,B72,'Uczniowie (zanonimizowani)'!$K$2:$K$4580,"NIE"),"")</f>
        <v>0.88893644679709</v>
      </c>
      <c r="I72" s="7" t="n">
        <f aca="false">IFERROR(H72-G72,"")</f>
        <v>0</v>
      </c>
    </row>
    <row r="73" customFormat="false" ht="15" hidden="false" customHeight="false" outlineLevel="0" collapsed="false">
      <c r="A73" s="5" t="s">
        <v>38</v>
      </c>
      <c r="B73" s="5" t="s">
        <v>40</v>
      </c>
      <c r="C73" s="5" t="s">
        <v>58</v>
      </c>
      <c r="D73" s="5" t="n">
        <f aca="false">COUNTIFS('Uczniowie (zanonimizowani)'!$B$2:$B$4580,C73,'Uczniowie (zanonimizowani)'!$E$2:$E$4580,A73,'Uczniowie (zanonimizowani)'!$F$2:$F$4580,B73)</f>
        <v>22</v>
      </c>
      <c r="E73" s="5" t="n">
        <f aca="false">COUNTIFS('Uczniowie (zanonimizowani)'!$B$2:$B$4580,C73,'Uczniowie (zanonimizowani)'!$E$2:$E$4580,A73,'Uczniowie (zanonimizowani)'!$F$2:$F$4580,B73,'Uczniowie (zanonimizowani)'!$K$2:$K$4580,"TAK")</f>
        <v>0</v>
      </c>
      <c r="F73" s="7" t="n">
        <f aca="false">IFERROR(E73/D73,"")</f>
        <v>0</v>
      </c>
      <c r="G73" s="7" t="n">
        <f aca="false">IFERROR(AVERAGEIFS('Uczniowie (zanonimizowani)'!$I$2:$I$4580,'Uczniowie (zanonimizowani)'!$B$2:$B$4580,C73,'Uczniowie (zanonimizowani)'!$E$2:$E$4580,A73,'Uczniowie (zanonimizowani)'!$F$2:$F$4580,B73),"")</f>
        <v>0.81734376529485</v>
      </c>
      <c r="H73" s="7" t="n">
        <f aca="false">IFERROR(AVERAGEIFS('Uczniowie (zanonimizowani)'!$I$2:$I$4580,'Uczniowie (zanonimizowani)'!$B$2:$B$4580,C73,'Uczniowie (zanonimizowani)'!$E$2:$E$4580,A73,'Uczniowie (zanonimizowani)'!$F$2:$F$4580,B73,'Uczniowie (zanonimizowani)'!$K$2:$K$4580,"NIE"),"")</f>
        <v>0.81734376529485</v>
      </c>
      <c r="I73" s="7" t="n">
        <f aca="false">IFERROR(H73-G73,"")</f>
        <v>0</v>
      </c>
    </row>
    <row r="74" customFormat="false" ht="15" hidden="false" customHeight="false" outlineLevel="0" collapsed="false">
      <c r="A74" s="5" t="s">
        <v>46</v>
      </c>
      <c r="B74" s="5" t="s">
        <v>39</v>
      </c>
      <c r="C74" s="5" t="s">
        <v>58</v>
      </c>
      <c r="D74" s="5" t="n">
        <f aca="false">COUNTIFS('Uczniowie (zanonimizowani)'!$B$2:$B$4580,C74,'Uczniowie (zanonimizowani)'!$E$2:$E$4580,A74,'Uczniowie (zanonimizowani)'!$F$2:$F$4580,B74)</f>
        <v>21</v>
      </c>
      <c r="E74" s="5" t="n">
        <f aca="false">COUNTIFS('Uczniowie (zanonimizowani)'!$B$2:$B$4580,C74,'Uczniowie (zanonimizowani)'!$E$2:$E$4580,A74,'Uczniowie (zanonimizowani)'!$F$2:$F$4580,B74,'Uczniowie (zanonimizowani)'!$K$2:$K$4580,"TAK")</f>
        <v>0</v>
      </c>
      <c r="F74" s="7" t="n">
        <f aca="false">IFERROR(E74/D74,"")</f>
        <v>0</v>
      </c>
      <c r="G74" s="7" t="n">
        <f aca="false">IFERROR(AVERAGEIFS('Uczniowie (zanonimizowani)'!$I$2:$I$4580,'Uczniowie (zanonimizowani)'!$B$2:$B$4580,C74,'Uczniowie (zanonimizowani)'!$E$2:$E$4580,A74,'Uczniowie (zanonimizowani)'!$F$2:$F$4580,B74),"")</f>
        <v>0.773396752769018</v>
      </c>
      <c r="H74" s="7" t="n">
        <f aca="false">IFERROR(AVERAGEIFS('Uczniowie (zanonimizowani)'!$I$2:$I$4580,'Uczniowie (zanonimizowani)'!$B$2:$B$4580,C74,'Uczniowie (zanonimizowani)'!$E$2:$E$4580,A74,'Uczniowie (zanonimizowani)'!$F$2:$F$4580,B74,'Uczniowie (zanonimizowani)'!$K$2:$K$4580,"NIE"),"")</f>
        <v>0.773396752769018</v>
      </c>
      <c r="I74" s="7" t="n">
        <f aca="false">IFERROR(H74-G74,"")</f>
        <v>0</v>
      </c>
    </row>
    <row r="75" customFormat="false" ht="15" hidden="false" customHeight="false" outlineLevel="0" collapsed="false">
      <c r="A75" s="5" t="s">
        <v>46</v>
      </c>
      <c r="B75" s="5" t="s">
        <v>40</v>
      </c>
      <c r="C75" s="5" t="s">
        <v>58</v>
      </c>
      <c r="D75" s="5" t="n">
        <f aca="false">COUNTIFS('Uczniowie (zanonimizowani)'!$B$2:$B$4580,C75,'Uczniowie (zanonimizowani)'!$E$2:$E$4580,A75,'Uczniowie (zanonimizowani)'!$F$2:$F$4580,B75)</f>
        <v>19</v>
      </c>
      <c r="E75" s="5" t="n">
        <f aca="false">COUNTIFS('Uczniowie (zanonimizowani)'!$B$2:$B$4580,C75,'Uczniowie (zanonimizowani)'!$E$2:$E$4580,A75,'Uczniowie (zanonimizowani)'!$F$2:$F$4580,B75,'Uczniowie (zanonimizowani)'!$K$2:$K$4580,"TAK")</f>
        <v>0</v>
      </c>
      <c r="F75" s="7" t="n">
        <f aca="false">IFERROR(E75/D75,"")</f>
        <v>0</v>
      </c>
      <c r="G75" s="7" t="n">
        <f aca="false">IFERROR(AVERAGEIFS('Uczniowie (zanonimizowani)'!$I$2:$I$4580,'Uczniowie (zanonimizowani)'!$B$2:$B$4580,C75,'Uczniowie (zanonimizowani)'!$E$2:$E$4580,A75,'Uczniowie (zanonimizowani)'!$F$2:$F$4580,B75),"")</f>
        <v>0.803571625511554</v>
      </c>
      <c r="H75" s="7" t="n">
        <f aca="false">IFERROR(AVERAGEIFS('Uczniowie (zanonimizowani)'!$I$2:$I$4580,'Uczniowie (zanonimizowani)'!$B$2:$B$4580,C75,'Uczniowie (zanonimizowani)'!$E$2:$E$4580,A75,'Uczniowie (zanonimizowani)'!$F$2:$F$4580,B75,'Uczniowie (zanonimizowani)'!$K$2:$K$4580,"NIE"),"")</f>
        <v>0.803571625511554</v>
      </c>
      <c r="I75" s="7" t="n">
        <f aca="false">IFERROR(H75-G75,"")</f>
        <v>0</v>
      </c>
    </row>
    <row r="76" customFormat="false" ht="15" hidden="false" customHeight="false" outlineLevel="0" collapsed="false">
      <c r="A76" s="5" t="s">
        <v>55</v>
      </c>
      <c r="B76" s="5" t="s">
        <v>39</v>
      </c>
      <c r="C76" s="5" t="s">
        <v>58</v>
      </c>
      <c r="D76" s="5" t="n">
        <f aca="false">COUNTIFS('Uczniowie (zanonimizowani)'!$B$2:$B$4580,C76,'Uczniowie (zanonimizowani)'!$E$2:$E$4580,A76,'Uczniowie (zanonimizowani)'!$F$2:$F$4580,B76)</f>
        <v>22</v>
      </c>
      <c r="E76" s="5" t="n">
        <f aca="false">COUNTIFS('Uczniowie (zanonimizowani)'!$B$2:$B$4580,C76,'Uczniowie (zanonimizowani)'!$E$2:$E$4580,A76,'Uczniowie (zanonimizowani)'!$F$2:$F$4580,B76,'Uczniowie (zanonimizowani)'!$K$2:$K$4580,"TAK")</f>
        <v>1</v>
      </c>
      <c r="F76" s="7" t="n">
        <f aca="false">IFERROR(E76/D76,"")</f>
        <v>0.0454545454545455</v>
      </c>
      <c r="G76" s="7" t="n">
        <f aca="false">IFERROR(AVERAGEIFS('Uczniowie (zanonimizowani)'!$I$2:$I$4580,'Uczniowie (zanonimizowani)'!$B$2:$B$4580,C76,'Uczniowie (zanonimizowani)'!$E$2:$E$4580,A76,'Uczniowie (zanonimizowani)'!$F$2:$F$4580,B76),"")</f>
        <v>0.801942730329827</v>
      </c>
      <c r="H76" s="7" t="n">
        <f aca="false">IFERROR(AVERAGEIFS('Uczniowie (zanonimizowani)'!$I$2:$I$4580,'Uczniowie (zanonimizowani)'!$B$2:$B$4580,C76,'Uczniowie (zanonimizowani)'!$E$2:$E$4580,A76,'Uczniowie (zanonimizowani)'!$F$2:$F$4580,B76,'Uczniowie (zanonimizowani)'!$K$2:$K$4580,"NIE"),"")</f>
        <v>0.808568304973835</v>
      </c>
      <c r="I76" s="7" t="n">
        <f aca="false">IFERROR(H76-G76,"")</f>
        <v>0.0066255746440077</v>
      </c>
    </row>
    <row r="77" customFormat="false" ht="15" hidden="false" customHeight="false" outlineLevel="0" collapsed="false">
      <c r="A77" s="5" t="s">
        <v>55</v>
      </c>
      <c r="B77" s="5" t="s">
        <v>40</v>
      </c>
      <c r="C77" s="5" t="s">
        <v>58</v>
      </c>
      <c r="D77" s="5" t="n">
        <f aca="false">COUNTIFS('Uczniowie (zanonimizowani)'!$B$2:$B$4580,C77,'Uczniowie (zanonimizowani)'!$E$2:$E$4580,A77,'Uczniowie (zanonimizowani)'!$F$2:$F$4580,B77)</f>
        <v>22</v>
      </c>
      <c r="E77" s="5" t="n">
        <f aca="false">COUNTIFS('Uczniowie (zanonimizowani)'!$B$2:$B$4580,C77,'Uczniowie (zanonimizowani)'!$E$2:$E$4580,A77,'Uczniowie (zanonimizowani)'!$F$2:$F$4580,B77,'Uczniowie (zanonimizowani)'!$K$2:$K$4580,"TAK")</f>
        <v>0</v>
      </c>
      <c r="F77" s="7" t="n">
        <f aca="false">IFERROR(E77/D77,"")</f>
        <v>0</v>
      </c>
      <c r="G77" s="7" t="n">
        <f aca="false">IFERROR(AVERAGEIFS('Uczniowie (zanonimizowani)'!$I$2:$I$4580,'Uczniowie (zanonimizowani)'!$B$2:$B$4580,C77,'Uczniowie (zanonimizowani)'!$E$2:$E$4580,A77,'Uczniowie (zanonimizowani)'!$F$2:$F$4580,B77),"")</f>
        <v>0.682458386683739</v>
      </c>
      <c r="H77" s="7" t="n">
        <f aca="false">IFERROR(AVERAGEIFS('Uczniowie (zanonimizowani)'!$I$2:$I$4580,'Uczniowie (zanonimizowani)'!$B$2:$B$4580,C77,'Uczniowie (zanonimizowani)'!$E$2:$E$4580,A77,'Uczniowie (zanonimizowani)'!$F$2:$F$4580,B77,'Uczniowie (zanonimizowani)'!$K$2:$K$4580,"NIE"),"")</f>
        <v>0.682458386683739</v>
      </c>
      <c r="I77" s="7" t="n">
        <f aca="false">IFERROR(H77-G77,"")</f>
        <v>0</v>
      </c>
    </row>
    <row r="78" customFormat="false" ht="15" hidden="false" customHeight="false" outlineLevel="0" collapsed="false">
      <c r="A78" s="5" t="s">
        <v>57</v>
      </c>
      <c r="B78" s="5" t="s">
        <v>39</v>
      </c>
      <c r="C78" s="5" t="s">
        <v>58</v>
      </c>
      <c r="D78" s="5" t="n">
        <f aca="false">COUNTIFS('Uczniowie (zanonimizowani)'!$B$2:$B$4580,C78,'Uczniowie (zanonimizowani)'!$E$2:$E$4580,A78,'Uczniowie (zanonimizowani)'!$F$2:$F$4580,B78)</f>
        <v>22</v>
      </c>
      <c r="E78" s="5" t="n">
        <f aca="false">COUNTIFS('Uczniowie (zanonimizowani)'!$B$2:$B$4580,C78,'Uczniowie (zanonimizowani)'!$E$2:$E$4580,A78,'Uczniowie (zanonimizowani)'!$F$2:$F$4580,B78,'Uczniowie (zanonimizowani)'!$K$2:$K$4580,"TAK")</f>
        <v>0</v>
      </c>
      <c r="F78" s="7" t="n">
        <f aca="false">IFERROR(E78/D78,"")</f>
        <v>0</v>
      </c>
      <c r="G78" s="7" t="n">
        <f aca="false">IFERROR(AVERAGEIFS('Uczniowie (zanonimizowani)'!$I$2:$I$4580,'Uczniowie (zanonimizowani)'!$B$2:$B$4580,C78,'Uczniowie (zanonimizowani)'!$E$2:$E$4580,A78,'Uczniowie (zanonimizowani)'!$F$2:$F$4580,B78),"")</f>
        <v>0.77980552765294</v>
      </c>
      <c r="H78" s="7" t="n">
        <f aca="false">IFERROR(AVERAGEIFS('Uczniowie (zanonimizowani)'!$I$2:$I$4580,'Uczniowie (zanonimizowani)'!$B$2:$B$4580,C78,'Uczniowie (zanonimizowani)'!$E$2:$E$4580,A78,'Uczniowie (zanonimizowani)'!$F$2:$F$4580,B78,'Uczniowie (zanonimizowani)'!$K$2:$K$4580,"NIE"),"")</f>
        <v>0.77980552765294</v>
      </c>
      <c r="I78" s="7" t="n">
        <f aca="false">IFERROR(H78-G78,"")</f>
        <v>0</v>
      </c>
    </row>
    <row r="79" customFormat="false" ht="15" hidden="false" customHeight="false" outlineLevel="0" collapsed="false">
      <c r="A79" s="5" t="s">
        <v>57</v>
      </c>
      <c r="B79" s="5" t="s">
        <v>40</v>
      </c>
      <c r="C79" s="5" t="s">
        <v>58</v>
      </c>
      <c r="D79" s="5" t="n">
        <f aca="false">COUNTIFS('Uczniowie (zanonimizowani)'!$B$2:$B$4580,C79,'Uczniowie (zanonimizowani)'!$E$2:$E$4580,A79,'Uczniowie (zanonimizowani)'!$F$2:$F$4580,B79)</f>
        <v>21</v>
      </c>
      <c r="E79" s="5" t="n">
        <f aca="false">COUNTIFS('Uczniowie (zanonimizowani)'!$B$2:$B$4580,C79,'Uczniowie (zanonimizowani)'!$E$2:$E$4580,A79,'Uczniowie (zanonimizowani)'!$F$2:$F$4580,B79,'Uczniowie (zanonimizowani)'!$K$2:$K$4580,"TAK")</f>
        <v>0</v>
      </c>
      <c r="F79" s="7" t="n">
        <f aca="false">IFERROR(E79/D79,"")</f>
        <v>0</v>
      </c>
      <c r="G79" s="7" t="n">
        <f aca="false">IFERROR(AVERAGEIFS('Uczniowie (zanonimizowani)'!$I$2:$I$4580,'Uczniowie (zanonimizowani)'!$B$2:$B$4580,C79,'Uczniowie (zanonimizowani)'!$E$2:$E$4580,A79,'Uczniowie (zanonimizowani)'!$F$2:$F$4580,B79),"")</f>
        <v>0.682592564365769</v>
      </c>
      <c r="H79" s="7" t="n">
        <f aca="false">IFERROR(AVERAGEIFS('Uczniowie (zanonimizowani)'!$I$2:$I$4580,'Uczniowie (zanonimizowani)'!$B$2:$B$4580,C79,'Uczniowie (zanonimizowani)'!$E$2:$E$4580,A79,'Uczniowie (zanonimizowani)'!$F$2:$F$4580,B79,'Uczniowie (zanonimizowani)'!$K$2:$K$4580,"NIE"),"")</f>
        <v>0.682592564365769</v>
      </c>
      <c r="I79" s="7" t="n">
        <f aca="false">IFERROR(H79-G79,"")</f>
        <v>0</v>
      </c>
    </row>
    <row r="80" customFormat="false" ht="15" hidden="false" customHeight="false" outlineLevel="0" collapsed="false">
      <c r="A80" s="5" t="s">
        <v>38</v>
      </c>
      <c r="B80" s="5" t="s">
        <v>39</v>
      </c>
      <c r="C80" s="5" t="s">
        <v>63</v>
      </c>
      <c r="D80" s="5" t="n">
        <f aca="false">COUNTIFS('Uczniowie (zanonimizowani)'!$B$2:$B$4580,C80,'Uczniowie (zanonimizowani)'!$E$2:$E$4580,A80,'Uczniowie (zanonimizowani)'!$F$2:$F$4580,B80)</f>
        <v>22</v>
      </c>
      <c r="E80" s="5" t="n">
        <f aca="false">COUNTIFS('Uczniowie (zanonimizowani)'!$B$2:$B$4580,C80,'Uczniowie (zanonimizowani)'!$E$2:$E$4580,A80,'Uczniowie (zanonimizowani)'!$F$2:$F$4580,B80,'Uczniowie (zanonimizowani)'!$K$2:$K$4580,"TAK")</f>
        <v>2</v>
      </c>
      <c r="F80" s="7" t="n">
        <f aca="false">IFERROR(E80/D80,"")</f>
        <v>0.0909090909090909</v>
      </c>
      <c r="G80" s="7" t="n">
        <f aca="false">IFERROR(AVERAGEIFS('Uczniowie (zanonimizowani)'!$I$2:$I$4580,'Uczniowie (zanonimizowani)'!$B$2:$B$4580,C80,'Uczniowie (zanonimizowani)'!$E$2:$E$4580,A80,'Uczniowie (zanonimizowani)'!$F$2:$F$4580,B80),"")</f>
        <v>0.792316285837519</v>
      </c>
      <c r="H80" s="7" t="n">
        <f aca="false">IFERROR(AVERAGEIFS('Uczniowie (zanonimizowani)'!$I$2:$I$4580,'Uczniowie (zanonimizowani)'!$B$2:$B$4580,C80,'Uczniowie (zanonimizowani)'!$E$2:$E$4580,A80,'Uczniowie (zanonimizowani)'!$F$2:$F$4580,B80,'Uczniowie (zanonimizowani)'!$K$2:$K$4580,"NIE"),"")</f>
        <v>0.823460957899532</v>
      </c>
      <c r="I80" s="7" t="n">
        <f aca="false">IFERROR(H80-G80,"")</f>
        <v>0.0311446720620129</v>
      </c>
    </row>
    <row r="81" customFormat="false" ht="15" hidden="false" customHeight="false" outlineLevel="0" collapsed="false">
      <c r="A81" s="5" t="s">
        <v>38</v>
      </c>
      <c r="B81" s="5" t="s">
        <v>40</v>
      </c>
      <c r="C81" s="5" t="s">
        <v>63</v>
      </c>
      <c r="D81" s="5" t="n">
        <f aca="false">COUNTIFS('Uczniowie (zanonimizowani)'!$B$2:$B$4580,C81,'Uczniowie (zanonimizowani)'!$E$2:$E$4580,A81,'Uczniowie (zanonimizowani)'!$F$2:$F$4580,B81)</f>
        <v>22</v>
      </c>
      <c r="E81" s="5" t="n">
        <f aca="false">COUNTIFS('Uczniowie (zanonimizowani)'!$B$2:$B$4580,C81,'Uczniowie (zanonimizowani)'!$E$2:$E$4580,A81,'Uczniowie (zanonimizowani)'!$F$2:$F$4580,B81,'Uczniowie (zanonimizowani)'!$K$2:$K$4580,"TAK")</f>
        <v>0</v>
      </c>
      <c r="F81" s="7" t="n">
        <f aca="false">IFERROR(E81/D81,"")</f>
        <v>0</v>
      </c>
      <c r="G81" s="7" t="n">
        <f aca="false">IFERROR(AVERAGEIFS('Uczniowie (zanonimizowani)'!$I$2:$I$4580,'Uczniowie (zanonimizowani)'!$B$2:$B$4580,C81,'Uczniowie (zanonimizowani)'!$E$2:$E$4580,A81,'Uczniowie (zanonimizowani)'!$F$2:$F$4580,B81),"")</f>
        <v>0.779805429358797</v>
      </c>
      <c r="H81" s="7" t="n">
        <f aca="false">IFERROR(AVERAGEIFS('Uczniowie (zanonimizowani)'!$I$2:$I$4580,'Uczniowie (zanonimizowani)'!$B$2:$B$4580,C81,'Uczniowie (zanonimizowani)'!$E$2:$E$4580,A81,'Uczniowie (zanonimizowani)'!$F$2:$F$4580,B81,'Uczniowie (zanonimizowani)'!$K$2:$K$4580,"NIE"),"")</f>
        <v>0.779805429358797</v>
      </c>
      <c r="I81" s="7" t="n">
        <f aca="false">IFERROR(H81-G81,"")</f>
        <v>0</v>
      </c>
    </row>
    <row r="82" customFormat="false" ht="15" hidden="false" customHeight="false" outlineLevel="0" collapsed="false">
      <c r="A82" s="5" t="s">
        <v>75</v>
      </c>
      <c r="B82" s="5" t="s">
        <v>39</v>
      </c>
      <c r="C82" s="5" t="s">
        <v>63</v>
      </c>
      <c r="D82" s="5" t="n">
        <f aca="false">COUNTIFS('Uczniowie (zanonimizowani)'!$B$2:$B$4580,C82,'Uczniowie (zanonimizowani)'!$E$2:$E$4580,A82,'Uczniowie (zanonimizowani)'!$F$2:$F$4580,B82)</f>
        <v>25</v>
      </c>
      <c r="E82" s="5" t="n">
        <f aca="false">COUNTIFS('Uczniowie (zanonimizowani)'!$B$2:$B$4580,C82,'Uczniowie (zanonimizowani)'!$E$2:$E$4580,A82,'Uczniowie (zanonimizowani)'!$F$2:$F$4580,B82,'Uczniowie (zanonimizowani)'!$K$2:$K$4580,"TAK")</f>
        <v>0</v>
      </c>
      <c r="F82" s="7" t="n">
        <f aca="false">IFERROR(E82/D82,"")</f>
        <v>0</v>
      </c>
      <c r="G82" s="7" t="n">
        <f aca="false">IFERROR(AVERAGEIFS('Uczniowie (zanonimizowani)'!$I$2:$I$4580,'Uczniowie (zanonimizowani)'!$B$2:$B$4580,C82,'Uczniowie (zanonimizowani)'!$E$2:$E$4580,A82,'Uczniowie (zanonimizowani)'!$F$2:$F$4580,B82),"")</f>
        <v>0.799117507164991</v>
      </c>
      <c r="H82" s="7" t="n">
        <f aca="false">IFERROR(AVERAGEIFS('Uczniowie (zanonimizowani)'!$I$2:$I$4580,'Uczniowie (zanonimizowani)'!$B$2:$B$4580,C82,'Uczniowie (zanonimizowani)'!$E$2:$E$4580,A82,'Uczniowie (zanonimizowani)'!$F$2:$F$4580,B82,'Uczniowie (zanonimizowani)'!$K$2:$K$4580,"NIE"),"")</f>
        <v>0.799117507164991</v>
      </c>
      <c r="I82" s="7" t="n">
        <f aca="false">IFERROR(H82-G82,"")</f>
        <v>0</v>
      </c>
    </row>
    <row r="83" customFormat="false" ht="15" hidden="false" customHeight="false" outlineLevel="0" collapsed="false">
      <c r="A83" s="5" t="s">
        <v>75</v>
      </c>
      <c r="B83" s="5" t="s">
        <v>40</v>
      </c>
      <c r="C83" s="5" t="s">
        <v>63</v>
      </c>
      <c r="D83" s="5" t="n">
        <f aca="false">COUNTIFS('Uczniowie (zanonimizowani)'!$B$2:$B$4580,C83,'Uczniowie (zanonimizowani)'!$E$2:$E$4580,A83,'Uczniowie (zanonimizowani)'!$F$2:$F$4580,B83)</f>
        <v>25</v>
      </c>
      <c r="E83" s="5" t="n">
        <f aca="false">COUNTIFS('Uczniowie (zanonimizowani)'!$B$2:$B$4580,C83,'Uczniowie (zanonimizowani)'!$E$2:$E$4580,A83,'Uczniowie (zanonimizowani)'!$F$2:$F$4580,B83,'Uczniowie (zanonimizowani)'!$K$2:$K$4580,"TAK")</f>
        <v>0</v>
      </c>
      <c r="F83" s="7" t="n">
        <f aca="false">IFERROR(E83/D83,"")</f>
        <v>0</v>
      </c>
      <c r="G83" s="7" t="n">
        <f aca="false">IFERROR(AVERAGEIFS('Uczniowie (zanonimizowani)'!$I$2:$I$4580,'Uczniowie (zanonimizowani)'!$B$2:$B$4580,C83,'Uczniowie (zanonimizowani)'!$E$2:$E$4580,A83,'Uczniowie (zanonimizowani)'!$F$2:$F$4580,B83),"")</f>
        <v>0.664675390393281</v>
      </c>
      <c r="H83" s="7" t="n">
        <f aca="false">IFERROR(AVERAGEIFS('Uczniowie (zanonimizowani)'!$I$2:$I$4580,'Uczniowie (zanonimizowani)'!$B$2:$B$4580,C83,'Uczniowie (zanonimizowani)'!$E$2:$E$4580,A83,'Uczniowie (zanonimizowani)'!$F$2:$F$4580,B83,'Uczniowie (zanonimizowani)'!$K$2:$K$4580,"NIE"),"")</f>
        <v>0.664675390393281</v>
      </c>
      <c r="I83" s="7" t="n">
        <f aca="false">IFERROR(H83-G83,"")</f>
        <v>0</v>
      </c>
    </row>
    <row r="84" customFormat="false" ht="15" hidden="false" customHeight="false" outlineLevel="0" collapsed="false">
      <c r="A84" s="5" t="s">
        <v>89</v>
      </c>
      <c r="B84" s="5" t="s">
        <v>39</v>
      </c>
      <c r="C84" s="5" t="s">
        <v>105</v>
      </c>
      <c r="D84" s="5" t="n">
        <f aca="false">COUNTIFS('Uczniowie (zanonimizowani)'!$B$2:$B$4580,C84,'Uczniowie (zanonimizowani)'!$E$2:$E$4580,A84,'Uczniowie (zanonimizowani)'!$F$2:$F$4580,B84)</f>
        <v>28</v>
      </c>
      <c r="E84" s="5" t="n">
        <f aca="false">COUNTIFS('Uczniowie (zanonimizowani)'!$B$2:$B$4580,C84,'Uczniowie (zanonimizowani)'!$E$2:$E$4580,A84,'Uczniowie (zanonimizowani)'!$F$2:$F$4580,B84,'Uczniowie (zanonimizowani)'!$K$2:$K$4580,"TAK")</f>
        <v>1</v>
      </c>
      <c r="F84" s="7" t="n">
        <f aca="false">IFERROR(E84/D84,"")</f>
        <v>0.0357142857142857</v>
      </c>
      <c r="G84" s="7" t="n">
        <f aca="false">IFERROR(AVERAGEIFS('Uczniowie (zanonimizowani)'!$I$2:$I$4580,'Uczniowie (zanonimizowani)'!$B$2:$B$4580,C84,'Uczniowie (zanonimizowani)'!$E$2:$E$4580,A84,'Uczniowie (zanonimizowani)'!$F$2:$F$4580,B84),"")</f>
        <v>0.796478033375473</v>
      </c>
      <c r="H84" s="7" t="n">
        <f aca="false">IFERROR(AVERAGEIFS('Uczniowie (zanonimizowani)'!$I$2:$I$4580,'Uczniowie (zanonimizowani)'!$B$2:$B$4580,C84,'Uczniowie (zanonimizowani)'!$E$2:$E$4580,A84,'Uczniowie (zanonimizowani)'!$F$2:$F$4580,B84,'Uczniowie (zanonimizowani)'!$K$2:$K$4580,"NIE"),"")</f>
        <v>0.811203633594629</v>
      </c>
      <c r="I84" s="7" t="n">
        <f aca="false">IFERROR(H84-G84,"")</f>
        <v>0.0147256002191563</v>
      </c>
    </row>
    <row r="85" customFormat="false" ht="15" hidden="false" customHeight="false" outlineLevel="0" collapsed="false">
      <c r="A85" s="5" t="s">
        <v>89</v>
      </c>
      <c r="B85" s="5" t="s">
        <v>40</v>
      </c>
      <c r="C85" s="5" t="s">
        <v>105</v>
      </c>
      <c r="D85" s="5" t="n">
        <f aca="false">COUNTIFS('Uczniowie (zanonimizowani)'!$B$2:$B$4580,C85,'Uczniowie (zanonimizowani)'!$E$2:$E$4580,A85,'Uczniowie (zanonimizowani)'!$F$2:$F$4580,B85)</f>
        <v>28</v>
      </c>
      <c r="E85" s="5" t="n">
        <f aca="false">COUNTIFS('Uczniowie (zanonimizowani)'!$B$2:$B$4580,C85,'Uczniowie (zanonimizowani)'!$E$2:$E$4580,A85,'Uczniowie (zanonimizowani)'!$F$2:$F$4580,B85,'Uczniowie (zanonimizowani)'!$K$2:$K$4580,"TAK")</f>
        <v>2</v>
      </c>
      <c r="F85" s="7" t="n">
        <f aca="false">IFERROR(E85/D85,"")</f>
        <v>0.0714285714285714</v>
      </c>
      <c r="G85" s="7" t="n">
        <f aca="false">IFERROR(AVERAGEIFS('Uczniowie (zanonimizowani)'!$I$2:$I$4580,'Uczniowie (zanonimizowani)'!$B$2:$B$4580,C85,'Uczniowie (zanonimizowani)'!$E$2:$E$4580,A85,'Uczniowie (zanonimizowani)'!$F$2:$F$4580,B85),"")</f>
        <v>0.640299688888318</v>
      </c>
      <c r="H85" s="7" t="n">
        <f aca="false">IFERROR(AVERAGEIFS('Uczniowie (zanonimizowani)'!$I$2:$I$4580,'Uczniowie (zanonimizowani)'!$B$2:$B$4580,C85,'Uczniowie (zanonimizowani)'!$E$2:$E$4580,A85,'Uczniowie (zanonimizowani)'!$F$2:$F$4580,B85,'Uczniowie (zanonimizowani)'!$K$2:$K$4580,"NIE"),"")</f>
        <v>0.686076432633418</v>
      </c>
      <c r="I85" s="7" t="n">
        <f aca="false">IFERROR(H85-G85,"")</f>
        <v>0.0457767437450999</v>
      </c>
    </row>
    <row r="86" customFormat="false" ht="15" hidden="false" customHeight="false" outlineLevel="0" collapsed="false">
      <c r="A86" s="5" t="s">
        <v>38</v>
      </c>
      <c r="B86" s="5" t="s">
        <v>39</v>
      </c>
      <c r="C86" s="5" t="s">
        <v>67</v>
      </c>
      <c r="D86" s="5" t="n">
        <f aca="false">COUNTIFS('Uczniowie (zanonimizowani)'!$B$2:$B$4580,C86,'Uczniowie (zanonimizowani)'!$E$2:$E$4580,A86,'Uczniowie (zanonimizowani)'!$F$2:$F$4580,B86)</f>
        <v>18</v>
      </c>
      <c r="E86" s="5" t="n">
        <f aca="false">COUNTIFS('Uczniowie (zanonimizowani)'!$B$2:$B$4580,C86,'Uczniowie (zanonimizowani)'!$E$2:$E$4580,A86,'Uczniowie (zanonimizowani)'!$F$2:$F$4580,B86,'Uczniowie (zanonimizowani)'!$K$2:$K$4580,"TAK")</f>
        <v>0</v>
      </c>
      <c r="F86" s="7" t="n">
        <f aca="false">IFERROR(E86/D86,"")</f>
        <v>0</v>
      </c>
      <c r="G86" s="7" t="n">
        <f aca="false">IFERROR(AVERAGEIFS('Uczniowie (zanonimizowani)'!$I$2:$I$4580,'Uczniowie (zanonimizowani)'!$B$2:$B$4580,C86,'Uczniowie (zanonimizowani)'!$E$2:$E$4580,A86,'Uczniowie (zanonimizowani)'!$F$2:$F$4580,B86),"")</f>
        <v>0.773236973005052</v>
      </c>
      <c r="H86" s="7" t="n">
        <f aca="false">IFERROR(AVERAGEIFS('Uczniowie (zanonimizowani)'!$I$2:$I$4580,'Uczniowie (zanonimizowani)'!$B$2:$B$4580,C86,'Uczniowie (zanonimizowani)'!$E$2:$E$4580,A86,'Uczniowie (zanonimizowani)'!$F$2:$F$4580,B86,'Uczniowie (zanonimizowani)'!$K$2:$K$4580,"NIE"),"")</f>
        <v>0.773236973005052</v>
      </c>
      <c r="I86" s="7" t="n">
        <f aca="false">IFERROR(H86-G86,"")</f>
        <v>0</v>
      </c>
    </row>
    <row r="87" customFormat="false" ht="15" hidden="false" customHeight="false" outlineLevel="0" collapsed="false">
      <c r="A87" s="5" t="s">
        <v>38</v>
      </c>
      <c r="B87" s="5" t="s">
        <v>40</v>
      </c>
      <c r="C87" s="5" t="s">
        <v>67</v>
      </c>
      <c r="D87" s="5" t="n">
        <f aca="false">COUNTIFS('Uczniowie (zanonimizowani)'!$B$2:$B$4580,C87,'Uczniowie (zanonimizowani)'!$E$2:$E$4580,A87,'Uczniowie (zanonimizowani)'!$F$2:$F$4580,B87)</f>
        <v>18</v>
      </c>
      <c r="E87" s="5" t="n">
        <f aca="false">COUNTIFS('Uczniowie (zanonimizowani)'!$B$2:$B$4580,C87,'Uczniowie (zanonimizowani)'!$E$2:$E$4580,A87,'Uczniowie (zanonimizowani)'!$F$2:$F$4580,B87,'Uczniowie (zanonimizowani)'!$K$2:$K$4580,"TAK")</f>
        <v>1</v>
      </c>
      <c r="F87" s="7" t="n">
        <f aca="false">IFERROR(E87/D87,"")</f>
        <v>0.0555555555555556</v>
      </c>
      <c r="G87" s="7" t="n">
        <f aca="false">IFERROR(AVERAGEIFS('Uczniowie (zanonimizowani)'!$I$2:$I$4580,'Uczniowie (zanonimizowani)'!$B$2:$B$4580,C87,'Uczniowie (zanonimizowani)'!$E$2:$E$4580,A87,'Uczniowie (zanonimizowani)'!$F$2:$F$4580,B87),"")</f>
        <v>0.737728310502283</v>
      </c>
      <c r="H87" s="7" t="n">
        <f aca="false">IFERROR(AVERAGEIFS('Uczniowie (zanonimizowani)'!$I$2:$I$4580,'Uczniowie (zanonimizowani)'!$B$2:$B$4580,C87,'Uczniowie (zanonimizowani)'!$E$2:$E$4580,A87,'Uczniowie (zanonimizowani)'!$F$2:$F$4580,B87,'Uczniowie (zanonimizowani)'!$K$2:$K$4580,"NIE"),"")</f>
        <v>0.767526188557615</v>
      </c>
      <c r="I87" s="7" t="n">
        <f aca="false">IFERROR(H87-G87,"")</f>
        <v>0.0297978780553317</v>
      </c>
    </row>
    <row r="88" customFormat="false" ht="15" hidden="false" customHeight="false" outlineLevel="0" collapsed="false">
      <c r="A88" s="5" t="s">
        <v>75</v>
      </c>
      <c r="B88" s="5" t="s">
        <v>39</v>
      </c>
      <c r="C88" s="5" t="s">
        <v>67</v>
      </c>
      <c r="D88" s="5" t="n">
        <f aca="false">COUNTIFS('Uczniowie (zanonimizowani)'!$B$2:$B$4580,C88,'Uczniowie (zanonimizowani)'!$E$2:$E$4580,A88,'Uczniowie (zanonimizowani)'!$F$2:$F$4580,B88)</f>
        <v>20</v>
      </c>
      <c r="E88" s="5" t="n">
        <f aca="false">COUNTIFS('Uczniowie (zanonimizowani)'!$B$2:$B$4580,C88,'Uczniowie (zanonimizowani)'!$E$2:$E$4580,A88,'Uczniowie (zanonimizowani)'!$F$2:$F$4580,B88,'Uczniowie (zanonimizowani)'!$K$2:$K$4580,"TAK")</f>
        <v>0</v>
      </c>
      <c r="F88" s="7" t="n">
        <f aca="false">IFERROR(E88/D88,"")</f>
        <v>0</v>
      </c>
      <c r="G88" s="7" t="n">
        <f aca="false">IFERROR(AVERAGEIFS('Uczniowie (zanonimizowani)'!$I$2:$I$4580,'Uczniowie (zanonimizowani)'!$B$2:$B$4580,C88,'Uczniowie (zanonimizowani)'!$E$2:$E$4580,A88,'Uczniowie (zanonimizowani)'!$F$2:$F$4580,B88),"")</f>
        <v>0.801509799300071</v>
      </c>
      <c r="H88" s="7" t="n">
        <f aca="false">IFERROR(AVERAGEIFS('Uczniowie (zanonimizowani)'!$I$2:$I$4580,'Uczniowie (zanonimizowani)'!$B$2:$B$4580,C88,'Uczniowie (zanonimizowani)'!$E$2:$E$4580,A88,'Uczniowie (zanonimizowani)'!$F$2:$F$4580,B88,'Uczniowie (zanonimizowani)'!$K$2:$K$4580,"NIE"),"")</f>
        <v>0.801509799300071</v>
      </c>
      <c r="I88" s="7" t="n">
        <f aca="false">IFERROR(H88-G88,"")</f>
        <v>0</v>
      </c>
    </row>
    <row r="89" customFormat="false" ht="15" hidden="false" customHeight="false" outlineLevel="0" collapsed="false">
      <c r="A89" s="5" t="s">
        <v>75</v>
      </c>
      <c r="B89" s="5" t="s">
        <v>40</v>
      </c>
      <c r="C89" s="5" t="s">
        <v>67</v>
      </c>
      <c r="D89" s="5" t="n">
        <f aca="false">COUNTIFS('Uczniowie (zanonimizowani)'!$B$2:$B$4580,C89,'Uczniowie (zanonimizowani)'!$E$2:$E$4580,A89,'Uczniowie (zanonimizowani)'!$F$2:$F$4580,B89)</f>
        <v>20</v>
      </c>
      <c r="E89" s="5" t="n">
        <f aca="false">COUNTIFS('Uczniowie (zanonimizowani)'!$B$2:$B$4580,C89,'Uczniowie (zanonimizowani)'!$E$2:$E$4580,A89,'Uczniowie (zanonimizowani)'!$F$2:$F$4580,B89,'Uczniowie (zanonimizowani)'!$K$2:$K$4580,"TAK")</f>
        <v>0</v>
      </c>
      <c r="F89" s="7" t="n">
        <f aca="false">IFERROR(E89/D89,"")</f>
        <v>0</v>
      </c>
      <c r="G89" s="7" t="n">
        <f aca="false">IFERROR(AVERAGEIFS('Uczniowie (zanonimizowani)'!$I$2:$I$4580,'Uczniowie (zanonimizowani)'!$B$2:$B$4580,C89,'Uczniowie (zanonimizowani)'!$E$2:$E$4580,A89,'Uczniowie (zanonimizowani)'!$F$2:$F$4580,B89),"")</f>
        <v>0.653532678197892</v>
      </c>
      <c r="H89" s="7" t="n">
        <f aca="false">IFERROR(AVERAGEIFS('Uczniowie (zanonimizowani)'!$I$2:$I$4580,'Uczniowie (zanonimizowani)'!$B$2:$B$4580,C89,'Uczniowie (zanonimizowani)'!$E$2:$E$4580,A89,'Uczniowie (zanonimizowani)'!$F$2:$F$4580,B89,'Uczniowie (zanonimizowani)'!$K$2:$K$4580,"NIE"),"")</f>
        <v>0.653532678197892</v>
      </c>
      <c r="I89" s="7" t="n">
        <f aca="false">IFERROR(H89-G89,"")</f>
        <v>0</v>
      </c>
    </row>
    <row r="90" customFormat="false" ht="15" hidden="false" customHeight="false" outlineLevel="0" collapsed="false">
      <c r="A90" s="5" t="s">
        <v>57</v>
      </c>
      <c r="B90" s="5" t="s">
        <v>39</v>
      </c>
      <c r="C90" s="5" t="s">
        <v>93</v>
      </c>
      <c r="D90" s="5" t="n">
        <f aca="false">COUNTIFS('Uczniowie (zanonimizowani)'!$B$2:$B$4580,C90,'Uczniowie (zanonimizowani)'!$E$2:$E$4580,A90,'Uczniowie (zanonimizowani)'!$F$2:$F$4580,B90)</f>
        <v>15</v>
      </c>
      <c r="E90" s="5" t="n">
        <f aca="false">COUNTIFS('Uczniowie (zanonimizowani)'!$B$2:$B$4580,C90,'Uczniowie (zanonimizowani)'!$E$2:$E$4580,A90,'Uczniowie (zanonimizowani)'!$F$2:$F$4580,B90,'Uczniowie (zanonimizowani)'!$K$2:$K$4580,"TAK")</f>
        <v>0</v>
      </c>
      <c r="F90" s="7" t="n">
        <f aca="false">IFERROR(E90/D90,"")</f>
        <v>0</v>
      </c>
      <c r="G90" s="7" t="n">
        <f aca="false">IFERROR(AVERAGEIFS('Uczniowie (zanonimizowani)'!$I$2:$I$4580,'Uczniowie (zanonimizowani)'!$B$2:$B$4580,C90,'Uczniowie (zanonimizowani)'!$E$2:$E$4580,A90,'Uczniowie (zanonimizowani)'!$F$2:$F$4580,B90),"")</f>
        <v>0.805385182944493</v>
      </c>
      <c r="H90" s="7" t="n">
        <f aca="false">IFERROR(AVERAGEIFS('Uczniowie (zanonimizowani)'!$I$2:$I$4580,'Uczniowie (zanonimizowani)'!$B$2:$B$4580,C90,'Uczniowie (zanonimizowani)'!$E$2:$E$4580,A90,'Uczniowie (zanonimizowani)'!$F$2:$F$4580,B90,'Uczniowie (zanonimizowani)'!$K$2:$K$4580,"NIE"),"")</f>
        <v>0.805385182944493</v>
      </c>
      <c r="I90" s="7" t="n">
        <f aca="false">IFERROR(H90-G90,"")</f>
        <v>0</v>
      </c>
    </row>
    <row r="91" customFormat="false" ht="15" hidden="false" customHeight="false" outlineLevel="0" collapsed="false">
      <c r="A91" s="5" t="s">
        <v>57</v>
      </c>
      <c r="B91" s="5" t="s">
        <v>40</v>
      </c>
      <c r="C91" s="5" t="s">
        <v>93</v>
      </c>
      <c r="D91" s="5" t="n">
        <f aca="false">COUNTIFS('Uczniowie (zanonimizowani)'!$B$2:$B$4580,C91,'Uczniowie (zanonimizowani)'!$E$2:$E$4580,A91,'Uczniowie (zanonimizowani)'!$F$2:$F$4580,B91)</f>
        <v>15</v>
      </c>
      <c r="E91" s="5" t="n">
        <f aca="false">COUNTIFS('Uczniowie (zanonimizowani)'!$B$2:$B$4580,C91,'Uczniowie (zanonimizowani)'!$E$2:$E$4580,A91,'Uczniowie (zanonimizowani)'!$F$2:$F$4580,B91,'Uczniowie (zanonimizowani)'!$K$2:$K$4580,"TAK")</f>
        <v>3</v>
      </c>
      <c r="F91" s="7" t="n">
        <f aca="false">IFERROR(E91/D91,"")</f>
        <v>0.2</v>
      </c>
      <c r="G91" s="7" t="n">
        <f aca="false">IFERROR(AVERAGEIFS('Uczniowie (zanonimizowani)'!$I$2:$I$4580,'Uczniowie (zanonimizowani)'!$B$2:$B$4580,C91,'Uczniowie (zanonimizowani)'!$E$2:$E$4580,A91,'Uczniowie (zanonimizowani)'!$F$2:$F$4580,B91),"")</f>
        <v>0.674314489054354</v>
      </c>
      <c r="H91" s="7" t="n">
        <f aca="false">IFERROR(AVERAGEIFS('Uczniowie (zanonimizowani)'!$I$2:$I$4580,'Uczniowie (zanonimizowani)'!$B$2:$B$4580,C91,'Uczniowie (zanonimizowani)'!$E$2:$E$4580,A91,'Uczniowie (zanonimizowani)'!$F$2:$F$4580,B91,'Uczniowie (zanonimizowani)'!$K$2:$K$4580,"NIE"),"")</f>
        <v>0.704506181598466</v>
      </c>
      <c r="I91" s="7" t="n">
        <f aca="false">IFERROR(H91-G91,"")</f>
        <v>0.0301916925441116</v>
      </c>
    </row>
    <row r="92" customFormat="false" ht="15" hidden="false" customHeight="false" outlineLevel="0" collapsed="false">
      <c r="A92" s="5" t="s">
        <v>75</v>
      </c>
      <c r="B92" s="5" t="s">
        <v>39</v>
      </c>
      <c r="C92" s="5" t="s">
        <v>100</v>
      </c>
      <c r="D92" s="5" t="n">
        <f aca="false">COUNTIFS('Uczniowie (zanonimizowani)'!$B$2:$B$4580,C92,'Uczniowie (zanonimizowani)'!$E$2:$E$4580,A92,'Uczniowie (zanonimizowani)'!$F$2:$F$4580,B92)</f>
        <v>25</v>
      </c>
      <c r="E92" s="5" t="n">
        <f aca="false">COUNTIFS('Uczniowie (zanonimizowani)'!$B$2:$B$4580,C92,'Uczniowie (zanonimizowani)'!$E$2:$E$4580,A92,'Uczniowie (zanonimizowani)'!$F$2:$F$4580,B92,'Uczniowie (zanonimizowani)'!$K$2:$K$4580,"TAK")</f>
        <v>0</v>
      </c>
      <c r="F92" s="7" t="n">
        <f aca="false">IFERROR(E92/D92,"")</f>
        <v>0</v>
      </c>
      <c r="G92" s="7" t="n">
        <f aca="false">IFERROR(AVERAGEIFS('Uczniowie (zanonimizowani)'!$I$2:$I$4580,'Uczniowie (zanonimizowani)'!$B$2:$B$4580,C92,'Uczniowie (zanonimizowani)'!$E$2:$E$4580,A92,'Uczniowie (zanonimizowani)'!$F$2:$F$4580,B92),"")</f>
        <v>0.776349905437373</v>
      </c>
      <c r="H92" s="7" t="n">
        <f aca="false">IFERROR(AVERAGEIFS('Uczniowie (zanonimizowani)'!$I$2:$I$4580,'Uczniowie (zanonimizowani)'!$B$2:$B$4580,C92,'Uczniowie (zanonimizowani)'!$E$2:$E$4580,A92,'Uczniowie (zanonimizowani)'!$F$2:$F$4580,B92,'Uczniowie (zanonimizowani)'!$K$2:$K$4580,"NIE"),"")</f>
        <v>0.776349905437373</v>
      </c>
      <c r="I92" s="7" t="n">
        <f aca="false">IFERROR(H92-G92,"")</f>
        <v>0</v>
      </c>
    </row>
    <row r="93" customFormat="false" ht="15" hidden="false" customHeight="false" outlineLevel="0" collapsed="false">
      <c r="A93" s="5" t="s">
        <v>75</v>
      </c>
      <c r="B93" s="5" t="s">
        <v>40</v>
      </c>
      <c r="C93" s="5" t="s">
        <v>100</v>
      </c>
      <c r="D93" s="5" t="n">
        <f aca="false">COUNTIFS('Uczniowie (zanonimizowani)'!$B$2:$B$4580,C93,'Uczniowie (zanonimizowani)'!$E$2:$E$4580,A93,'Uczniowie (zanonimizowani)'!$F$2:$F$4580,B93)</f>
        <v>25</v>
      </c>
      <c r="E93" s="5" t="n">
        <f aca="false">COUNTIFS('Uczniowie (zanonimizowani)'!$B$2:$B$4580,C93,'Uczniowie (zanonimizowani)'!$E$2:$E$4580,A93,'Uczniowie (zanonimizowani)'!$F$2:$F$4580,B93,'Uczniowie (zanonimizowani)'!$K$2:$K$4580,"TAK")</f>
        <v>1</v>
      </c>
      <c r="F93" s="7" t="n">
        <f aca="false">IFERROR(E93/D93,"")</f>
        <v>0.04</v>
      </c>
      <c r="G93" s="7" t="n">
        <f aca="false">IFERROR(AVERAGEIFS('Uczniowie (zanonimizowani)'!$I$2:$I$4580,'Uczniowie (zanonimizowani)'!$B$2:$B$4580,C93,'Uczniowie (zanonimizowani)'!$E$2:$E$4580,A93,'Uczniowie (zanonimizowani)'!$F$2:$F$4580,B93),"")</f>
        <v>0.65509651087025</v>
      </c>
      <c r="H93" s="7" t="n">
        <f aca="false">IFERROR(AVERAGEIFS('Uczniowie (zanonimizowani)'!$I$2:$I$4580,'Uczniowie (zanonimizowani)'!$B$2:$B$4580,C93,'Uczniowie (zanonimizowani)'!$E$2:$E$4580,A93,'Uczniowie (zanonimizowani)'!$F$2:$F$4580,B93,'Uczniowie (zanonimizowani)'!$K$2:$K$4580,"NIE"),"")</f>
        <v>0.668837981955707</v>
      </c>
      <c r="I93" s="7" t="n">
        <f aca="false">IFERROR(H93-G93,"")</f>
        <v>0.0137414710854573</v>
      </c>
    </row>
    <row r="94" customFormat="false" ht="15" hidden="false" customHeight="false" outlineLevel="0" collapsed="false">
      <c r="A94" s="5" t="s">
        <v>89</v>
      </c>
      <c r="B94" s="5" t="s">
        <v>39</v>
      </c>
      <c r="C94" s="5" t="s">
        <v>100</v>
      </c>
      <c r="D94" s="5" t="n">
        <f aca="false">COUNTIFS('Uczniowie (zanonimizowani)'!$B$2:$B$4580,C94,'Uczniowie (zanonimizowani)'!$E$2:$E$4580,A94,'Uczniowie (zanonimizowani)'!$F$2:$F$4580,B94)</f>
        <v>19</v>
      </c>
      <c r="E94" s="5" t="n">
        <f aca="false">COUNTIFS('Uczniowie (zanonimizowani)'!$B$2:$B$4580,C94,'Uczniowie (zanonimizowani)'!$E$2:$E$4580,A94,'Uczniowie (zanonimizowani)'!$F$2:$F$4580,B94,'Uczniowie (zanonimizowani)'!$K$2:$K$4580,"TAK")</f>
        <v>1</v>
      </c>
      <c r="F94" s="7" t="n">
        <f aca="false">IFERROR(E94/D94,"")</f>
        <v>0.0526315789473684</v>
      </c>
      <c r="G94" s="7" t="n">
        <f aca="false">IFERROR(AVERAGEIFS('Uczniowie (zanonimizowani)'!$I$2:$I$4580,'Uczniowie (zanonimizowani)'!$B$2:$B$4580,C94,'Uczniowie (zanonimizowani)'!$E$2:$E$4580,A94,'Uczniowie (zanonimizowani)'!$F$2:$F$4580,B94),"")</f>
        <v>0.838631302904469</v>
      </c>
      <c r="H94" s="7" t="n">
        <f aca="false">IFERROR(AVERAGEIFS('Uczniowie (zanonimizowani)'!$I$2:$I$4580,'Uczniowie (zanonimizowani)'!$B$2:$B$4580,C94,'Uczniowie (zanonimizowani)'!$E$2:$E$4580,A94,'Uczniowie (zanonimizowani)'!$F$2:$F$4580,B94,'Uczniowie (zanonimizowani)'!$K$2:$K$4580,"NIE"),"")</f>
        <v>0.85546365337052</v>
      </c>
      <c r="I94" s="7" t="n">
        <f aca="false">IFERROR(H94-G94,"")</f>
        <v>0.0168323504660516</v>
      </c>
    </row>
    <row r="95" customFormat="false" ht="15" hidden="false" customHeight="false" outlineLevel="0" collapsed="false">
      <c r="A95" s="5" t="s">
        <v>89</v>
      </c>
      <c r="B95" s="5" t="s">
        <v>40</v>
      </c>
      <c r="C95" s="5" t="s">
        <v>100</v>
      </c>
      <c r="D95" s="5" t="n">
        <f aca="false">COUNTIFS('Uczniowie (zanonimizowani)'!$B$2:$B$4580,C95,'Uczniowie (zanonimizowani)'!$E$2:$E$4580,A95,'Uczniowie (zanonimizowani)'!$F$2:$F$4580,B95)</f>
        <v>19</v>
      </c>
      <c r="E95" s="5" t="n">
        <f aca="false">COUNTIFS('Uczniowie (zanonimizowani)'!$B$2:$B$4580,C95,'Uczniowie (zanonimizowani)'!$E$2:$E$4580,A95,'Uczniowie (zanonimizowani)'!$F$2:$F$4580,B95,'Uczniowie (zanonimizowani)'!$K$2:$K$4580,"TAK")</f>
        <v>1</v>
      </c>
      <c r="F95" s="7" t="n">
        <f aca="false">IFERROR(E95/D95,"")</f>
        <v>0.0526315789473684</v>
      </c>
      <c r="G95" s="7" t="n">
        <f aca="false">IFERROR(AVERAGEIFS('Uczniowie (zanonimizowani)'!$I$2:$I$4580,'Uczniowie (zanonimizowani)'!$B$2:$B$4580,C95,'Uczniowie (zanonimizowani)'!$E$2:$E$4580,A95,'Uczniowie (zanonimizowani)'!$F$2:$F$4580,B95),"")</f>
        <v>0.652540017493866</v>
      </c>
      <c r="H95" s="7" t="n">
        <f aca="false">IFERROR(AVERAGEIFS('Uczniowie (zanonimizowani)'!$I$2:$I$4580,'Uczniowie (zanonimizowani)'!$B$2:$B$4580,C95,'Uczniowie (zanonimizowani)'!$E$2:$E$4580,A95,'Uczniowie (zanonimizowani)'!$F$2:$F$4580,B95,'Uczniowie (zanonimizowani)'!$K$2:$K$4580,"NIE"),"")</f>
        <v>0.668362133161088</v>
      </c>
      <c r="I95" s="7" t="n">
        <f aca="false">IFERROR(H95-G95,"")</f>
        <v>0.0158221156672219</v>
      </c>
    </row>
    <row r="96" customFormat="false" ht="15" hidden="false" customHeight="false" outlineLevel="0" collapsed="false">
      <c r="A96" s="5" t="s">
        <v>46</v>
      </c>
      <c r="B96" s="5" t="s">
        <v>39</v>
      </c>
      <c r="C96" s="5" t="s">
        <v>78</v>
      </c>
      <c r="D96" s="5" t="n">
        <f aca="false">COUNTIFS('Uczniowie (zanonimizowani)'!$B$2:$B$4580,C96,'Uczniowie (zanonimizowani)'!$E$2:$E$4580,A96,'Uczniowie (zanonimizowani)'!$F$2:$F$4580,B96)</f>
        <v>13</v>
      </c>
      <c r="E96" s="5" t="n">
        <f aca="false">COUNTIFS('Uczniowie (zanonimizowani)'!$B$2:$B$4580,C96,'Uczniowie (zanonimizowani)'!$E$2:$E$4580,A96,'Uczniowie (zanonimizowani)'!$F$2:$F$4580,B96,'Uczniowie (zanonimizowani)'!$K$2:$K$4580,"TAK")</f>
        <v>0</v>
      </c>
      <c r="F96" s="7" t="n">
        <f aca="false">IFERROR(E96/D96,"")</f>
        <v>0</v>
      </c>
      <c r="G96" s="7" t="n">
        <f aca="false">IFERROR(AVERAGEIFS('Uczniowie (zanonimizowani)'!$I$2:$I$4580,'Uczniowie (zanonimizowani)'!$B$2:$B$4580,C96,'Uczniowie (zanonimizowani)'!$E$2:$E$4580,A96,'Uczniowie (zanonimizowani)'!$F$2:$F$4580,B96),"")</f>
        <v>0.796217510041595</v>
      </c>
      <c r="H96" s="7" t="n">
        <f aca="false">IFERROR(AVERAGEIFS('Uczniowie (zanonimizowani)'!$I$2:$I$4580,'Uczniowie (zanonimizowani)'!$B$2:$B$4580,C96,'Uczniowie (zanonimizowani)'!$E$2:$E$4580,A96,'Uczniowie (zanonimizowani)'!$F$2:$F$4580,B96,'Uczniowie (zanonimizowani)'!$K$2:$K$4580,"NIE"),"")</f>
        <v>0.796217510041595</v>
      </c>
      <c r="I96" s="7" t="n">
        <f aca="false">IFERROR(H96-G96,"")</f>
        <v>0</v>
      </c>
    </row>
    <row r="97" customFormat="false" ht="15" hidden="false" customHeight="false" outlineLevel="0" collapsed="false">
      <c r="A97" s="5" t="s">
        <v>46</v>
      </c>
      <c r="B97" s="5" t="s">
        <v>40</v>
      </c>
      <c r="C97" s="5" t="s">
        <v>78</v>
      </c>
      <c r="D97" s="5" t="n">
        <f aca="false">COUNTIFS('Uczniowie (zanonimizowani)'!$B$2:$B$4580,C97,'Uczniowie (zanonimizowani)'!$E$2:$E$4580,A97,'Uczniowie (zanonimizowani)'!$F$2:$F$4580,B97)</f>
        <v>13</v>
      </c>
      <c r="E97" s="5" t="n">
        <f aca="false">COUNTIFS('Uczniowie (zanonimizowani)'!$B$2:$B$4580,C97,'Uczniowie (zanonimizowani)'!$E$2:$E$4580,A97,'Uczniowie (zanonimizowani)'!$F$2:$F$4580,B97,'Uczniowie (zanonimizowani)'!$K$2:$K$4580,"TAK")</f>
        <v>0</v>
      </c>
      <c r="F97" s="7" t="n">
        <f aca="false">IFERROR(E97/D97,"")</f>
        <v>0</v>
      </c>
      <c r="G97" s="7" t="n">
        <f aca="false">IFERROR(AVERAGEIFS('Uczniowie (zanonimizowani)'!$I$2:$I$4580,'Uczniowie (zanonimizowani)'!$B$2:$B$4580,C97,'Uczniowie (zanonimizowani)'!$E$2:$E$4580,A97,'Uczniowie (zanonimizowani)'!$F$2:$F$4580,B97),"")</f>
        <v>0.771068852837787</v>
      </c>
      <c r="H97" s="7" t="n">
        <f aca="false">IFERROR(AVERAGEIFS('Uczniowie (zanonimizowani)'!$I$2:$I$4580,'Uczniowie (zanonimizowani)'!$B$2:$B$4580,C97,'Uczniowie (zanonimizowani)'!$E$2:$E$4580,A97,'Uczniowie (zanonimizowani)'!$F$2:$F$4580,B97,'Uczniowie (zanonimizowani)'!$K$2:$K$4580,"NIE"),"")</f>
        <v>0.771068852837787</v>
      </c>
      <c r="I97" s="7" t="n">
        <f aca="false">IFERROR(H97-G97,"")</f>
        <v>0</v>
      </c>
    </row>
    <row r="98" customFormat="false" ht="15" hidden="false" customHeight="false" outlineLevel="0" collapsed="false">
      <c r="A98" s="5" t="s">
        <v>55</v>
      </c>
      <c r="B98" s="5" t="s">
        <v>39</v>
      </c>
      <c r="C98" s="5" t="s">
        <v>78</v>
      </c>
      <c r="D98" s="5" t="n">
        <f aca="false">COUNTIFS('Uczniowie (zanonimizowani)'!$B$2:$B$4580,C98,'Uczniowie (zanonimizowani)'!$E$2:$E$4580,A98,'Uczniowie (zanonimizowani)'!$F$2:$F$4580,B98)</f>
        <v>23</v>
      </c>
      <c r="E98" s="5" t="n">
        <f aca="false">COUNTIFS('Uczniowie (zanonimizowani)'!$B$2:$B$4580,C98,'Uczniowie (zanonimizowani)'!$E$2:$E$4580,A98,'Uczniowie (zanonimizowani)'!$F$2:$F$4580,B98,'Uczniowie (zanonimizowani)'!$K$2:$K$4580,"TAK")</f>
        <v>0</v>
      </c>
      <c r="F98" s="7" t="n">
        <f aca="false">IFERROR(E98/D98,"")</f>
        <v>0</v>
      </c>
      <c r="G98" s="7" t="n">
        <f aca="false">IFERROR(AVERAGEIFS('Uczniowie (zanonimizowani)'!$I$2:$I$4580,'Uczniowie (zanonimizowani)'!$B$2:$B$4580,C98,'Uczniowie (zanonimizowani)'!$E$2:$E$4580,A98,'Uczniowie (zanonimizowani)'!$F$2:$F$4580,B98),"")</f>
        <v>0.856864112396292</v>
      </c>
      <c r="H98" s="7" t="n">
        <f aca="false">IFERROR(AVERAGEIFS('Uczniowie (zanonimizowani)'!$I$2:$I$4580,'Uczniowie (zanonimizowani)'!$B$2:$B$4580,C98,'Uczniowie (zanonimizowani)'!$E$2:$E$4580,A98,'Uczniowie (zanonimizowani)'!$F$2:$F$4580,B98,'Uczniowie (zanonimizowani)'!$K$2:$K$4580,"NIE"),"")</f>
        <v>0.856864112396292</v>
      </c>
      <c r="I98" s="7" t="n">
        <f aca="false">IFERROR(H98-G98,"")</f>
        <v>0</v>
      </c>
    </row>
    <row r="99" customFormat="false" ht="15" hidden="false" customHeight="false" outlineLevel="0" collapsed="false">
      <c r="A99" s="5" t="s">
        <v>55</v>
      </c>
      <c r="B99" s="5" t="s">
        <v>40</v>
      </c>
      <c r="C99" s="5" t="s">
        <v>78</v>
      </c>
      <c r="D99" s="5" t="n">
        <f aca="false">COUNTIFS('Uczniowie (zanonimizowani)'!$B$2:$B$4580,C99,'Uczniowie (zanonimizowani)'!$E$2:$E$4580,A99,'Uczniowie (zanonimizowani)'!$F$2:$F$4580,B99)</f>
        <v>23</v>
      </c>
      <c r="E99" s="5" t="n">
        <f aca="false">COUNTIFS('Uczniowie (zanonimizowani)'!$B$2:$B$4580,C99,'Uczniowie (zanonimizowani)'!$E$2:$E$4580,A99,'Uczniowie (zanonimizowani)'!$F$2:$F$4580,B99,'Uczniowie (zanonimizowani)'!$K$2:$K$4580,"TAK")</f>
        <v>0</v>
      </c>
      <c r="F99" s="7" t="n">
        <f aca="false">IFERROR(E99/D99,"")</f>
        <v>0</v>
      </c>
      <c r="G99" s="7" t="n">
        <f aca="false">IFERROR(AVERAGEIFS('Uczniowie (zanonimizowani)'!$I$2:$I$4580,'Uczniowie (zanonimizowani)'!$B$2:$B$4580,C99,'Uczniowie (zanonimizowani)'!$E$2:$E$4580,A99,'Uczniowie (zanonimizowani)'!$F$2:$F$4580,B99),"")</f>
        <v>0.730135471586694</v>
      </c>
      <c r="H99" s="7" t="n">
        <f aca="false">IFERROR(AVERAGEIFS('Uczniowie (zanonimizowani)'!$I$2:$I$4580,'Uczniowie (zanonimizowani)'!$B$2:$B$4580,C99,'Uczniowie (zanonimizowani)'!$E$2:$E$4580,A99,'Uczniowie (zanonimizowani)'!$F$2:$F$4580,B99,'Uczniowie (zanonimizowani)'!$K$2:$K$4580,"NIE"),"")</f>
        <v>0.730135471586694</v>
      </c>
      <c r="I99" s="7" t="n">
        <f aca="false">IFERROR(H99-G99,"")</f>
        <v>0</v>
      </c>
    </row>
    <row r="100" customFormat="false" ht="15" hidden="false" customHeight="false" outlineLevel="0" collapsed="false">
      <c r="A100" s="5" t="s">
        <v>57</v>
      </c>
      <c r="B100" s="5" t="s">
        <v>39</v>
      </c>
      <c r="C100" s="5" t="s">
        <v>78</v>
      </c>
      <c r="D100" s="5" t="n">
        <f aca="false">COUNTIFS('Uczniowie (zanonimizowani)'!$B$2:$B$4580,C100,'Uczniowie (zanonimizowani)'!$E$2:$E$4580,A100,'Uczniowie (zanonimizowani)'!$F$2:$F$4580,B100)</f>
        <v>23</v>
      </c>
      <c r="E100" s="5" t="n">
        <f aca="false">COUNTIFS('Uczniowie (zanonimizowani)'!$B$2:$B$4580,C100,'Uczniowie (zanonimizowani)'!$E$2:$E$4580,A100,'Uczniowie (zanonimizowani)'!$F$2:$F$4580,B100,'Uczniowie (zanonimizowani)'!$K$2:$K$4580,"TAK")</f>
        <v>0</v>
      </c>
      <c r="F100" s="7" t="n">
        <f aca="false">IFERROR(E100/D100,"")</f>
        <v>0</v>
      </c>
      <c r="G100" s="7" t="n">
        <f aca="false">IFERROR(AVERAGEIFS('Uczniowie (zanonimizowani)'!$I$2:$I$4580,'Uczniowie (zanonimizowani)'!$B$2:$B$4580,C100,'Uczniowie (zanonimizowani)'!$E$2:$E$4580,A100,'Uczniowie (zanonimizowani)'!$F$2:$F$4580,B100),"")</f>
        <v>0.830356580099212</v>
      </c>
      <c r="H100" s="7" t="n">
        <f aca="false">IFERROR(AVERAGEIFS('Uczniowie (zanonimizowani)'!$I$2:$I$4580,'Uczniowie (zanonimizowani)'!$B$2:$B$4580,C100,'Uczniowie (zanonimizowani)'!$E$2:$E$4580,A100,'Uczniowie (zanonimizowani)'!$F$2:$F$4580,B100,'Uczniowie (zanonimizowani)'!$K$2:$K$4580,"NIE"),"")</f>
        <v>0.830356580099212</v>
      </c>
      <c r="I100" s="7" t="n">
        <f aca="false">IFERROR(H100-G100,"")</f>
        <v>0</v>
      </c>
    </row>
    <row r="101" customFormat="false" ht="15" hidden="false" customHeight="false" outlineLevel="0" collapsed="false">
      <c r="A101" s="5" t="s">
        <v>57</v>
      </c>
      <c r="B101" s="5" t="s">
        <v>40</v>
      </c>
      <c r="C101" s="5" t="s">
        <v>78</v>
      </c>
      <c r="D101" s="5" t="n">
        <f aca="false">COUNTIFS('Uczniowie (zanonimizowani)'!$B$2:$B$4580,C101,'Uczniowie (zanonimizowani)'!$E$2:$E$4580,A101,'Uczniowie (zanonimizowani)'!$F$2:$F$4580,B101)</f>
        <v>23</v>
      </c>
      <c r="E101" s="5" t="n">
        <f aca="false">COUNTIFS('Uczniowie (zanonimizowani)'!$B$2:$B$4580,C101,'Uczniowie (zanonimizowani)'!$E$2:$E$4580,A101,'Uczniowie (zanonimizowani)'!$F$2:$F$4580,B101,'Uczniowie (zanonimizowani)'!$K$2:$K$4580,"TAK")</f>
        <v>1</v>
      </c>
      <c r="F101" s="7" t="n">
        <f aca="false">IFERROR(E101/D101,"")</f>
        <v>0.0434782608695652</v>
      </c>
      <c r="G101" s="7" t="n">
        <f aca="false">IFERROR(AVERAGEIFS('Uczniowie (zanonimizowani)'!$I$2:$I$4580,'Uczniowie (zanonimizowani)'!$B$2:$B$4580,C101,'Uczniowie (zanonimizowani)'!$E$2:$E$4580,A101,'Uczniowie (zanonimizowani)'!$F$2:$F$4580,B101),"")</f>
        <v>0.680253630759678</v>
      </c>
      <c r="H101" s="7" t="n">
        <f aca="false">IFERROR(AVERAGEIFS('Uczniowie (zanonimizowani)'!$I$2:$I$4580,'Uczniowie (zanonimizowani)'!$B$2:$B$4580,C101,'Uczniowie (zanonimizowani)'!$E$2:$E$4580,A101,'Uczniowie (zanonimizowani)'!$F$2:$F$4580,B101,'Uczniowie (zanonimizowani)'!$K$2:$K$4580,"NIE"),"")</f>
        <v>0.692385277579572</v>
      </c>
      <c r="I101" s="7" t="n">
        <f aca="false">IFERROR(H101-G101,"")</f>
        <v>0.0121316468198934</v>
      </c>
    </row>
    <row r="102" customFormat="false" ht="15" hidden="false" customHeight="false" outlineLevel="0" collapsed="false">
      <c r="A102" s="5" t="s">
        <v>38</v>
      </c>
      <c r="B102" s="5" t="s">
        <v>39</v>
      </c>
      <c r="C102" s="5" t="s">
        <v>71</v>
      </c>
      <c r="D102" s="5" t="n">
        <f aca="false">COUNTIFS('Uczniowie (zanonimizowani)'!$B$2:$B$4580,C102,'Uczniowie (zanonimizowani)'!$E$2:$E$4580,A102,'Uczniowie (zanonimizowani)'!$F$2:$F$4580,B102)</f>
        <v>23</v>
      </c>
      <c r="E102" s="5" t="n">
        <f aca="false">COUNTIFS('Uczniowie (zanonimizowani)'!$B$2:$B$4580,C102,'Uczniowie (zanonimizowani)'!$E$2:$E$4580,A102,'Uczniowie (zanonimizowani)'!$F$2:$F$4580,B102,'Uczniowie (zanonimizowani)'!$K$2:$K$4580,"TAK")</f>
        <v>3</v>
      </c>
      <c r="F102" s="7" t="n">
        <f aca="false">IFERROR(E102/D102,"")</f>
        <v>0.130434782608696</v>
      </c>
      <c r="G102" s="7" t="n">
        <f aca="false">IFERROR(AVERAGEIFS('Uczniowie (zanonimizowani)'!$I$2:$I$4580,'Uczniowie (zanonimizowani)'!$B$2:$B$4580,C102,'Uczniowie (zanonimizowani)'!$E$2:$E$4580,A102,'Uczniowie (zanonimizowani)'!$F$2:$F$4580,B102),"")</f>
        <v>0.844327945125403</v>
      </c>
      <c r="H102" s="7" t="n">
        <f aca="false">IFERROR(AVERAGEIFS('Uczniowie (zanonimizowani)'!$I$2:$I$4580,'Uczniowie (zanonimizowani)'!$B$2:$B$4580,C102,'Uczniowie (zanonimizowani)'!$E$2:$E$4580,A102,'Uczniowie (zanonimizowani)'!$F$2:$F$4580,B102,'Uczniowie (zanonimizowani)'!$K$2:$K$4580,"NIE"),"")</f>
        <v>0.893179623572721</v>
      </c>
      <c r="I102" s="7" t="n">
        <f aca="false">IFERROR(H102-G102,"")</f>
        <v>0.0488516784473184</v>
      </c>
    </row>
    <row r="103" customFormat="false" ht="15" hidden="false" customHeight="false" outlineLevel="0" collapsed="false">
      <c r="A103" s="5" t="s">
        <v>38</v>
      </c>
      <c r="B103" s="5" t="s">
        <v>40</v>
      </c>
      <c r="C103" s="5" t="s">
        <v>71</v>
      </c>
      <c r="D103" s="5" t="n">
        <f aca="false">COUNTIFS('Uczniowie (zanonimizowani)'!$B$2:$B$4580,C103,'Uczniowie (zanonimizowani)'!$E$2:$E$4580,A103,'Uczniowie (zanonimizowani)'!$F$2:$F$4580,B103)</f>
        <v>23</v>
      </c>
      <c r="E103" s="5" t="n">
        <f aca="false">COUNTIFS('Uczniowie (zanonimizowani)'!$B$2:$B$4580,C103,'Uczniowie (zanonimizowani)'!$E$2:$E$4580,A103,'Uczniowie (zanonimizowani)'!$F$2:$F$4580,B103,'Uczniowie (zanonimizowani)'!$K$2:$K$4580,"TAK")</f>
        <v>1</v>
      </c>
      <c r="F103" s="7" t="n">
        <f aca="false">IFERROR(E103/D103,"")</f>
        <v>0.0434782608695652</v>
      </c>
      <c r="G103" s="7" t="n">
        <f aca="false">IFERROR(AVERAGEIFS('Uczniowie (zanonimizowani)'!$I$2:$I$4580,'Uczniowie (zanonimizowani)'!$B$2:$B$4580,C103,'Uczniowie (zanonimizowani)'!$E$2:$E$4580,A103,'Uczniowie (zanonimizowani)'!$F$2:$F$4580,B103),"")</f>
        <v>0.78513175396111</v>
      </c>
      <c r="H103" s="7" t="n">
        <f aca="false">IFERROR(AVERAGEIFS('Uczniowie (zanonimizowani)'!$I$2:$I$4580,'Uczniowie (zanonimizowani)'!$B$2:$B$4580,C103,'Uczniowie (zanonimizowani)'!$E$2:$E$4580,A103,'Uczniowie (zanonimizowani)'!$F$2:$F$4580,B103,'Uczniowie (zanonimizowani)'!$K$2:$K$4580,"NIE"),"")</f>
        <v>0.81836255850234</v>
      </c>
      <c r="I103" s="7" t="n">
        <f aca="false">IFERROR(H103-G103,"")</f>
        <v>0.0332308045412298</v>
      </c>
    </row>
    <row r="104" customFormat="false" ht="15" hidden="false" customHeight="false" outlineLevel="0" collapsed="false">
      <c r="A104" s="5" t="s">
        <v>75</v>
      </c>
      <c r="B104" s="5" t="s">
        <v>39</v>
      </c>
      <c r="C104" s="5" t="s">
        <v>71</v>
      </c>
      <c r="D104" s="5" t="n">
        <f aca="false">COUNTIFS('Uczniowie (zanonimizowani)'!$B$2:$B$4580,C104,'Uczniowie (zanonimizowani)'!$E$2:$E$4580,A104,'Uczniowie (zanonimizowani)'!$F$2:$F$4580,B104)</f>
        <v>27</v>
      </c>
      <c r="E104" s="5" t="n">
        <f aca="false">COUNTIFS('Uczniowie (zanonimizowani)'!$B$2:$B$4580,C104,'Uczniowie (zanonimizowani)'!$E$2:$E$4580,A104,'Uczniowie (zanonimizowani)'!$F$2:$F$4580,B104,'Uczniowie (zanonimizowani)'!$K$2:$K$4580,"TAK")</f>
        <v>3</v>
      </c>
      <c r="F104" s="7" t="n">
        <f aca="false">IFERROR(E104/D104,"")</f>
        <v>0.111111111111111</v>
      </c>
      <c r="G104" s="7" t="n">
        <f aca="false">IFERROR(AVERAGEIFS('Uczniowie (zanonimizowani)'!$I$2:$I$4580,'Uczniowie (zanonimizowani)'!$B$2:$B$4580,C104,'Uczniowie (zanonimizowani)'!$E$2:$E$4580,A104,'Uczniowie (zanonimizowani)'!$F$2:$F$4580,B104),"")</f>
        <v>0.810290498747709</v>
      </c>
      <c r="H104" s="7" t="n">
        <f aca="false">IFERROR(AVERAGEIFS('Uczniowie (zanonimizowani)'!$I$2:$I$4580,'Uczniowie (zanonimizowani)'!$B$2:$B$4580,C104,'Uczniowie (zanonimizowani)'!$E$2:$E$4580,A104,'Uczniowie (zanonimizowani)'!$F$2:$F$4580,B104,'Uczniowie (zanonimizowani)'!$K$2:$K$4580,"NIE"),"")</f>
        <v>0.83999973363655</v>
      </c>
      <c r="I104" s="7" t="n">
        <f aca="false">IFERROR(H104-G104,"")</f>
        <v>0.0297092348888404</v>
      </c>
    </row>
    <row r="105" customFormat="false" ht="15" hidden="false" customHeight="false" outlineLevel="0" collapsed="false">
      <c r="A105" s="5" t="s">
        <v>75</v>
      </c>
      <c r="B105" s="5" t="s">
        <v>40</v>
      </c>
      <c r="C105" s="5" t="s">
        <v>71</v>
      </c>
      <c r="D105" s="5" t="n">
        <f aca="false">COUNTIFS('Uczniowie (zanonimizowani)'!$B$2:$B$4580,C105,'Uczniowie (zanonimizowani)'!$E$2:$E$4580,A105,'Uczniowie (zanonimizowani)'!$F$2:$F$4580,B105)</f>
        <v>27</v>
      </c>
      <c r="E105" s="5" t="n">
        <f aca="false">COUNTIFS('Uczniowie (zanonimizowani)'!$B$2:$B$4580,C105,'Uczniowie (zanonimizowani)'!$E$2:$E$4580,A105,'Uczniowie (zanonimizowani)'!$F$2:$F$4580,B105,'Uczniowie (zanonimizowani)'!$K$2:$K$4580,"TAK")</f>
        <v>2</v>
      </c>
      <c r="F105" s="7" t="n">
        <f aca="false">IFERROR(E105/D105,"")</f>
        <v>0.0740740740740741</v>
      </c>
      <c r="G105" s="7" t="n">
        <f aca="false">IFERROR(AVERAGEIFS('Uczniowie (zanonimizowani)'!$I$2:$I$4580,'Uczniowie (zanonimizowani)'!$B$2:$B$4580,C105,'Uczniowie (zanonimizowani)'!$E$2:$E$4580,A105,'Uczniowie (zanonimizowani)'!$F$2:$F$4580,B105),"")</f>
        <v>0.72821574560705</v>
      </c>
      <c r="H105" s="7" t="n">
        <f aca="false">IFERROR(AVERAGEIFS('Uczniowie (zanonimizowani)'!$I$2:$I$4580,'Uczniowie (zanonimizowani)'!$B$2:$B$4580,C105,'Uczniowie (zanonimizowani)'!$E$2:$E$4580,A105,'Uczniowie (zanonimizowani)'!$F$2:$F$4580,B105,'Uczniowie (zanonimizowani)'!$K$2:$K$4580,"NIE"),"")</f>
        <v>0.752417582417583</v>
      </c>
      <c r="I105" s="7" t="n">
        <f aca="false">IFERROR(H105-G105,"")</f>
        <v>0.0242018368105326</v>
      </c>
    </row>
    <row r="106" customFormat="false" ht="15" hidden="false" customHeight="false" outlineLevel="0" collapsed="false">
      <c r="A106" s="5" t="s">
        <v>46</v>
      </c>
      <c r="B106" s="5" t="s">
        <v>39</v>
      </c>
      <c r="C106" s="5" t="s">
        <v>84</v>
      </c>
      <c r="D106" s="5" t="n">
        <f aca="false">COUNTIFS('Uczniowie (zanonimizowani)'!$B$2:$B$4580,C106,'Uczniowie (zanonimizowani)'!$E$2:$E$4580,A106,'Uczniowie (zanonimizowani)'!$F$2:$F$4580,B106)</f>
        <v>14</v>
      </c>
      <c r="E106" s="5" t="n">
        <f aca="false">COUNTIFS('Uczniowie (zanonimizowani)'!$B$2:$B$4580,C106,'Uczniowie (zanonimizowani)'!$E$2:$E$4580,A106,'Uczniowie (zanonimizowani)'!$F$2:$F$4580,B106,'Uczniowie (zanonimizowani)'!$K$2:$K$4580,"TAK")</f>
        <v>0</v>
      </c>
      <c r="F106" s="7" t="n">
        <f aca="false">IFERROR(E106/D106,"")</f>
        <v>0</v>
      </c>
      <c r="G106" s="7" t="n">
        <f aca="false">IFERROR(AVERAGEIFS('Uczniowie (zanonimizowani)'!$I$2:$I$4580,'Uczniowie (zanonimizowani)'!$B$2:$B$4580,C106,'Uczniowie (zanonimizowani)'!$E$2:$E$4580,A106,'Uczniowie (zanonimizowani)'!$F$2:$F$4580,B106),"")</f>
        <v>0.791632326007326</v>
      </c>
      <c r="H106" s="7" t="n">
        <f aca="false">IFERROR(AVERAGEIFS('Uczniowie (zanonimizowani)'!$I$2:$I$4580,'Uczniowie (zanonimizowani)'!$B$2:$B$4580,C106,'Uczniowie (zanonimizowani)'!$E$2:$E$4580,A106,'Uczniowie (zanonimizowani)'!$F$2:$F$4580,B106,'Uczniowie (zanonimizowani)'!$K$2:$K$4580,"NIE"),"")</f>
        <v>0.791632326007326</v>
      </c>
      <c r="I106" s="7" t="n">
        <f aca="false">IFERROR(H106-G106,"")</f>
        <v>0</v>
      </c>
    </row>
    <row r="107" customFormat="false" ht="15" hidden="false" customHeight="false" outlineLevel="0" collapsed="false">
      <c r="A107" s="5" t="s">
        <v>46</v>
      </c>
      <c r="B107" s="5" t="s">
        <v>40</v>
      </c>
      <c r="C107" s="5" t="s">
        <v>84</v>
      </c>
      <c r="D107" s="5" t="n">
        <f aca="false">COUNTIFS('Uczniowie (zanonimizowani)'!$B$2:$B$4580,C107,'Uczniowie (zanonimizowani)'!$E$2:$E$4580,A107,'Uczniowie (zanonimizowani)'!$F$2:$F$4580,B107)</f>
        <v>13</v>
      </c>
      <c r="E107" s="5" t="n">
        <f aca="false">COUNTIFS('Uczniowie (zanonimizowani)'!$B$2:$B$4580,C107,'Uczniowie (zanonimizowani)'!$E$2:$E$4580,A107,'Uczniowie (zanonimizowani)'!$F$2:$F$4580,B107,'Uczniowie (zanonimizowani)'!$K$2:$K$4580,"TAK")</f>
        <v>0</v>
      </c>
      <c r="F107" s="7" t="n">
        <f aca="false">IFERROR(E107/D107,"")</f>
        <v>0</v>
      </c>
      <c r="G107" s="7" t="n">
        <f aca="false">IFERROR(AVERAGEIFS('Uczniowie (zanonimizowani)'!$I$2:$I$4580,'Uczniowie (zanonimizowani)'!$B$2:$B$4580,C107,'Uczniowie (zanonimizowani)'!$E$2:$E$4580,A107,'Uczniowie (zanonimizowani)'!$F$2:$F$4580,B107),"")</f>
        <v>0.714939207896954</v>
      </c>
      <c r="H107" s="7" t="n">
        <f aca="false">IFERROR(AVERAGEIFS('Uczniowie (zanonimizowani)'!$I$2:$I$4580,'Uczniowie (zanonimizowani)'!$B$2:$B$4580,C107,'Uczniowie (zanonimizowani)'!$E$2:$E$4580,A107,'Uczniowie (zanonimizowani)'!$F$2:$F$4580,B107,'Uczniowie (zanonimizowani)'!$K$2:$K$4580,"NIE"),"")</f>
        <v>0.714939207896954</v>
      </c>
      <c r="I107" s="7" t="n">
        <f aca="false">IFERROR(H107-G107,"")</f>
        <v>0</v>
      </c>
    </row>
    <row r="108" customFormat="false" ht="15" hidden="false" customHeight="false" outlineLevel="0" collapsed="false">
      <c r="A108" s="5" t="s">
        <v>57</v>
      </c>
      <c r="B108" s="5" t="s">
        <v>39</v>
      </c>
      <c r="C108" s="5" t="s">
        <v>84</v>
      </c>
      <c r="D108" s="5" t="n">
        <f aca="false">COUNTIFS('Uczniowie (zanonimizowani)'!$B$2:$B$4580,C108,'Uczniowie (zanonimizowani)'!$E$2:$E$4580,A108,'Uczniowie (zanonimizowani)'!$F$2:$F$4580,B108)</f>
        <v>22</v>
      </c>
      <c r="E108" s="5" t="n">
        <f aca="false">COUNTIFS('Uczniowie (zanonimizowani)'!$B$2:$B$4580,C108,'Uczniowie (zanonimizowani)'!$E$2:$E$4580,A108,'Uczniowie (zanonimizowani)'!$F$2:$F$4580,B108,'Uczniowie (zanonimizowani)'!$K$2:$K$4580,"TAK")</f>
        <v>2</v>
      </c>
      <c r="F108" s="7" t="n">
        <f aca="false">IFERROR(E108/D108,"")</f>
        <v>0.0909090909090909</v>
      </c>
      <c r="G108" s="7" t="n">
        <f aca="false">IFERROR(AVERAGEIFS('Uczniowie (zanonimizowani)'!$I$2:$I$4580,'Uczniowie (zanonimizowani)'!$B$2:$B$4580,C108,'Uczniowie (zanonimizowani)'!$E$2:$E$4580,A108,'Uczniowie (zanonimizowani)'!$F$2:$F$4580,B108),"")</f>
        <v>0.812753270432169</v>
      </c>
      <c r="H108" s="7" t="n">
        <f aca="false">IFERROR(AVERAGEIFS('Uczniowie (zanonimizowani)'!$I$2:$I$4580,'Uczniowie (zanonimizowani)'!$B$2:$B$4580,C108,'Uczniowie (zanonimizowani)'!$E$2:$E$4580,A108,'Uczniowie (zanonimizowani)'!$F$2:$F$4580,B108,'Uczniowie (zanonimizowani)'!$K$2:$K$4580,"NIE"),"")</f>
        <v>0.838507321352335</v>
      </c>
      <c r="I108" s="7" t="n">
        <f aca="false">IFERROR(H108-G108,"")</f>
        <v>0.0257540509201665</v>
      </c>
    </row>
    <row r="109" customFormat="false" ht="15" hidden="false" customHeight="false" outlineLevel="0" collapsed="false">
      <c r="A109" s="5" t="s">
        <v>57</v>
      </c>
      <c r="B109" s="5" t="s">
        <v>40</v>
      </c>
      <c r="C109" s="5" t="s">
        <v>84</v>
      </c>
      <c r="D109" s="5" t="n">
        <f aca="false">COUNTIFS('Uczniowie (zanonimizowani)'!$B$2:$B$4580,C109,'Uczniowie (zanonimizowani)'!$E$2:$E$4580,A109,'Uczniowie (zanonimizowani)'!$F$2:$F$4580,B109)</f>
        <v>22</v>
      </c>
      <c r="E109" s="5" t="n">
        <f aca="false">COUNTIFS('Uczniowie (zanonimizowani)'!$B$2:$B$4580,C109,'Uczniowie (zanonimizowani)'!$E$2:$E$4580,A109,'Uczniowie (zanonimizowani)'!$F$2:$F$4580,B109,'Uczniowie (zanonimizowani)'!$K$2:$K$4580,"TAK")</f>
        <v>0</v>
      </c>
      <c r="F109" s="7" t="n">
        <f aca="false">IFERROR(E109/D109,"")</f>
        <v>0</v>
      </c>
      <c r="G109" s="7" t="n">
        <f aca="false">IFERROR(AVERAGEIFS('Uczniowie (zanonimizowani)'!$I$2:$I$4580,'Uczniowie (zanonimizowani)'!$B$2:$B$4580,C109,'Uczniowie (zanonimizowani)'!$E$2:$E$4580,A109,'Uczniowie (zanonimizowani)'!$F$2:$F$4580,B109),"")</f>
        <v>0.690459824296601</v>
      </c>
      <c r="H109" s="7" t="n">
        <f aca="false">IFERROR(AVERAGEIFS('Uczniowie (zanonimizowani)'!$I$2:$I$4580,'Uczniowie (zanonimizowani)'!$B$2:$B$4580,C109,'Uczniowie (zanonimizowani)'!$E$2:$E$4580,A109,'Uczniowie (zanonimizowani)'!$F$2:$F$4580,B109,'Uczniowie (zanonimizowani)'!$K$2:$K$4580,"NIE"),"")</f>
        <v>0.690459824296601</v>
      </c>
      <c r="I109" s="7" t="n">
        <f aca="false">IFERROR(H109-G109,"")</f>
        <v>0</v>
      </c>
    </row>
    <row r="110" customFormat="false" ht="15" hidden="false" customHeight="false" outlineLevel="0" collapsed="false">
      <c r="A110" s="5" t="s">
        <v>38</v>
      </c>
      <c r="B110" s="5" t="s">
        <v>39</v>
      </c>
      <c r="C110" s="5" t="s">
        <v>43</v>
      </c>
      <c r="D110" s="5" t="n">
        <f aca="false">COUNTIFS('Uczniowie (zanonimizowani)'!$B$2:$B$4580,C110,'Uczniowie (zanonimizowani)'!$E$2:$E$4580,A110,'Uczniowie (zanonimizowani)'!$F$2:$F$4580,B110)</f>
        <v>14</v>
      </c>
      <c r="E110" s="5" t="n">
        <f aca="false">COUNTIFS('Uczniowie (zanonimizowani)'!$B$2:$B$4580,C110,'Uczniowie (zanonimizowani)'!$E$2:$E$4580,A110,'Uczniowie (zanonimizowani)'!$F$2:$F$4580,B110,'Uczniowie (zanonimizowani)'!$K$2:$K$4580,"TAK")</f>
        <v>0</v>
      </c>
      <c r="F110" s="7" t="n">
        <f aca="false">IFERROR(E110/D110,"")</f>
        <v>0</v>
      </c>
      <c r="G110" s="7" t="n">
        <f aca="false">IFERROR(AVERAGEIFS('Uczniowie (zanonimizowani)'!$I$2:$I$4580,'Uczniowie (zanonimizowani)'!$B$2:$B$4580,C110,'Uczniowie (zanonimizowani)'!$E$2:$E$4580,A110,'Uczniowie (zanonimizowani)'!$F$2:$F$4580,B110),"")</f>
        <v>0.567368421052632</v>
      </c>
      <c r="H110" s="7" t="n">
        <f aca="false">IFERROR(AVERAGEIFS('Uczniowie (zanonimizowani)'!$I$2:$I$4580,'Uczniowie (zanonimizowani)'!$B$2:$B$4580,C110,'Uczniowie (zanonimizowani)'!$E$2:$E$4580,A110,'Uczniowie (zanonimizowani)'!$F$2:$F$4580,B110,'Uczniowie (zanonimizowani)'!$K$2:$K$4580,"NIE"),"")</f>
        <v>0.567368421052632</v>
      </c>
      <c r="I110" s="7" t="n">
        <f aca="false">IFERROR(H110-G110,"")</f>
        <v>0</v>
      </c>
    </row>
    <row r="111" customFormat="false" ht="15" hidden="false" customHeight="false" outlineLevel="0" collapsed="false">
      <c r="A111" s="5" t="s">
        <v>38</v>
      </c>
      <c r="B111" s="5" t="s">
        <v>40</v>
      </c>
      <c r="C111" s="5" t="s">
        <v>43</v>
      </c>
      <c r="D111" s="5" t="n">
        <f aca="false">COUNTIFS('Uczniowie (zanonimizowani)'!$B$2:$B$4580,C111,'Uczniowie (zanonimizowani)'!$E$2:$E$4580,A111,'Uczniowie (zanonimizowani)'!$F$2:$F$4580,B111)</f>
        <v>14</v>
      </c>
      <c r="E111" s="5" t="n">
        <f aca="false">COUNTIFS('Uczniowie (zanonimizowani)'!$B$2:$B$4580,C111,'Uczniowie (zanonimizowani)'!$E$2:$E$4580,A111,'Uczniowie (zanonimizowani)'!$F$2:$F$4580,B111,'Uczniowie (zanonimizowani)'!$K$2:$K$4580,"TAK")</f>
        <v>0</v>
      </c>
      <c r="F111" s="7" t="n">
        <f aca="false">IFERROR(E111/D111,"")</f>
        <v>0</v>
      </c>
      <c r="G111" s="7" t="n">
        <f aca="false">IFERROR(AVERAGEIFS('Uczniowie (zanonimizowani)'!$I$2:$I$4580,'Uczniowie (zanonimizowani)'!$B$2:$B$4580,C111,'Uczniowie (zanonimizowani)'!$E$2:$E$4580,A111,'Uczniowie (zanonimizowani)'!$F$2:$F$4580,B111),"")</f>
        <v>0.489714285714286</v>
      </c>
      <c r="H111" s="7" t="n">
        <f aca="false">IFERROR(AVERAGEIFS('Uczniowie (zanonimizowani)'!$I$2:$I$4580,'Uczniowie (zanonimizowani)'!$B$2:$B$4580,C111,'Uczniowie (zanonimizowani)'!$E$2:$E$4580,A111,'Uczniowie (zanonimizowani)'!$F$2:$F$4580,B111,'Uczniowie (zanonimizowani)'!$K$2:$K$4580,"NIE"),"")</f>
        <v>0.489714285714286</v>
      </c>
      <c r="I111" s="7" t="n">
        <f aca="false">IFERROR(H111-G111,"")</f>
        <v>0</v>
      </c>
    </row>
    <row r="112" customFormat="false" ht="15" hidden="false" customHeight="false" outlineLevel="0" collapsed="false">
      <c r="A112" s="5" t="s">
        <v>55</v>
      </c>
      <c r="B112" s="5" t="s">
        <v>39</v>
      </c>
      <c r="C112" s="5" t="s">
        <v>43</v>
      </c>
      <c r="D112" s="5" t="n">
        <f aca="false">COUNTIFS('Uczniowie (zanonimizowani)'!$B$2:$B$4580,C112,'Uczniowie (zanonimizowani)'!$E$2:$E$4580,A112,'Uczniowie (zanonimizowani)'!$F$2:$F$4580,B112)</f>
        <v>14</v>
      </c>
      <c r="E112" s="5" t="n">
        <f aca="false">COUNTIFS('Uczniowie (zanonimizowani)'!$B$2:$B$4580,C112,'Uczniowie (zanonimizowani)'!$E$2:$E$4580,A112,'Uczniowie (zanonimizowani)'!$F$2:$F$4580,B112,'Uczniowie (zanonimizowani)'!$K$2:$K$4580,"TAK")</f>
        <v>0</v>
      </c>
      <c r="F112" s="7" t="n">
        <f aca="false">IFERROR(E112/D112,"")</f>
        <v>0</v>
      </c>
      <c r="G112" s="7" t="n">
        <f aca="false">IFERROR(AVERAGEIFS('Uczniowie (zanonimizowani)'!$I$2:$I$4580,'Uczniowie (zanonimizowani)'!$B$2:$B$4580,C112,'Uczniowie (zanonimizowani)'!$E$2:$E$4580,A112,'Uczniowie (zanonimizowani)'!$F$2:$F$4580,B112),"")</f>
        <v>0.626521886272276</v>
      </c>
      <c r="H112" s="7" t="n">
        <f aca="false">IFERROR(AVERAGEIFS('Uczniowie (zanonimizowani)'!$I$2:$I$4580,'Uczniowie (zanonimizowani)'!$B$2:$B$4580,C112,'Uczniowie (zanonimizowani)'!$E$2:$E$4580,A112,'Uczniowie (zanonimizowani)'!$F$2:$F$4580,B112,'Uczniowie (zanonimizowani)'!$K$2:$K$4580,"NIE"),"")</f>
        <v>0.626521886272276</v>
      </c>
      <c r="I112" s="7" t="n">
        <f aca="false">IFERROR(H112-G112,"")</f>
        <v>0</v>
      </c>
    </row>
    <row r="113" customFormat="false" ht="15" hidden="false" customHeight="false" outlineLevel="0" collapsed="false">
      <c r="A113" s="5" t="s">
        <v>55</v>
      </c>
      <c r="B113" s="5" t="s">
        <v>40</v>
      </c>
      <c r="C113" s="5" t="s">
        <v>43</v>
      </c>
      <c r="D113" s="5" t="n">
        <f aca="false">COUNTIFS('Uczniowie (zanonimizowani)'!$B$2:$B$4580,C113,'Uczniowie (zanonimizowani)'!$E$2:$E$4580,A113,'Uczniowie (zanonimizowani)'!$F$2:$F$4580,B113)</f>
        <v>13</v>
      </c>
      <c r="E113" s="5" t="n">
        <f aca="false">COUNTIFS('Uczniowie (zanonimizowani)'!$B$2:$B$4580,C113,'Uczniowie (zanonimizowani)'!$E$2:$E$4580,A113,'Uczniowie (zanonimizowani)'!$F$2:$F$4580,B113,'Uczniowie (zanonimizowani)'!$K$2:$K$4580,"TAK")</f>
        <v>0</v>
      </c>
      <c r="F113" s="7" t="n">
        <f aca="false">IFERROR(E113/D113,"")</f>
        <v>0</v>
      </c>
      <c r="G113" s="7" t="n">
        <f aca="false">IFERROR(AVERAGEIFS('Uczniowie (zanonimizowani)'!$I$2:$I$4580,'Uczniowie (zanonimizowani)'!$B$2:$B$4580,C113,'Uczniowie (zanonimizowani)'!$E$2:$E$4580,A113,'Uczniowie (zanonimizowani)'!$F$2:$F$4580,B113),"")</f>
        <v>0.63240725871206</v>
      </c>
      <c r="H113" s="7" t="n">
        <f aca="false">IFERROR(AVERAGEIFS('Uczniowie (zanonimizowani)'!$I$2:$I$4580,'Uczniowie (zanonimizowani)'!$B$2:$B$4580,C113,'Uczniowie (zanonimizowani)'!$E$2:$E$4580,A113,'Uczniowie (zanonimizowani)'!$F$2:$F$4580,B113,'Uczniowie (zanonimizowani)'!$K$2:$K$4580,"NIE"),"")</f>
        <v>0.63240725871206</v>
      </c>
      <c r="I113" s="7" t="n">
        <f aca="false">IFERROR(H113-G113,"")</f>
        <v>0</v>
      </c>
    </row>
    <row r="114" customFormat="false" ht="15" hidden="false" customHeight="false" outlineLevel="0" collapsed="false">
      <c r="A114" s="5" t="s">
        <v>57</v>
      </c>
      <c r="B114" s="5" t="s">
        <v>39</v>
      </c>
      <c r="C114" s="5" t="s">
        <v>43</v>
      </c>
      <c r="D114" s="5" t="n">
        <f aca="false">COUNTIFS('Uczniowie (zanonimizowani)'!$B$2:$B$4580,C114,'Uczniowie (zanonimizowani)'!$E$2:$E$4580,A114,'Uczniowie (zanonimizowani)'!$F$2:$F$4580,B114)</f>
        <v>13</v>
      </c>
      <c r="E114" s="5" t="n">
        <f aca="false">COUNTIFS('Uczniowie (zanonimizowani)'!$B$2:$B$4580,C114,'Uczniowie (zanonimizowani)'!$E$2:$E$4580,A114,'Uczniowie (zanonimizowani)'!$F$2:$F$4580,B114,'Uczniowie (zanonimizowani)'!$K$2:$K$4580,"TAK")</f>
        <v>0</v>
      </c>
      <c r="F114" s="7" t="n">
        <f aca="false">IFERROR(E114/D114,"")</f>
        <v>0</v>
      </c>
      <c r="G114" s="7" t="n">
        <f aca="false">IFERROR(AVERAGEIFS('Uczniowie (zanonimizowani)'!$I$2:$I$4580,'Uczniowie (zanonimizowani)'!$B$2:$B$4580,C114,'Uczniowie (zanonimizowani)'!$E$2:$E$4580,A114,'Uczniowie (zanonimizowani)'!$F$2:$F$4580,B114),"")</f>
        <v>0.618179398456215</v>
      </c>
      <c r="H114" s="7" t="n">
        <f aca="false">IFERROR(AVERAGEIFS('Uczniowie (zanonimizowani)'!$I$2:$I$4580,'Uczniowie (zanonimizowani)'!$B$2:$B$4580,C114,'Uczniowie (zanonimizowani)'!$E$2:$E$4580,A114,'Uczniowie (zanonimizowani)'!$F$2:$F$4580,B114,'Uczniowie (zanonimizowani)'!$K$2:$K$4580,"NIE"),"")</f>
        <v>0.618179398456215</v>
      </c>
      <c r="I114" s="7" t="n">
        <f aca="false">IFERROR(H114-G114,"")</f>
        <v>0</v>
      </c>
    </row>
    <row r="115" customFormat="false" ht="15" hidden="false" customHeight="false" outlineLevel="0" collapsed="false">
      <c r="A115" s="5" t="s">
        <v>57</v>
      </c>
      <c r="B115" s="5" t="s">
        <v>40</v>
      </c>
      <c r="C115" s="5" t="s">
        <v>43</v>
      </c>
      <c r="D115" s="5" t="n">
        <f aca="false">COUNTIFS('Uczniowie (zanonimizowani)'!$B$2:$B$4580,C115,'Uczniowie (zanonimizowani)'!$E$2:$E$4580,A115,'Uczniowie (zanonimizowani)'!$F$2:$F$4580,B115)</f>
        <v>13</v>
      </c>
      <c r="E115" s="5" t="n">
        <f aca="false">COUNTIFS('Uczniowie (zanonimizowani)'!$B$2:$B$4580,C115,'Uczniowie (zanonimizowani)'!$E$2:$E$4580,A115,'Uczniowie (zanonimizowani)'!$F$2:$F$4580,B115,'Uczniowie (zanonimizowani)'!$K$2:$K$4580,"TAK")</f>
        <v>0</v>
      </c>
      <c r="F115" s="7" t="n">
        <f aca="false">IFERROR(E115/D115,"")</f>
        <v>0</v>
      </c>
      <c r="G115" s="7" t="n">
        <f aca="false">IFERROR(AVERAGEIFS('Uczniowie (zanonimizowani)'!$I$2:$I$4580,'Uczniowie (zanonimizowani)'!$B$2:$B$4580,C115,'Uczniowie (zanonimizowani)'!$E$2:$E$4580,A115,'Uczniowie (zanonimizowani)'!$F$2:$F$4580,B115),"")</f>
        <v>0.587446153846154</v>
      </c>
      <c r="H115" s="7" t="n">
        <f aca="false">IFERROR(AVERAGEIFS('Uczniowie (zanonimizowani)'!$I$2:$I$4580,'Uczniowie (zanonimizowani)'!$B$2:$B$4580,C115,'Uczniowie (zanonimizowani)'!$E$2:$E$4580,A115,'Uczniowie (zanonimizowani)'!$F$2:$F$4580,B115,'Uczniowie (zanonimizowani)'!$K$2:$K$4580,"NIE"),"")</f>
        <v>0.587446153846154</v>
      </c>
      <c r="I115" s="7" t="n">
        <f aca="false">IFERROR(H115-G115,"")</f>
        <v>0</v>
      </c>
    </row>
    <row r="116" customFormat="false" ht="15" hidden="false" customHeight="false" outlineLevel="0" collapsed="false">
      <c r="A116" s="5" t="s">
        <v>89</v>
      </c>
      <c r="B116" s="5" t="s">
        <v>39</v>
      </c>
      <c r="C116" s="5" t="s">
        <v>43</v>
      </c>
      <c r="D116" s="5" t="n">
        <f aca="false">COUNTIFS('Uczniowie (zanonimizowani)'!$B$2:$B$4580,C116,'Uczniowie (zanonimizowani)'!$E$2:$E$4580,A116,'Uczniowie (zanonimizowani)'!$F$2:$F$4580,B116)</f>
        <v>23</v>
      </c>
      <c r="E116" s="5" t="n">
        <f aca="false">COUNTIFS('Uczniowie (zanonimizowani)'!$B$2:$B$4580,C116,'Uczniowie (zanonimizowani)'!$E$2:$E$4580,A116,'Uczniowie (zanonimizowani)'!$F$2:$F$4580,B116,'Uczniowie (zanonimizowani)'!$K$2:$K$4580,"TAK")</f>
        <v>2</v>
      </c>
      <c r="F116" s="7" t="n">
        <f aca="false">IFERROR(E116/D116,"")</f>
        <v>0.0869565217391304</v>
      </c>
      <c r="G116" s="7" t="n">
        <f aca="false">IFERROR(AVERAGEIFS('Uczniowie (zanonimizowani)'!$I$2:$I$4580,'Uczniowie (zanonimizowani)'!$B$2:$B$4580,C116,'Uczniowie (zanonimizowani)'!$E$2:$E$4580,A116,'Uczniowie (zanonimizowani)'!$F$2:$F$4580,B116),"")</f>
        <v>0.625461886781121</v>
      </c>
      <c r="H116" s="7" t="n">
        <f aca="false">IFERROR(AVERAGEIFS('Uczniowie (zanonimizowani)'!$I$2:$I$4580,'Uczniowie (zanonimizowani)'!$B$2:$B$4580,C116,'Uczniowie (zanonimizowani)'!$E$2:$E$4580,A116,'Uczniowie (zanonimizowani)'!$F$2:$F$4580,B116,'Uczniowie (zanonimizowani)'!$K$2:$K$4580,"NIE"),"")</f>
        <v>0.683371839547969</v>
      </c>
      <c r="I116" s="7" t="n">
        <f aca="false">IFERROR(H116-G116,"")</f>
        <v>0.0579099527668485</v>
      </c>
    </row>
    <row r="117" customFormat="false" ht="15" hidden="false" customHeight="false" outlineLevel="0" collapsed="false">
      <c r="A117" s="5" t="s">
        <v>89</v>
      </c>
      <c r="B117" s="5" t="s">
        <v>40</v>
      </c>
      <c r="C117" s="5" t="s">
        <v>43</v>
      </c>
      <c r="D117" s="5" t="n">
        <f aca="false">COUNTIFS('Uczniowie (zanonimizowani)'!$B$2:$B$4580,C117,'Uczniowie (zanonimizowani)'!$E$2:$E$4580,A117,'Uczniowie (zanonimizowani)'!$F$2:$F$4580,B117)</f>
        <v>24</v>
      </c>
      <c r="E117" s="5" t="n">
        <f aca="false">COUNTIFS('Uczniowie (zanonimizowani)'!$B$2:$B$4580,C117,'Uczniowie (zanonimizowani)'!$E$2:$E$4580,A117,'Uczniowie (zanonimizowani)'!$F$2:$F$4580,B117,'Uczniowie (zanonimizowani)'!$K$2:$K$4580,"TAK")</f>
        <v>1</v>
      </c>
      <c r="F117" s="7" t="n">
        <f aca="false">IFERROR(E117/D117,"")</f>
        <v>0.0416666666666667</v>
      </c>
      <c r="G117" s="7" t="n">
        <f aca="false">IFERROR(AVERAGEIFS('Uczniowie (zanonimizowani)'!$I$2:$I$4580,'Uczniowie (zanonimizowani)'!$B$2:$B$4580,C117,'Uczniowie (zanonimizowani)'!$E$2:$E$4580,A117,'Uczniowie (zanonimizowani)'!$F$2:$F$4580,B117),"")</f>
        <v>0.522140009531361</v>
      </c>
      <c r="H117" s="7" t="n">
        <f aca="false">IFERROR(AVERAGEIFS('Uczniowie (zanonimizowani)'!$I$2:$I$4580,'Uczniowie (zanonimizowani)'!$B$2:$B$4580,C117,'Uczniowie (zanonimizowani)'!$E$2:$E$4580,A117,'Uczniowie (zanonimizowani)'!$F$2:$F$4580,B117,'Uczniowie (zanonimizowani)'!$K$2:$K$4580,"NIE"),"")</f>
        <v>0.544841749076203</v>
      </c>
      <c r="I117" s="7" t="n">
        <f aca="false">IFERROR(H117-G117,"")</f>
        <v>0.0227017395448418</v>
      </c>
    </row>
    <row r="118" customFormat="false" ht="15" hidden="false" customHeight="false" outlineLevel="0" collapsed="false">
      <c r="A118" s="5" t="s">
        <v>46</v>
      </c>
      <c r="B118" s="5" t="s">
        <v>39</v>
      </c>
      <c r="C118" s="5" t="s">
        <v>50</v>
      </c>
      <c r="D118" s="5" t="n">
        <f aca="false">COUNTIFS('Uczniowie (zanonimizowani)'!$B$2:$B$4580,C118,'Uczniowie (zanonimizowani)'!$E$2:$E$4580,A118,'Uczniowie (zanonimizowani)'!$F$2:$F$4580,B118)</f>
        <v>23</v>
      </c>
      <c r="E118" s="5" t="n">
        <f aca="false">COUNTIFS('Uczniowie (zanonimizowani)'!$B$2:$B$4580,C118,'Uczniowie (zanonimizowani)'!$E$2:$E$4580,A118,'Uczniowie (zanonimizowani)'!$F$2:$F$4580,B118,'Uczniowie (zanonimizowani)'!$K$2:$K$4580,"TAK")</f>
        <v>3</v>
      </c>
      <c r="F118" s="7" t="n">
        <f aca="false">IFERROR(E118/D118,"")</f>
        <v>0.130434782608696</v>
      </c>
      <c r="G118" s="7" t="n">
        <f aca="false">IFERROR(AVERAGEIFS('Uczniowie (zanonimizowani)'!$I$2:$I$4580,'Uczniowie (zanonimizowani)'!$B$2:$B$4580,C118,'Uczniowie (zanonimizowani)'!$E$2:$E$4580,A118,'Uczniowie (zanonimizowani)'!$F$2:$F$4580,B118),"")</f>
        <v>0.66740663113665</v>
      </c>
      <c r="H118" s="7" t="n">
        <f aca="false">IFERROR(AVERAGEIFS('Uczniowie (zanonimizowani)'!$I$2:$I$4580,'Uczniowie (zanonimizowani)'!$B$2:$B$4580,C118,'Uczniowie (zanonimizowani)'!$E$2:$E$4580,A118,'Uczniowie (zanonimizowani)'!$F$2:$F$4580,B118,'Uczniowie (zanonimizowani)'!$K$2:$K$4580,"NIE"),"")</f>
        <v>0.738316078241059</v>
      </c>
      <c r="I118" s="7" t="n">
        <f aca="false">IFERROR(H118-G118,"")</f>
        <v>0.0709094471044092</v>
      </c>
    </row>
    <row r="119" customFormat="false" ht="15" hidden="false" customHeight="false" outlineLevel="0" collapsed="false">
      <c r="A119" s="5" t="s">
        <v>46</v>
      </c>
      <c r="B119" s="5" t="s">
        <v>40</v>
      </c>
      <c r="C119" s="5" t="s">
        <v>50</v>
      </c>
      <c r="D119" s="5" t="n">
        <f aca="false">COUNTIFS('Uczniowie (zanonimizowani)'!$B$2:$B$4580,C119,'Uczniowie (zanonimizowani)'!$E$2:$E$4580,A119,'Uczniowie (zanonimizowani)'!$F$2:$F$4580,B119)</f>
        <v>23</v>
      </c>
      <c r="E119" s="5" t="n">
        <f aca="false">COUNTIFS('Uczniowie (zanonimizowani)'!$B$2:$B$4580,C119,'Uczniowie (zanonimizowani)'!$E$2:$E$4580,A119,'Uczniowie (zanonimizowani)'!$F$2:$F$4580,B119,'Uczniowie (zanonimizowani)'!$K$2:$K$4580,"TAK")</f>
        <v>2</v>
      </c>
      <c r="F119" s="7" t="n">
        <f aca="false">IFERROR(E119/D119,"")</f>
        <v>0.0869565217391304</v>
      </c>
      <c r="G119" s="7" t="n">
        <f aca="false">IFERROR(AVERAGEIFS('Uczniowie (zanonimizowani)'!$I$2:$I$4580,'Uczniowie (zanonimizowani)'!$B$2:$B$4580,C119,'Uczniowie (zanonimizowani)'!$E$2:$E$4580,A119,'Uczniowie (zanonimizowani)'!$F$2:$F$4580,B119),"")</f>
        <v>0.570624872951213</v>
      </c>
      <c r="H119" s="7" t="n">
        <f aca="false">IFERROR(AVERAGEIFS('Uczniowie (zanonimizowani)'!$I$2:$I$4580,'Uczniowie (zanonimizowani)'!$B$2:$B$4580,C119,'Uczniowie (zanonimizowani)'!$E$2:$E$4580,A119,'Uczniowie (zanonimizowani)'!$F$2:$F$4580,B119,'Uczniowie (zanonimizowani)'!$K$2:$K$4580,"NIE"),"")</f>
        <v>0.617604164207699</v>
      </c>
      <c r="I119" s="7" t="n">
        <f aca="false">IFERROR(H119-G119,"")</f>
        <v>0.0469792912564856</v>
      </c>
    </row>
    <row r="120" customFormat="false" ht="15" hidden="false" customHeight="false" outlineLevel="0" collapsed="false">
      <c r="A120" s="5" t="s">
        <v>75</v>
      </c>
      <c r="B120" s="5" t="s">
        <v>39</v>
      </c>
      <c r="C120" s="5" t="s">
        <v>50</v>
      </c>
      <c r="D120" s="5" t="n">
        <f aca="false">COUNTIFS('Uczniowie (zanonimizowani)'!$B$2:$B$4580,C120,'Uczniowie (zanonimizowani)'!$E$2:$E$4580,A120,'Uczniowie (zanonimizowani)'!$F$2:$F$4580,B120)</f>
        <v>30</v>
      </c>
      <c r="E120" s="5" t="n">
        <f aca="false">COUNTIFS('Uczniowie (zanonimizowani)'!$B$2:$B$4580,C120,'Uczniowie (zanonimizowani)'!$E$2:$E$4580,A120,'Uczniowie (zanonimizowani)'!$F$2:$F$4580,B120,'Uczniowie (zanonimizowani)'!$K$2:$K$4580,"TAK")</f>
        <v>0</v>
      </c>
      <c r="F120" s="7" t="n">
        <f aca="false">IFERROR(E120/D120,"")</f>
        <v>0</v>
      </c>
      <c r="G120" s="7" t="n">
        <f aca="false">IFERROR(AVERAGEIFS('Uczniowie (zanonimizowani)'!$I$2:$I$4580,'Uczniowie (zanonimizowani)'!$B$2:$B$4580,C120,'Uczniowie (zanonimizowani)'!$E$2:$E$4580,A120,'Uczniowie (zanonimizowani)'!$F$2:$F$4580,B120),"")</f>
        <v>0.695904582527001</v>
      </c>
      <c r="H120" s="7" t="n">
        <f aca="false">IFERROR(AVERAGEIFS('Uczniowie (zanonimizowani)'!$I$2:$I$4580,'Uczniowie (zanonimizowani)'!$B$2:$B$4580,C120,'Uczniowie (zanonimizowani)'!$E$2:$E$4580,A120,'Uczniowie (zanonimizowani)'!$F$2:$F$4580,B120,'Uczniowie (zanonimizowani)'!$K$2:$K$4580,"NIE"),"")</f>
        <v>0.695904582527001</v>
      </c>
      <c r="I120" s="7" t="n">
        <f aca="false">IFERROR(H120-G120,"")</f>
        <v>0</v>
      </c>
    </row>
    <row r="121" customFormat="false" ht="15" hidden="false" customHeight="false" outlineLevel="0" collapsed="false">
      <c r="A121" s="5" t="s">
        <v>75</v>
      </c>
      <c r="B121" s="5" t="s">
        <v>40</v>
      </c>
      <c r="C121" s="5" t="s">
        <v>50</v>
      </c>
      <c r="D121" s="5" t="n">
        <f aca="false">COUNTIFS('Uczniowie (zanonimizowani)'!$B$2:$B$4580,C121,'Uczniowie (zanonimizowani)'!$E$2:$E$4580,A121,'Uczniowie (zanonimizowani)'!$F$2:$F$4580,B121)</f>
        <v>31</v>
      </c>
      <c r="E121" s="5" t="n">
        <f aca="false">COUNTIFS('Uczniowie (zanonimizowani)'!$B$2:$B$4580,C121,'Uczniowie (zanonimizowani)'!$E$2:$E$4580,A121,'Uczniowie (zanonimizowani)'!$F$2:$F$4580,B121,'Uczniowie (zanonimizowani)'!$K$2:$K$4580,"TAK")</f>
        <v>0</v>
      </c>
      <c r="F121" s="7" t="n">
        <f aca="false">IFERROR(E121/D121,"")</f>
        <v>0</v>
      </c>
      <c r="G121" s="7" t="n">
        <f aca="false">IFERROR(AVERAGEIFS('Uczniowie (zanonimizowani)'!$I$2:$I$4580,'Uczniowie (zanonimizowani)'!$B$2:$B$4580,C121,'Uczniowie (zanonimizowani)'!$E$2:$E$4580,A121,'Uczniowie (zanonimizowani)'!$F$2:$F$4580,B121),"")</f>
        <v>0.56611830330216</v>
      </c>
      <c r="H121" s="7" t="n">
        <f aca="false">IFERROR(AVERAGEIFS('Uczniowie (zanonimizowani)'!$I$2:$I$4580,'Uczniowie (zanonimizowani)'!$B$2:$B$4580,C121,'Uczniowie (zanonimizowani)'!$E$2:$E$4580,A121,'Uczniowie (zanonimizowani)'!$F$2:$F$4580,B121,'Uczniowie (zanonimizowani)'!$K$2:$K$4580,"NIE"),"")</f>
        <v>0.56611830330216</v>
      </c>
      <c r="I121" s="7" t="n">
        <f aca="false">IFERROR(H121-G121,"")</f>
        <v>0</v>
      </c>
    </row>
    <row r="122" customFormat="false" ht="15" hidden="false" customHeight="false" outlineLevel="0" collapsed="false">
      <c r="A122" s="5" t="s">
        <v>46</v>
      </c>
      <c r="B122" s="5" t="s">
        <v>39</v>
      </c>
      <c r="C122" s="5" t="s">
        <v>53</v>
      </c>
      <c r="D122" s="5" t="n">
        <f aca="false">COUNTIFS('Uczniowie (zanonimizowani)'!$B$2:$B$4580,C122,'Uczniowie (zanonimizowani)'!$E$2:$E$4580,A122,'Uczniowie (zanonimizowani)'!$F$2:$F$4580,B122)</f>
        <v>30</v>
      </c>
      <c r="E122" s="5" t="n">
        <f aca="false">COUNTIFS('Uczniowie (zanonimizowani)'!$B$2:$B$4580,C122,'Uczniowie (zanonimizowani)'!$E$2:$E$4580,A122,'Uczniowie (zanonimizowani)'!$F$2:$F$4580,B122,'Uczniowie (zanonimizowani)'!$K$2:$K$4580,"TAK")</f>
        <v>1</v>
      </c>
      <c r="F122" s="7" t="n">
        <f aca="false">IFERROR(E122/D122,"")</f>
        <v>0.0333333333333333</v>
      </c>
      <c r="G122" s="7" t="n">
        <f aca="false">IFERROR(AVERAGEIFS('Uczniowie (zanonimizowani)'!$I$2:$I$4580,'Uczniowie (zanonimizowani)'!$B$2:$B$4580,C122,'Uczniowie (zanonimizowani)'!$E$2:$E$4580,A122,'Uczniowie (zanonimizowani)'!$F$2:$F$4580,B122),"")</f>
        <v>0.733591767702168</v>
      </c>
      <c r="H122" s="7" t="n">
        <f aca="false">IFERROR(AVERAGEIFS('Uczniowie (zanonimizowani)'!$I$2:$I$4580,'Uczniowie (zanonimizowani)'!$B$2:$B$4580,C122,'Uczniowie (zanonimizowani)'!$E$2:$E$4580,A122,'Uczniowie (zanonimizowani)'!$F$2:$F$4580,B122,'Uczniowie (zanonimizowani)'!$K$2:$K$4580,"NIE"),"")</f>
        <v>0.745366370730403</v>
      </c>
      <c r="I122" s="7" t="n">
        <f aca="false">IFERROR(H122-G122,"")</f>
        <v>0.0117746030282341</v>
      </c>
    </row>
    <row r="123" customFormat="false" ht="15" hidden="false" customHeight="false" outlineLevel="0" collapsed="false">
      <c r="A123" s="5" t="s">
        <v>46</v>
      </c>
      <c r="B123" s="5" t="s">
        <v>40</v>
      </c>
      <c r="C123" s="5" t="s">
        <v>53</v>
      </c>
      <c r="D123" s="5" t="n">
        <f aca="false">COUNTIFS('Uczniowie (zanonimizowani)'!$B$2:$B$4580,C123,'Uczniowie (zanonimizowani)'!$E$2:$E$4580,A123,'Uczniowie (zanonimizowani)'!$F$2:$F$4580,B123)</f>
        <v>30</v>
      </c>
      <c r="E123" s="5" t="n">
        <f aca="false">COUNTIFS('Uczniowie (zanonimizowani)'!$B$2:$B$4580,C123,'Uczniowie (zanonimizowani)'!$E$2:$E$4580,A123,'Uczniowie (zanonimizowani)'!$F$2:$F$4580,B123,'Uczniowie (zanonimizowani)'!$K$2:$K$4580,"TAK")</f>
        <v>2</v>
      </c>
      <c r="F123" s="7" t="n">
        <f aca="false">IFERROR(E123/D123,"")</f>
        <v>0.0666666666666667</v>
      </c>
      <c r="G123" s="7" t="n">
        <f aca="false">IFERROR(AVERAGEIFS('Uczniowie (zanonimizowani)'!$I$2:$I$4580,'Uczniowie (zanonimizowani)'!$B$2:$B$4580,C123,'Uczniowie (zanonimizowani)'!$E$2:$E$4580,A123,'Uczniowie (zanonimizowani)'!$F$2:$F$4580,B123),"")</f>
        <v>0.652643403023234</v>
      </c>
      <c r="H123" s="7" t="n">
        <f aca="false">IFERROR(AVERAGEIFS('Uczniowie (zanonimizowani)'!$I$2:$I$4580,'Uczniowie (zanonimizowani)'!$B$2:$B$4580,C123,'Uczniowie (zanonimizowani)'!$E$2:$E$4580,A123,'Uczniowie (zanonimizowani)'!$F$2:$F$4580,B123,'Uczniowie (zanonimizowani)'!$K$2:$K$4580,"NIE"),"")</f>
        <v>0.675535491393317</v>
      </c>
      <c r="I123" s="7" t="n">
        <f aca="false">IFERROR(H123-G123,"")</f>
        <v>0.0228920883700829</v>
      </c>
    </row>
    <row r="124" customFormat="false" ht="15" hidden="false" customHeight="false" outlineLevel="0" collapsed="false">
      <c r="A124" s="5" t="s">
        <v>57</v>
      </c>
      <c r="B124" s="5" t="s">
        <v>39</v>
      </c>
      <c r="C124" s="5" t="s">
        <v>53</v>
      </c>
      <c r="D124" s="5" t="n">
        <f aca="false">COUNTIFS('Uczniowie (zanonimizowani)'!$B$2:$B$4580,C124,'Uczniowie (zanonimizowani)'!$E$2:$E$4580,A124,'Uczniowie (zanonimizowani)'!$F$2:$F$4580,B124)</f>
        <v>26</v>
      </c>
      <c r="E124" s="5" t="n">
        <f aca="false">COUNTIFS('Uczniowie (zanonimizowani)'!$B$2:$B$4580,C124,'Uczniowie (zanonimizowani)'!$E$2:$E$4580,A124,'Uczniowie (zanonimizowani)'!$F$2:$F$4580,B124,'Uczniowie (zanonimizowani)'!$K$2:$K$4580,"TAK")</f>
        <v>1</v>
      </c>
      <c r="F124" s="7" t="n">
        <f aca="false">IFERROR(E124/D124,"")</f>
        <v>0.0384615384615385</v>
      </c>
      <c r="G124" s="7" t="n">
        <f aca="false">IFERROR(AVERAGEIFS('Uczniowie (zanonimizowani)'!$I$2:$I$4580,'Uczniowie (zanonimizowani)'!$B$2:$B$4580,C124,'Uczniowie (zanonimizowani)'!$E$2:$E$4580,A124,'Uczniowie (zanonimizowani)'!$F$2:$F$4580,B124),"")</f>
        <v>0.769723658264995</v>
      </c>
      <c r="H124" s="7" t="n">
        <f aca="false">IFERROR(AVERAGEIFS('Uczniowie (zanonimizowani)'!$I$2:$I$4580,'Uczniowie (zanonimizowani)'!$B$2:$B$4580,C124,'Uczniowie (zanonimizowani)'!$E$2:$E$4580,A124,'Uczniowie (zanonimizowani)'!$F$2:$F$4580,B124,'Uczniowie (zanonimizowani)'!$K$2:$K$4580,"NIE"),"")</f>
        <v>0.792738309924749</v>
      </c>
      <c r="I124" s="7" t="n">
        <f aca="false">IFERROR(H124-G124,"")</f>
        <v>0.0230146516597535</v>
      </c>
    </row>
    <row r="125" customFormat="false" ht="15" hidden="false" customHeight="false" outlineLevel="0" collapsed="false">
      <c r="A125" s="5" t="s">
        <v>57</v>
      </c>
      <c r="B125" s="5" t="s">
        <v>40</v>
      </c>
      <c r="C125" s="5" t="s">
        <v>53</v>
      </c>
      <c r="D125" s="5" t="n">
        <f aca="false">COUNTIFS('Uczniowie (zanonimizowani)'!$B$2:$B$4580,C125,'Uczniowie (zanonimizowani)'!$E$2:$E$4580,A125,'Uczniowie (zanonimizowani)'!$F$2:$F$4580,B125)</f>
        <v>26</v>
      </c>
      <c r="E125" s="5" t="n">
        <f aca="false">COUNTIFS('Uczniowie (zanonimizowani)'!$B$2:$B$4580,C125,'Uczniowie (zanonimizowani)'!$E$2:$E$4580,A125,'Uczniowie (zanonimizowani)'!$F$2:$F$4580,B125,'Uczniowie (zanonimizowani)'!$K$2:$K$4580,"TAK")</f>
        <v>0</v>
      </c>
      <c r="F125" s="7" t="n">
        <f aca="false">IFERROR(E125/D125,"")</f>
        <v>0</v>
      </c>
      <c r="G125" s="7" t="n">
        <f aca="false">IFERROR(AVERAGEIFS('Uczniowie (zanonimizowani)'!$I$2:$I$4580,'Uczniowie (zanonimizowani)'!$B$2:$B$4580,C125,'Uczniowie (zanonimizowani)'!$E$2:$E$4580,A125,'Uczniowie (zanonimizowani)'!$F$2:$F$4580,B125),"")</f>
        <v>0.657533856814281</v>
      </c>
      <c r="H125" s="7" t="n">
        <f aca="false">IFERROR(AVERAGEIFS('Uczniowie (zanonimizowani)'!$I$2:$I$4580,'Uczniowie (zanonimizowani)'!$B$2:$B$4580,C125,'Uczniowie (zanonimizowani)'!$E$2:$E$4580,A125,'Uczniowie (zanonimizowani)'!$F$2:$F$4580,B125,'Uczniowie (zanonimizowani)'!$K$2:$K$4580,"NIE"),"")</f>
        <v>0.657533856814281</v>
      </c>
      <c r="I125" s="7" t="n">
        <f aca="false">IFERROR(H125-G125,"")</f>
        <v>0</v>
      </c>
    </row>
    <row r="126" customFormat="false" ht="15" hidden="false" customHeight="false" outlineLevel="0" collapsed="false">
      <c r="A126" s="5" t="s">
        <v>46</v>
      </c>
      <c r="B126" s="5" t="s">
        <v>39</v>
      </c>
      <c r="C126" s="5" t="s">
        <v>60</v>
      </c>
      <c r="D126" s="5" t="n">
        <f aca="false">COUNTIFS('Uczniowie (zanonimizowani)'!$B$2:$B$4580,C126,'Uczniowie (zanonimizowani)'!$E$2:$E$4580,A126,'Uczniowie (zanonimizowani)'!$F$2:$F$4580,B126)</f>
        <v>22</v>
      </c>
      <c r="E126" s="5" t="n">
        <f aca="false">COUNTIFS('Uczniowie (zanonimizowani)'!$B$2:$B$4580,C126,'Uczniowie (zanonimizowani)'!$E$2:$E$4580,A126,'Uczniowie (zanonimizowani)'!$F$2:$F$4580,B126,'Uczniowie (zanonimizowani)'!$K$2:$K$4580,"TAK")</f>
        <v>0</v>
      </c>
      <c r="F126" s="7" t="n">
        <f aca="false">IFERROR(E126/D126,"")</f>
        <v>0</v>
      </c>
      <c r="G126" s="7" t="n">
        <f aca="false">IFERROR(AVERAGEIFS('Uczniowie (zanonimizowani)'!$I$2:$I$4580,'Uczniowie (zanonimizowani)'!$B$2:$B$4580,C126,'Uczniowie (zanonimizowani)'!$E$2:$E$4580,A126,'Uczniowie (zanonimizowani)'!$F$2:$F$4580,B126),"")</f>
        <v>0.807766701383723</v>
      </c>
      <c r="H126" s="7" t="n">
        <f aca="false">IFERROR(AVERAGEIFS('Uczniowie (zanonimizowani)'!$I$2:$I$4580,'Uczniowie (zanonimizowani)'!$B$2:$B$4580,C126,'Uczniowie (zanonimizowani)'!$E$2:$E$4580,A126,'Uczniowie (zanonimizowani)'!$F$2:$F$4580,B126,'Uczniowie (zanonimizowani)'!$K$2:$K$4580,"NIE"),"")</f>
        <v>0.807766701383723</v>
      </c>
      <c r="I126" s="7" t="n">
        <f aca="false">IFERROR(H126-G126,"")</f>
        <v>0</v>
      </c>
    </row>
    <row r="127" customFormat="false" ht="15" hidden="false" customHeight="false" outlineLevel="0" collapsed="false">
      <c r="A127" s="5" t="s">
        <v>46</v>
      </c>
      <c r="B127" s="5" t="s">
        <v>40</v>
      </c>
      <c r="C127" s="5" t="s">
        <v>60</v>
      </c>
      <c r="D127" s="5" t="n">
        <f aca="false">COUNTIFS('Uczniowie (zanonimizowani)'!$B$2:$B$4580,C127,'Uczniowie (zanonimizowani)'!$E$2:$E$4580,A127,'Uczniowie (zanonimizowani)'!$F$2:$F$4580,B127)</f>
        <v>22</v>
      </c>
      <c r="E127" s="5" t="n">
        <f aca="false">COUNTIFS('Uczniowie (zanonimizowani)'!$B$2:$B$4580,C127,'Uczniowie (zanonimizowani)'!$E$2:$E$4580,A127,'Uczniowie (zanonimizowani)'!$F$2:$F$4580,B127,'Uczniowie (zanonimizowani)'!$K$2:$K$4580,"TAK")</f>
        <v>1</v>
      </c>
      <c r="F127" s="7" t="n">
        <f aca="false">IFERROR(E127/D127,"")</f>
        <v>0.0454545454545455</v>
      </c>
      <c r="G127" s="7" t="n">
        <f aca="false">IFERROR(AVERAGEIFS('Uczniowie (zanonimizowani)'!$I$2:$I$4580,'Uczniowie (zanonimizowani)'!$B$2:$B$4580,C127,'Uczniowie (zanonimizowani)'!$E$2:$E$4580,A127,'Uczniowie (zanonimizowani)'!$F$2:$F$4580,B127),"")</f>
        <v>0.712858153519632</v>
      </c>
      <c r="H127" s="7" t="n">
        <f aca="false">IFERROR(AVERAGEIFS('Uczniowie (zanonimizowani)'!$I$2:$I$4580,'Uczniowie (zanonimizowani)'!$B$2:$B$4580,C127,'Uczniowie (zanonimizowani)'!$E$2:$E$4580,A127,'Uczniowie (zanonimizowani)'!$F$2:$F$4580,B127,'Uczniowie (zanonimizowani)'!$K$2:$K$4580,"NIE"),"")</f>
        <v>0.724569205113952</v>
      </c>
      <c r="I127" s="7" t="n">
        <f aca="false">IFERROR(H127-G127,"")</f>
        <v>0.0117110515943202</v>
      </c>
    </row>
    <row r="128" customFormat="false" ht="15" hidden="false" customHeight="false" outlineLevel="0" collapsed="false">
      <c r="A128" s="5" t="s">
        <v>55</v>
      </c>
      <c r="B128" s="5" t="s">
        <v>39</v>
      </c>
      <c r="C128" s="5" t="s">
        <v>60</v>
      </c>
      <c r="D128" s="5" t="n">
        <f aca="false">COUNTIFS('Uczniowie (zanonimizowani)'!$B$2:$B$4580,C128,'Uczniowie (zanonimizowani)'!$E$2:$E$4580,A128,'Uczniowie (zanonimizowani)'!$F$2:$F$4580,B128)</f>
        <v>19</v>
      </c>
      <c r="E128" s="5" t="n">
        <f aca="false">COUNTIFS('Uczniowie (zanonimizowani)'!$B$2:$B$4580,C128,'Uczniowie (zanonimizowani)'!$E$2:$E$4580,A128,'Uczniowie (zanonimizowani)'!$F$2:$F$4580,B128,'Uczniowie (zanonimizowani)'!$K$2:$K$4580,"TAK")</f>
        <v>1</v>
      </c>
      <c r="F128" s="7" t="n">
        <f aca="false">IFERROR(E128/D128,"")</f>
        <v>0.0526315789473684</v>
      </c>
      <c r="G128" s="7" t="n">
        <f aca="false">IFERROR(AVERAGEIFS('Uczniowie (zanonimizowani)'!$I$2:$I$4580,'Uczniowie (zanonimizowani)'!$B$2:$B$4580,C128,'Uczniowie (zanonimizowani)'!$E$2:$E$4580,A128,'Uczniowie (zanonimizowani)'!$F$2:$F$4580,B128),"")</f>
        <v>0.778499462794336</v>
      </c>
      <c r="H128" s="7" t="n">
        <f aca="false">IFERROR(AVERAGEIFS('Uczniowie (zanonimizowani)'!$I$2:$I$4580,'Uczniowie (zanonimizowani)'!$B$2:$B$4580,C128,'Uczniowie (zanonimizowani)'!$E$2:$E$4580,A128,'Uczniowie (zanonimizowani)'!$F$2:$F$4580,B128,'Uczniowie (zanonimizowani)'!$K$2:$K$4580,"NIE"),"")</f>
        <v>0.78971436297824</v>
      </c>
      <c r="I128" s="7" t="n">
        <f aca="false">IFERROR(H128-G128,"")</f>
        <v>0.0112149001839038</v>
      </c>
    </row>
    <row r="129" customFormat="false" ht="15" hidden="false" customHeight="false" outlineLevel="0" collapsed="false">
      <c r="A129" s="5" t="s">
        <v>55</v>
      </c>
      <c r="B129" s="5" t="s">
        <v>40</v>
      </c>
      <c r="C129" s="5" t="s">
        <v>60</v>
      </c>
      <c r="D129" s="5" t="n">
        <f aca="false">COUNTIFS('Uczniowie (zanonimizowani)'!$B$2:$B$4580,C129,'Uczniowie (zanonimizowani)'!$E$2:$E$4580,A129,'Uczniowie (zanonimizowani)'!$F$2:$F$4580,B129)</f>
        <v>19</v>
      </c>
      <c r="E129" s="5" t="n">
        <f aca="false">COUNTIFS('Uczniowie (zanonimizowani)'!$B$2:$B$4580,C129,'Uczniowie (zanonimizowani)'!$E$2:$E$4580,A129,'Uczniowie (zanonimizowani)'!$F$2:$F$4580,B129,'Uczniowie (zanonimizowani)'!$K$2:$K$4580,"TAK")</f>
        <v>0</v>
      </c>
      <c r="F129" s="7" t="n">
        <f aca="false">IFERROR(E129/D129,"")</f>
        <v>0</v>
      </c>
      <c r="G129" s="7" t="n">
        <f aca="false">IFERROR(AVERAGEIFS('Uczniowie (zanonimizowani)'!$I$2:$I$4580,'Uczniowie (zanonimizowani)'!$B$2:$B$4580,C129,'Uczniowie (zanonimizowani)'!$E$2:$E$4580,A129,'Uczniowie (zanonimizowani)'!$F$2:$F$4580,B129),"")</f>
        <v>0.606342992251038</v>
      </c>
      <c r="H129" s="7" t="n">
        <f aca="false">IFERROR(AVERAGEIFS('Uczniowie (zanonimizowani)'!$I$2:$I$4580,'Uczniowie (zanonimizowani)'!$B$2:$B$4580,C129,'Uczniowie (zanonimizowani)'!$E$2:$E$4580,A129,'Uczniowie (zanonimizowani)'!$F$2:$F$4580,B129,'Uczniowie (zanonimizowani)'!$K$2:$K$4580,"NIE"),"")</f>
        <v>0.606342992251038</v>
      </c>
      <c r="I129" s="7" t="n">
        <f aca="false">IFERROR(H129-G129,"")</f>
        <v>0</v>
      </c>
    </row>
    <row r="130" customFormat="false" ht="15" hidden="false" customHeight="false" outlineLevel="0" collapsed="false">
      <c r="A130" s="5" t="s">
        <v>57</v>
      </c>
      <c r="B130" s="5" t="s">
        <v>39</v>
      </c>
      <c r="C130" s="5" t="s">
        <v>60</v>
      </c>
      <c r="D130" s="5" t="n">
        <f aca="false">COUNTIFS('Uczniowie (zanonimizowani)'!$B$2:$B$4580,C130,'Uczniowie (zanonimizowani)'!$E$2:$E$4580,A130,'Uczniowie (zanonimizowani)'!$F$2:$F$4580,B130)</f>
        <v>23</v>
      </c>
      <c r="E130" s="5" t="n">
        <f aca="false">COUNTIFS('Uczniowie (zanonimizowani)'!$B$2:$B$4580,C130,'Uczniowie (zanonimizowani)'!$E$2:$E$4580,A130,'Uczniowie (zanonimizowani)'!$F$2:$F$4580,B130,'Uczniowie (zanonimizowani)'!$K$2:$K$4580,"TAK")</f>
        <v>1</v>
      </c>
      <c r="F130" s="7" t="n">
        <f aca="false">IFERROR(E130/D130,"")</f>
        <v>0.0434782608695652</v>
      </c>
      <c r="G130" s="7" t="n">
        <f aca="false">IFERROR(AVERAGEIFS('Uczniowie (zanonimizowani)'!$I$2:$I$4580,'Uczniowie (zanonimizowani)'!$B$2:$B$4580,C130,'Uczniowie (zanonimizowani)'!$E$2:$E$4580,A130,'Uczniowie (zanonimizowani)'!$F$2:$F$4580,B130),"")</f>
        <v>0.774163647074698</v>
      </c>
      <c r="H130" s="7" t="n">
        <f aca="false">IFERROR(AVERAGEIFS('Uczniowie (zanonimizowani)'!$I$2:$I$4580,'Uczniowie (zanonimizowani)'!$B$2:$B$4580,C130,'Uczniowie (zanonimizowani)'!$E$2:$E$4580,A130,'Uczniowie (zanonimizowani)'!$F$2:$F$4580,B130,'Uczniowie (zanonimizowani)'!$K$2:$K$4580,"NIE"),"")</f>
        <v>0.785831980238988</v>
      </c>
      <c r="I130" s="7" t="n">
        <f aca="false">IFERROR(H130-G130,"")</f>
        <v>0.0116683331642899</v>
      </c>
    </row>
    <row r="131" customFormat="false" ht="15" hidden="false" customHeight="false" outlineLevel="0" collapsed="false">
      <c r="A131" s="5" t="s">
        <v>57</v>
      </c>
      <c r="B131" s="5" t="s">
        <v>40</v>
      </c>
      <c r="C131" s="5" t="s">
        <v>60</v>
      </c>
      <c r="D131" s="5" t="n">
        <f aca="false">COUNTIFS('Uczniowie (zanonimizowani)'!$B$2:$B$4580,C131,'Uczniowie (zanonimizowani)'!$E$2:$E$4580,A131,'Uczniowie (zanonimizowani)'!$F$2:$F$4580,B131)</f>
        <v>23</v>
      </c>
      <c r="E131" s="5" t="n">
        <f aca="false">COUNTIFS('Uczniowie (zanonimizowani)'!$B$2:$B$4580,C131,'Uczniowie (zanonimizowani)'!$E$2:$E$4580,A131,'Uczniowie (zanonimizowani)'!$F$2:$F$4580,B131,'Uczniowie (zanonimizowani)'!$K$2:$K$4580,"TAK")</f>
        <v>0</v>
      </c>
      <c r="F131" s="7" t="n">
        <f aca="false">IFERROR(E131/D131,"")</f>
        <v>0</v>
      </c>
      <c r="G131" s="7" t="n">
        <f aca="false">IFERROR(AVERAGEIFS('Uczniowie (zanonimizowani)'!$I$2:$I$4580,'Uczniowie (zanonimizowani)'!$B$2:$B$4580,C131,'Uczniowie (zanonimizowani)'!$E$2:$E$4580,A131,'Uczniowie (zanonimizowani)'!$F$2:$F$4580,B131),"")</f>
        <v>0.589769190998776</v>
      </c>
      <c r="H131" s="7" t="n">
        <f aca="false">IFERROR(AVERAGEIFS('Uczniowie (zanonimizowani)'!$I$2:$I$4580,'Uczniowie (zanonimizowani)'!$B$2:$B$4580,C131,'Uczniowie (zanonimizowani)'!$E$2:$E$4580,A131,'Uczniowie (zanonimizowani)'!$F$2:$F$4580,B131,'Uczniowie (zanonimizowani)'!$K$2:$K$4580,"NIE"),"")</f>
        <v>0.589769190998776</v>
      </c>
      <c r="I131" s="7" t="n">
        <f aca="false">IFERROR(H131-G131,"")</f>
        <v>0</v>
      </c>
    </row>
    <row r="132" customFormat="false" ht="15" hidden="false" customHeight="false" outlineLevel="0" collapsed="false">
      <c r="A132" s="5" t="s">
        <v>75</v>
      </c>
      <c r="B132" s="5" t="s">
        <v>39</v>
      </c>
      <c r="C132" s="5" t="s">
        <v>60</v>
      </c>
      <c r="D132" s="5" t="n">
        <f aca="false">COUNTIFS('Uczniowie (zanonimizowani)'!$B$2:$B$4580,C132,'Uczniowie (zanonimizowani)'!$E$2:$E$4580,A132,'Uczniowie (zanonimizowani)'!$F$2:$F$4580,B132)</f>
        <v>19</v>
      </c>
      <c r="E132" s="5" t="n">
        <f aca="false">COUNTIFS('Uczniowie (zanonimizowani)'!$B$2:$B$4580,C132,'Uczniowie (zanonimizowani)'!$E$2:$E$4580,A132,'Uczniowie (zanonimizowani)'!$F$2:$F$4580,B132,'Uczniowie (zanonimizowani)'!$K$2:$K$4580,"TAK")</f>
        <v>0</v>
      </c>
      <c r="F132" s="7" t="n">
        <f aca="false">IFERROR(E132/D132,"")</f>
        <v>0</v>
      </c>
      <c r="G132" s="7" t="n">
        <f aca="false">IFERROR(AVERAGEIFS('Uczniowie (zanonimizowani)'!$I$2:$I$4580,'Uczniowie (zanonimizowani)'!$B$2:$B$4580,C132,'Uczniowie (zanonimizowani)'!$E$2:$E$4580,A132,'Uczniowie (zanonimizowani)'!$F$2:$F$4580,B132),"")</f>
        <v>0.740409562638992</v>
      </c>
      <c r="H132" s="7" t="n">
        <f aca="false">IFERROR(AVERAGEIFS('Uczniowie (zanonimizowani)'!$I$2:$I$4580,'Uczniowie (zanonimizowani)'!$B$2:$B$4580,C132,'Uczniowie (zanonimizowani)'!$E$2:$E$4580,A132,'Uczniowie (zanonimizowani)'!$F$2:$F$4580,B132,'Uczniowie (zanonimizowani)'!$K$2:$K$4580,"NIE"),"")</f>
        <v>0.740409562638992</v>
      </c>
      <c r="I132" s="7" t="n">
        <f aca="false">IFERROR(H132-G132,"")</f>
        <v>0</v>
      </c>
    </row>
    <row r="133" customFormat="false" ht="15" hidden="false" customHeight="false" outlineLevel="0" collapsed="false">
      <c r="A133" s="5" t="s">
        <v>75</v>
      </c>
      <c r="B133" s="5" t="s">
        <v>40</v>
      </c>
      <c r="C133" s="5" t="s">
        <v>60</v>
      </c>
      <c r="D133" s="5" t="n">
        <f aca="false">COUNTIFS('Uczniowie (zanonimizowani)'!$B$2:$B$4580,C133,'Uczniowie (zanonimizowani)'!$E$2:$E$4580,A133,'Uczniowie (zanonimizowani)'!$F$2:$F$4580,B133)</f>
        <v>19</v>
      </c>
      <c r="E133" s="5" t="n">
        <f aca="false">COUNTIFS('Uczniowie (zanonimizowani)'!$B$2:$B$4580,C133,'Uczniowie (zanonimizowani)'!$E$2:$E$4580,A133,'Uczniowie (zanonimizowani)'!$F$2:$F$4580,B133,'Uczniowie (zanonimizowani)'!$K$2:$K$4580,"TAK")</f>
        <v>0</v>
      </c>
      <c r="F133" s="7" t="n">
        <f aca="false">IFERROR(E133/D133,"")</f>
        <v>0</v>
      </c>
      <c r="G133" s="7" t="n">
        <f aca="false">IFERROR(AVERAGEIFS('Uczniowie (zanonimizowani)'!$I$2:$I$4580,'Uczniowie (zanonimizowani)'!$B$2:$B$4580,C133,'Uczniowie (zanonimizowani)'!$E$2:$E$4580,A133,'Uczniowie (zanonimizowani)'!$F$2:$F$4580,B133),"")</f>
        <v>0.56929457535051</v>
      </c>
      <c r="H133" s="7" t="n">
        <f aca="false">IFERROR(AVERAGEIFS('Uczniowie (zanonimizowani)'!$I$2:$I$4580,'Uczniowie (zanonimizowani)'!$B$2:$B$4580,C133,'Uczniowie (zanonimizowani)'!$E$2:$E$4580,A133,'Uczniowie (zanonimizowani)'!$F$2:$F$4580,B133,'Uczniowie (zanonimizowani)'!$K$2:$K$4580,"NIE"),"")</f>
        <v>0.56929457535051</v>
      </c>
      <c r="I133" s="7" t="n">
        <f aca="false">IFERROR(H133-G133,"")</f>
        <v>0</v>
      </c>
    </row>
    <row r="134" customFormat="false" ht="15" hidden="false" customHeight="false" outlineLevel="0" collapsed="false">
      <c r="A134" s="5" t="s">
        <v>46</v>
      </c>
      <c r="B134" s="5" t="s">
        <v>39</v>
      </c>
      <c r="C134" s="5" t="s">
        <v>65</v>
      </c>
      <c r="D134" s="5" t="n">
        <f aca="false">COUNTIFS('Uczniowie (zanonimizowani)'!$B$2:$B$4580,C134,'Uczniowie (zanonimizowani)'!$E$2:$E$4580,A134,'Uczniowie (zanonimizowani)'!$F$2:$F$4580,B134)</f>
        <v>23</v>
      </c>
      <c r="E134" s="5" t="n">
        <f aca="false">COUNTIFS('Uczniowie (zanonimizowani)'!$B$2:$B$4580,C134,'Uczniowie (zanonimizowani)'!$E$2:$E$4580,A134,'Uczniowie (zanonimizowani)'!$F$2:$F$4580,B134,'Uczniowie (zanonimizowani)'!$K$2:$K$4580,"TAK")</f>
        <v>0</v>
      </c>
      <c r="F134" s="7" t="n">
        <f aca="false">IFERROR(E134/D134,"")</f>
        <v>0</v>
      </c>
      <c r="G134" s="7" t="n">
        <f aca="false">IFERROR(AVERAGEIFS('Uczniowie (zanonimizowani)'!$I$2:$I$4580,'Uczniowie (zanonimizowani)'!$B$2:$B$4580,C134,'Uczniowie (zanonimizowani)'!$E$2:$E$4580,A134,'Uczniowie (zanonimizowani)'!$F$2:$F$4580,B134),"")</f>
        <v>0.672235684791455</v>
      </c>
      <c r="H134" s="7" t="n">
        <f aca="false">IFERROR(AVERAGEIFS('Uczniowie (zanonimizowani)'!$I$2:$I$4580,'Uczniowie (zanonimizowani)'!$B$2:$B$4580,C134,'Uczniowie (zanonimizowani)'!$E$2:$E$4580,A134,'Uczniowie (zanonimizowani)'!$F$2:$F$4580,B134,'Uczniowie (zanonimizowani)'!$K$2:$K$4580,"NIE"),"")</f>
        <v>0.672235684791455</v>
      </c>
      <c r="I134" s="7" t="n">
        <f aca="false">IFERROR(H134-G134,"")</f>
        <v>0</v>
      </c>
    </row>
    <row r="135" customFormat="false" ht="15" hidden="false" customHeight="false" outlineLevel="0" collapsed="false">
      <c r="A135" s="5" t="s">
        <v>46</v>
      </c>
      <c r="B135" s="5" t="s">
        <v>40</v>
      </c>
      <c r="C135" s="5" t="s">
        <v>65</v>
      </c>
      <c r="D135" s="5" t="n">
        <f aca="false">COUNTIFS('Uczniowie (zanonimizowani)'!$B$2:$B$4580,C135,'Uczniowie (zanonimizowani)'!$E$2:$E$4580,A135,'Uczniowie (zanonimizowani)'!$F$2:$F$4580,B135)</f>
        <v>23</v>
      </c>
      <c r="E135" s="5" t="n">
        <f aca="false">COUNTIFS('Uczniowie (zanonimizowani)'!$B$2:$B$4580,C135,'Uczniowie (zanonimizowani)'!$E$2:$E$4580,A135,'Uczniowie (zanonimizowani)'!$F$2:$F$4580,B135,'Uczniowie (zanonimizowani)'!$K$2:$K$4580,"TAK")</f>
        <v>0</v>
      </c>
      <c r="F135" s="7" t="n">
        <f aca="false">IFERROR(E135/D135,"")</f>
        <v>0</v>
      </c>
      <c r="G135" s="7" t="n">
        <f aca="false">IFERROR(AVERAGEIFS('Uczniowie (zanonimizowani)'!$I$2:$I$4580,'Uczniowie (zanonimizowani)'!$B$2:$B$4580,C135,'Uczniowie (zanonimizowani)'!$E$2:$E$4580,A135,'Uczniowie (zanonimizowani)'!$F$2:$F$4580,B135),"")</f>
        <v>0.64483580994313</v>
      </c>
      <c r="H135" s="7" t="n">
        <f aca="false">IFERROR(AVERAGEIFS('Uczniowie (zanonimizowani)'!$I$2:$I$4580,'Uczniowie (zanonimizowani)'!$B$2:$B$4580,C135,'Uczniowie (zanonimizowani)'!$E$2:$E$4580,A135,'Uczniowie (zanonimizowani)'!$F$2:$F$4580,B135,'Uczniowie (zanonimizowani)'!$K$2:$K$4580,"NIE"),"")</f>
        <v>0.64483580994313</v>
      </c>
      <c r="I135" s="7" t="n">
        <f aca="false">IFERROR(H135-G135,"")</f>
        <v>0</v>
      </c>
    </row>
    <row r="136" customFormat="false" ht="15" hidden="false" customHeight="false" outlineLevel="0" collapsed="false">
      <c r="A136" s="5" t="s">
        <v>89</v>
      </c>
      <c r="B136" s="5" t="s">
        <v>39</v>
      </c>
      <c r="C136" s="5" t="s">
        <v>65</v>
      </c>
      <c r="D136" s="5" t="n">
        <f aca="false">COUNTIFS('Uczniowie (zanonimizowani)'!$B$2:$B$4580,C136,'Uczniowie (zanonimizowani)'!$E$2:$E$4580,A136,'Uczniowie (zanonimizowani)'!$F$2:$F$4580,B136)</f>
        <v>24</v>
      </c>
      <c r="E136" s="5" t="n">
        <f aca="false">COUNTIFS('Uczniowie (zanonimizowani)'!$B$2:$B$4580,C136,'Uczniowie (zanonimizowani)'!$E$2:$E$4580,A136,'Uczniowie (zanonimizowani)'!$F$2:$F$4580,B136,'Uczniowie (zanonimizowani)'!$K$2:$K$4580,"TAK")</f>
        <v>0</v>
      </c>
      <c r="F136" s="7" t="n">
        <f aca="false">IFERROR(E136/D136,"")</f>
        <v>0</v>
      </c>
      <c r="G136" s="7" t="n">
        <f aca="false">IFERROR(AVERAGEIFS('Uczniowie (zanonimizowani)'!$I$2:$I$4580,'Uczniowie (zanonimizowani)'!$B$2:$B$4580,C136,'Uczniowie (zanonimizowani)'!$E$2:$E$4580,A136,'Uczniowie (zanonimizowani)'!$F$2:$F$4580,B136),"")</f>
        <v>0.68942713211775</v>
      </c>
      <c r="H136" s="7" t="n">
        <f aca="false">IFERROR(AVERAGEIFS('Uczniowie (zanonimizowani)'!$I$2:$I$4580,'Uczniowie (zanonimizowani)'!$B$2:$B$4580,C136,'Uczniowie (zanonimizowani)'!$E$2:$E$4580,A136,'Uczniowie (zanonimizowani)'!$F$2:$F$4580,B136,'Uczniowie (zanonimizowani)'!$K$2:$K$4580,"NIE"),"")</f>
        <v>0.68942713211775</v>
      </c>
      <c r="I136" s="7" t="n">
        <f aca="false">IFERROR(H136-G136,"")</f>
        <v>0</v>
      </c>
    </row>
    <row r="137" customFormat="false" ht="15" hidden="false" customHeight="false" outlineLevel="0" collapsed="false">
      <c r="A137" s="5" t="s">
        <v>89</v>
      </c>
      <c r="B137" s="5" t="s">
        <v>40</v>
      </c>
      <c r="C137" s="5" t="s">
        <v>65</v>
      </c>
      <c r="D137" s="5" t="n">
        <f aca="false">COUNTIFS('Uczniowie (zanonimizowani)'!$B$2:$B$4580,C137,'Uczniowie (zanonimizowani)'!$E$2:$E$4580,A137,'Uczniowie (zanonimizowani)'!$F$2:$F$4580,B137)</f>
        <v>24</v>
      </c>
      <c r="E137" s="5" t="n">
        <f aca="false">COUNTIFS('Uczniowie (zanonimizowani)'!$B$2:$B$4580,C137,'Uczniowie (zanonimizowani)'!$E$2:$E$4580,A137,'Uczniowie (zanonimizowani)'!$F$2:$F$4580,B137,'Uczniowie (zanonimizowani)'!$K$2:$K$4580,"TAK")</f>
        <v>0</v>
      </c>
      <c r="F137" s="7" t="n">
        <f aca="false">IFERROR(E137/D137,"")</f>
        <v>0</v>
      </c>
      <c r="G137" s="7" t="n">
        <f aca="false">IFERROR(AVERAGEIFS('Uczniowie (zanonimizowani)'!$I$2:$I$4580,'Uczniowie (zanonimizowani)'!$B$2:$B$4580,C137,'Uczniowie (zanonimizowani)'!$E$2:$E$4580,A137,'Uczniowie (zanonimizowani)'!$F$2:$F$4580,B137),"")</f>
        <v>0.554645792314888</v>
      </c>
      <c r="H137" s="7" t="n">
        <f aca="false">IFERROR(AVERAGEIFS('Uczniowie (zanonimizowani)'!$I$2:$I$4580,'Uczniowie (zanonimizowani)'!$B$2:$B$4580,C137,'Uczniowie (zanonimizowani)'!$E$2:$E$4580,A137,'Uczniowie (zanonimizowani)'!$F$2:$F$4580,B137,'Uczniowie (zanonimizowani)'!$K$2:$K$4580,"NIE"),"")</f>
        <v>0.554645792314888</v>
      </c>
      <c r="I137" s="7" t="n">
        <f aca="false">IFERROR(H137-G137,"")</f>
        <v>0</v>
      </c>
    </row>
    <row r="138" customFormat="false" ht="15" hidden="false" customHeight="false" outlineLevel="0" collapsed="false">
      <c r="A138" s="5" t="s">
        <v>46</v>
      </c>
      <c r="B138" s="5" t="s">
        <v>39</v>
      </c>
      <c r="C138" s="5" t="s">
        <v>69</v>
      </c>
      <c r="D138" s="5" t="n">
        <f aca="false">COUNTIFS('Uczniowie (zanonimizowani)'!$B$2:$B$4580,C138,'Uczniowie (zanonimizowani)'!$E$2:$E$4580,A138,'Uczniowie (zanonimizowani)'!$F$2:$F$4580,B138)</f>
        <v>17</v>
      </c>
      <c r="E138" s="5" t="n">
        <f aca="false">COUNTIFS('Uczniowie (zanonimizowani)'!$B$2:$B$4580,C138,'Uczniowie (zanonimizowani)'!$E$2:$E$4580,A138,'Uczniowie (zanonimizowani)'!$F$2:$F$4580,B138,'Uczniowie (zanonimizowani)'!$K$2:$K$4580,"TAK")</f>
        <v>0</v>
      </c>
      <c r="F138" s="7" t="n">
        <f aca="false">IFERROR(E138/D138,"")</f>
        <v>0</v>
      </c>
      <c r="G138" s="7" t="n">
        <f aca="false">IFERROR(AVERAGEIFS('Uczniowie (zanonimizowani)'!$I$2:$I$4580,'Uczniowie (zanonimizowani)'!$B$2:$B$4580,C138,'Uczniowie (zanonimizowani)'!$E$2:$E$4580,A138,'Uczniowie (zanonimizowani)'!$F$2:$F$4580,B138),"")</f>
        <v>0.744398655697224</v>
      </c>
      <c r="H138" s="7" t="n">
        <f aca="false">IFERROR(AVERAGEIFS('Uczniowie (zanonimizowani)'!$I$2:$I$4580,'Uczniowie (zanonimizowani)'!$B$2:$B$4580,C138,'Uczniowie (zanonimizowani)'!$E$2:$E$4580,A138,'Uczniowie (zanonimizowani)'!$F$2:$F$4580,B138,'Uczniowie (zanonimizowani)'!$K$2:$K$4580,"NIE"),"")</f>
        <v>0.744398655697224</v>
      </c>
      <c r="I138" s="7" t="n">
        <f aca="false">IFERROR(H138-G138,"")</f>
        <v>0</v>
      </c>
    </row>
    <row r="139" customFormat="false" ht="15" hidden="false" customHeight="false" outlineLevel="0" collapsed="false">
      <c r="A139" s="5" t="s">
        <v>46</v>
      </c>
      <c r="B139" s="5" t="s">
        <v>40</v>
      </c>
      <c r="C139" s="5" t="s">
        <v>69</v>
      </c>
      <c r="D139" s="5" t="n">
        <f aca="false">COUNTIFS('Uczniowie (zanonimizowani)'!$B$2:$B$4580,C139,'Uczniowie (zanonimizowani)'!$E$2:$E$4580,A139,'Uczniowie (zanonimizowani)'!$F$2:$F$4580,B139)</f>
        <v>17</v>
      </c>
      <c r="E139" s="5" t="n">
        <f aca="false">COUNTIFS('Uczniowie (zanonimizowani)'!$B$2:$B$4580,C139,'Uczniowie (zanonimizowani)'!$E$2:$E$4580,A139,'Uczniowie (zanonimizowani)'!$F$2:$F$4580,B139,'Uczniowie (zanonimizowani)'!$K$2:$K$4580,"TAK")</f>
        <v>0</v>
      </c>
      <c r="F139" s="7" t="n">
        <f aca="false">IFERROR(E139/D139,"")</f>
        <v>0</v>
      </c>
      <c r="G139" s="7" t="n">
        <f aca="false">IFERROR(AVERAGEIFS('Uczniowie (zanonimizowani)'!$I$2:$I$4580,'Uczniowie (zanonimizowani)'!$B$2:$B$4580,C139,'Uczniowie (zanonimizowani)'!$E$2:$E$4580,A139,'Uczniowie (zanonimizowani)'!$F$2:$F$4580,B139),"")</f>
        <v>0.678956943602183</v>
      </c>
      <c r="H139" s="7" t="n">
        <f aca="false">IFERROR(AVERAGEIFS('Uczniowie (zanonimizowani)'!$I$2:$I$4580,'Uczniowie (zanonimizowani)'!$B$2:$B$4580,C139,'Uczniowie (zanonimizowani)'!$E$2:$E$4580,A139,'Uczniowie (zanonimizowani)'!$F$2:$F$4580,B139,'Uczniowie (zanonimizowani)'!$K$2:$K$4580,"NIE"),"")</f>
        <v>0.678956943602183</v>
      </c>
      <c r="I139" s="7" t="n">
        <f aca="false">IFERROR(H139-G139,"")</f>
        <v>0</v>
      </c>
    </row>
    <row r="140" customFormat="false" ht="15" hidden="false" customHeight="false" outlineLevel="0" collapsed="false">
      <c r="A140" s="5" t="s">
        <v>89</v>
      </c>
      <c r="B140" s="5" t="s">
        <v>39</v>
      </c>
      <c r="C140" s="5" t="s">
        <v>69</v>
      </c>
      <c r="D140" s="5" t="n">
        <f aca="false">COUNTIFS('Uczniowie (zanonimizowani)'!$B$2:$B$4580,C140,'Uczniowie (zanonimizowani)'!$E$2:$E$4580,A140,'Uczniowie (zanonimizowani)'!$F$2:$F$4580,B140)</f>
        <v>20</v>
      </c>
      <c r="E140" s="5" t="n">
        <f aca="false">COUNTIFS('Uczniowie (zanonimizowani)'!$B$2:$B$4580,C140,'Uczniowie (zanonimizowani)'!$E$2:$E$4580,A140,'Uczniowie (zanonimizowani)'!$F$2:$F$4580,B140,'Uczniowie (zanonimizowani)'!$K$2:$K$4580,"TAK")</f>
        <v>0</v>
      </c>
      <c r="F140" s="7" t="n">
        <f aca="false">IFERROR(E140/D140,"")</f>
        <v>0</v>
      </c>
      <c r="G140" s="7" t="n">
        <f aca="false">IFERROR(AVERAGEIFS('Uczniowie (zanonimizowani)'!$I$2:$I$4580,'Uczniowie (zanonimizowani)'!$B$2:$B$4580,C140,'Uczniowie (zanonimizowani)'!$E$2:$E$4580,A140,'Uczniowie (zanonimizowani)'!$F$2:$F$4580,B140),"")</f>
        <v>0.764188395363626</v>
      </c>
      <c r="H140" s="7" t="n">
        <f aca="false">IFERROR(AVERAGEIFS('Uczniowie (zanonimizowani)'!$I$2:$I$4580,'Uczniowie (zanonimizowani)'!$B$2:$B$4580,C140,'Uczniowie (zanonimizowani)'!$E$2:$E$4580,A140,'Uczniowie (zanonimizowani)'!$F$2:$F$4580,B140,'Uczniowie (zanonimizowani)'!$K$2:$K$4580,"NIE"),"")</f>
        <v>0.764188395363626</v>
      </c>
      <c r="I140" s="7" t="n">
        <f aca="false">IFERROR(H140-G140,"")</f>
        <v>0</v>
      </c>
    </row>
    <row r="141" customFormat="false" ht="15" hidden="false" customHeight="false" outlineLevel="0" collapsed="false">
      <c r="A141" s="5" t="s">
        <v>89</v>
      </c>
      <c r="B141" s="5" t="s">
        <v>40</v>
      </c>
      <c r="C141" s="5" t="s">
        <v>69</v>
      </c>
      <c r="D141" s="5" t="n">
        <f aca="false">COUNTIFS('Uczniowie (zanonimizowani)'!$B$2:$B$4580,C141,'Uczniowie (zanonimizowani)'!$E$2:$E$4580,A141,'Uczniowie (zanonimizowani)'!$F$2:$F$4580,B141)</f>
        <v>20</v>
      </c>
      <c r="E141" s="5" t="n">
        <f aca="false">COUNTIFS('Uczniowie (zanonimizowani)'!$B$2:$B$4580,C141,'Uczniowie (zanonimizowani)'!$E$2:$E$4580,A141,'Uczniowie (zanonimizowani)'!$F$2:$F$4580,B141,'Uczniowie (zanonimizowani)'!$K$2:$K$4580,"TAK")</f>
        <v>0</v>
      </c>
      <c r="F141" s="7" t="n">
        <f aca="false">IFERROR(E141/D141,"")</f>
        <v>0</v>
      </c>
      <c r="G141" s="7" t="n">
        <f aca="false">IFERROR(AVERAGEIFS('Uczniowie (zanonimizowani)'!$I$2:$I$4580,'Uczniowie (zanonimizowani)'!$B$2:$B$4580,C141,'Uczniowie (zanonimizowani)'!$E$2:$E$4580,A141,'Uczniowie (zanonimizowani)'!$F$2:$F$4580,B141),"")</f>
        <v>0.57734375</v>
      </c>
      <c r="H141" s="7" t="n">
        <f aca="false">IFERROR(AVERAGEIFS('Uczniowie (zanonimizowani)'!$I$2:$I$4580,'Uczniowie (zanonimizowani)'!$B$2:$B$4580,C141,'Uczniowie (zanonimizowani)'!$E$2:$E$4580,A141,'Uczniowie (zanonimizowani)'!$F$2:$F$4580,B141,'Uczniowie (zanonimizowani)'!$K$2:$K$4580,"NIE"),"")</f>
        <v>0.57734375</v>
      </c>
      <c r="I141" s="7" t="n">
        <f aca="false">IFERROR(H141-G141,"")</f>
        <v>0</v>
      </c>
    </row>
    <row r="142" customFormat="false" ht="15" hidden="false" customHeight="false" outlineLevel="0" collapsed="false">
      <c r="A142" s="5" t="s">
        <v>75</v>
      </c>
      <c r="B142" s="5" t="s">
        <v>39</v>
      </c>
      <c r="C142" s="5" t="s">
        <v>94</v>
      </c>
      <c r="D142" s="5" t="n">
        <f aca="false">COUNTIFS('Uczniowie (zanonimizowani)'!$B$2:$B$4580,C142,'Uczniowie (zanonimizowani)'!$E$2:$E$4580,A142,'Uczniowie (zanonimizowani)'!$F$2:$F$4580,B142)</f>
        <v>15</v>
      </c>
      <c r="E142" s="5" t="n">
        <f aca="false">COUNTIFS('Uczniowie (zanonimizowani)'!$B$2:$B$4580,C142,'Uczniowie (zanonimizowani)'!$E$2:$E$4580,A142,'Uczniowie (zanonimizowani)'!$F$2:$F$4580,B142,'Uczniowie (zanonimizowani)'!$K$2:$K$4580,"TAK")</f>
        <v>0</v>
      </c>
      <c r="F142" s="7" t="n">
        <f aca="false">IFERROR(E142/D142,"")</f>
        <v>0</v>
      </c>
      <c r="G142" s="7" t="n">
        <f aca="false">IFERROR(AVERAGEIFS('Uczniowie (zanonimizowani)'!$I$2:$I$4580,'Uczniowie (zanonimizowani)'!$B$2:$B$4580,C142,'Uczniowie (zanonimizowani)'!$E$2:$E$4580,A142,'Uczniowie (zanonimizowani)'!$F$2:$F$4580,B142),"")</f>
        <v>0.729255306414197</v>
      </c>
      <c r="H142" s="7" t="n">
        <f aca="false">IFERROR(AVERAGEIFS('Uczniowie (zanonimizowani)'!$I$2:$I$4580,'Uczniowie (zanonimizowani)'!$B$2:$B$4580,C142,'Uczniowie (zanonimizowani)'!$E$2:$E$4580,A142,'Uczniowie (zanonimizowani)'!$F$2:$F$4580,B142,'Uczniowie (zanonimizowani)'!$K$2:$K$4580,"NIE"),"")</f>
        <v>0.729255306414197</v>
      </c>
      <c r="I142" s="7" t="n">
        <f aca="false">IFERROR(H142-G142,"")</f>
        <v>0</v>
      </c>
    </row>
    <row r="143" customFormat="false" ht="15" hidden="false" customHeight="false" outlineLevel="0" collapsed="false">
      <c r="A143" s="5" t="s">
        <v>75</v>
      </c>
      <c r="B143" s="5" t="s">
        <v>40</v>
      </c>
      <c r="C143" s="5" t="s">
        <v>94</v>
      </c>
      <c r="D143" s="5" t="n">
        <f aca="false">COUNTIFS('Uczniowie (zanonimizowani)'!$B$2:$B$4580,C143,'Uczniowie (zanonimizowani)'!$E$2:$E$4580,A143,'Uczniowie (zanonimizowani)'!$F$2:$F$4580,B143)</f>
        <v>15</v>
      </c>
      <c r="E143" s="5" t="n">
        <f aca="false">COUNTIFS('Uczniowie (zanonimizowani)'!$B$2:$B$4580,C143,'Uczniowie (zanonimizowani)'!$E$2:$E$4580,A143,'Uczniowie (zanonimizowani)'!$F$2:$F$4580,B143,'Uczniowie (zanonimizowani)'!$K$2:$K$4580,"TAK")</f>
        <v>1</v>
      </c>
      <c r="F143" s="7" t="n">
        <f aca="false">IFERROR(E143/D143,"")</f>
        <v>0.0666666666666667</v>
      </c>
      <c r="G143" s="7" t="n">
        <f aca="false">IFERROR(AVERAGEIFS('Uczniowie (zanonimizowani)'!$I$2:$I$4580,'Uczniowie (zanonimizowani)'!$B$2:$B$4580,C143,'Uczniowie (zanonimizowani)'!$E$2:$E$4580,A143,'Uczniowie (zanonimizowani)'!$F$2:$F$4580,B143),"")</f>
        <v>0.638298022711768</v>
      </c>
      <c r="H143" s="7" t="n">
        <f aca="false">IFERROR(AVERAGEIFS('Uczniowie (zanonimizowani)'!$I$2:$I$4580,'Uczniowie (zanonimizowani)'!$B$2:$B$4580,C143,'Uczniowie (zanonimizowani)'!$E$2:$E$4580,A143,'Uczniowie (zanonimizowani)'!$F$2:$F$4580,B143,'Uczniowie (zanonimizowani)'!$K$2:$K$4580,"NIE"),"")</f>
        <v>0.665006318266543</v>
      </c>
      <c r="I143" s="7" t="n">
        <f aca="false">IFERROR(H143-G143,"")</f>
        <v>0.0267082955547748</v>
      </c>
    </row>
    <row r="144" customFormat="false" ht="15" hidden="false" customHeight="false" outlineLevel="0" collapsed="false">
      <c r="A144" s="5" t="s">
        <v>38</v>
      </c>
      <c r="B144" s="5" t="s">
        <v>39</v>
      </c>
      <c r="C144" s="5" t="s">
        <v>45</v>
      </c>
      <c r="D144" s="5" t="n">
        <f aca="false">COUNTIFS('Uczniowie (zanonimizowani)'!$B$2:$B$4580,C144,'Uczniowie (zanonimizowani)'!$E$2:$E$4580,A144,'Uczniowie (zanonimizowani)'!$F$2:$F$4580,B144)</f>
        <v>26</v>
      </c>
      <c r="E144" s="5" t="n">
        <f aca="false">COUNTIFS('Uczniowie (zanonimizowani)'!$B$2:$B$4580,C144,'Uczniowie (zanonimizowani)'!$E$2:$E$4580,A144,'Uczniowie (zanonimizowani)'!$F$2:$F$4580,B144,'Uczniowie (zanonimizowani)'!$K$2:$K$4580,"TAK")</f>
        <v>1</v>
      </c>
      <c r="F144" s="7" t="n">
        <f aca="false">IFERROR(E144/D144,"")</f>
        <v>0.0384615384615385</v>
      </c>
      <c r="G144" s="7" t="n">
        <f aca="false">IFERROR(AVERAGEIFS('Uczniowie (zanonimizowani)'!$I$2:$I$4580,'Uczniowie (zanonimizowani)'!$B$2:$B$4580,C144,'Uczniowie (zanonimizowani)'!$E$2:$E$4580,A144,'Uczniowie (zanonimizowani)'!$F$2:$F$4580,B144),"")</f>
        <v>0.819874143853622</v>
      </c>
      <c r="H144" s="7" t="n">
        <f aca="false">IFERROR(AVERAGEIFS('Uczniowie (zanonimizowani)'!$I$2:$I$4580,'Uczniowie (zanonimizowani)'!$B$2:$B$4580,C144,'Uczniowie (zanonimizowani)'!$E$2:$E$4580,A144,'Uczniowie (zanonimizowani)'!$F$2:$F$4580,B144,'Uczniowie (zanonimizowani)'!$K$2:$K$4580,"NIE"),"")</f>
        <v>0.830422732796172</v>
      </c>
      <c r="I144" s="7" t="n">
        <f aca="false">IFERROR(H144-G144,"")</f>
        <v>0.0105485889425506</v>
      </c>
    </row>
    <row r="145" customFormat="false" ht="15" hidden="false" customHeight="false" outlineLevel="0" collapsed="false">
      <c r="A145" s="5" t="s">
        <v>38</v>
      </c>
      <c r="B145" s="5" t="s">
        <v>40</v>
      </c>
      <c r="C145" s="5" t="s">
        <v>45</v>
      </c>
      <c r="D145" s="5" t="n">
        <f aca="false">COUNTIFS('Uczniowie (zanonimizowani)'!$B$2:$B$4580,C145,'Uczniowie (zanonimizowani)'!$E$2:$E$4580,A145,'Uczniowie (zanonimizowani)'!$F$2:$F$4580,B145)</f>
        <v>26</v>
      </c>
      <c r="E145" s="5" t="n">
        <f aca="false">COUNTIFS('Uczniowie (zanonimizowani)'!$B$2:$B$4580,C145,'Uczniowie (zanonimizowani)'!$E$2:$E$4580,A145,'Uczniowie (zanonimizowani)'!$F$2:$F$4580,B145,'Uczniowie (zanonimizowani)'!$K$2:$K$4580,"TAK")</f>
        <v>0</v>
      </c>
      <c r="F145" s="7" t="n">
        <f aca="false">IFERROR(E145/D145,"")</f>
        <v>0</v>
      </c>
      <c r="G145" s="7" t="n">
        <f aca="false">IFERROR(AVERAGEIFS('Uczniowie (zanonimizowani)'!$I$2:$I$4580,'Uczniowie (zanonimizowani)'!$B$2:$B$4580,C145,'Uczniowie (zanonimizowani)'!$E$2:$E$4580,A145,'Uczniowie (zanonimizowani)'!$F$2:$F$4580,B145),"")</f>
        <v>0.720020059664405</v>
      </c>
      <c r="H145" s="7" t="n">
        <f aca="false">IFERROR(AVERAGEIFS('Uczniowie (zanonimizowani)'!$I$2:$I$4580,'Uczniowie (zanonimizowani)'!$B$2:$B$4580,C145,'Uczniowie (zanonimizowani)'!$E$2:$E$4580,A145,'Uczniowie (zanonimizowani)'!$F$2:$F$4580,B145,'Uczniowie (zanonimizowani)'!$K$2:$K$4580,"NIE"),"")</f>
        <v>0.720020059664405</v>
      </c>
      <c r="I145" s="7" t="n">
        <f aca="false">IFERROR(H145-G145,"")</f>
        <v>0</v>
      </c>
    </row>
    <row r="146" customFormat="false" ht="15" hidden="false" customHeight="false" outlineLevel="0" collapsed="false">
      <c r="A146" s="5" t="s">
        <v>89</v>
      </c>
      <c r="B146" s="5" t="s">
        <v>39</v>
      </c>
      <c r="C146" s="5" t="s">
        <v>101</v>
      </c>
      <c r="D146" s="5" t="n">
        <f aca="false">COUNTIFS('Uczniowie (zanonimizowani)'!$B$2:$B$4580,C146,'Uczniowie (zanonimizowani)'!$E$2:$E$4580,A146,'Uczniowie (zanonimizowani)'!$F$2:$F$4580,B146)</f>
        <v>25</v>
      </c>
      <c r="E146" s="5" t="n">
        <f aca="false">COUNTIFS('Uczniowie (zanonimizowani)'!$B$2:$B$4580,C146,'Uczniowie (zanonimizowani)'!$E$2:$E$4580,A146,'Uczniowie (zanonimizowani)'!$F$2:$F$4580,B146,'Uczniowie (zanonimizowani)'!$K$2:$K$4580,"TAK")</f>
        <v>2</v>
      </c>
      <c r="F146" s="7" t="n">
        <f aca="false">IFERROR(E146/D146,"")</f>
        <v>0.08</v>
      </c>
      <c r="G146" s="7" t="n">
        <f aca="false">IFERROR(AVERAGEIFS('Uczniowie (zanonimizowani)'!$I$2:$I$4580,'Uczniowie (zanonimizowani)'!$B$2:$B$4580,C146,'Uczniowie (zanonimizowani)'!$E$2:$E$4580,A146,'Uczniowie (zanonimizowani)'!$F$2:$F$4580,B146),"")</f>
        <v>0.70468212020803</v>
      </c>
      <c r="H146" s="7" t="n">
        <f aca="false">IFERROR(AVERAGEIFS('Uczniowie (zanonimizowani)'!$I$2:$I$4580,'Uczniowie (zanonimizowani)'!$B$2:$B$4580,C146,'Uczniowie (zanonimizowani)'!$E$2:$E$4580,A146,'Uczniowie (zanonimizowani)'!$F$2:$F$4580,B146,'Uczniowie (zanonimizowani)'!$K$2:$K$4580,"NIE"),"")</f>
        <v>0.747119451765849</v>
      </c>
      <c r="I146" s="7" t="n">
        <f aca="false">IFERROR(H146-G146,"")</f>
        <v>0.042437331557819</v>
      </c>
    </row>
    <row r="147" customFormat="false" ht="15" hidden="false" customHeight="false" outlineLevel="0" collapsed="false">
      <c r="A147" s="5" t="s">
        <v>89</v>
      </c>
      <c r="B147" s="5" t="s">
        <v>40</v>
      </c>
      <c r="C147" s="5" t="s">
        <v>101</v>
      </c>
      <c r="D147" s="5" t="n">
        <f aca="false">COUNTIFS('Uczniowie (zanonimizowani)'!$B$2:$B$4580,C147,'Uczniowie (zanonimizowani)'!$E$2:$E$4580,A147,'Uczniowie (zanonimizowani)'!$F$2:$F$4580,B147)</f>
        <v>24</v>
      </c>
      <c r="E147" s="5" t="n">
        <f aca="false">COUNTIFS('Uczniowie (zanonimizowani)'!$B$2:$B$4580,C147,'Uczniowie (zanonimizowani)'!$E$2:$E$4580,A147,'Uczniowie (zanonimizowani)'!$F$2:$F$4580,B147,'Uczniowie (zanonimizowani)'!$K$2:$K$4580,"TAK")</f>
        <v>1</v>
      </c>
      <c r="F147" s="7" t="n">
        <f aca="false">IFERROR(E147/D147,"")</f>
        <v>0.0416666666666667</v>
      </c>
      <c r="G147" s="7" t="n">
        <f aca="false">IFERROR(AVERAGEIFS('Uczniowie (zanonimizowani)'!$I$2:$I$4580,'Uczniowie (zanonimizowani)'!$B$2:$B$4580,C147,'Uczniowie (zanonimizowani)'!$E$2:$E$4580,A147,'Uczniowie (zanonimizowani)'!$F$2:$F$4580,B147),"")</f>
        <v>0.551453094767507</v>
      </c>
      <c r="H147" s="7" t="n">
        <f aca="false">IFERROR(AVERAGEIFS('Uczniowie (zanonimizowani)'!$I$2:$I$4580,'Uczniowie (zanonimizowani)'!$B$2:$B$4580,C147,'Uczniowie (zanonimizowani)'!$E$2:$E$4580,A147,'Uczniowie (zanonimizowani)'!$F$2:$F$4580,B147,'Uczniowie (zanonimizowani)'!$K$2:$K$4580,"NIE"),"")</f>
        <v>0.570940669914061</v>
      </c>
      <c r="I147" s="7" t="n">
        <f aca="false">IFERROR(H147-G147,"")</f>
        <v>0.0194875751465541</v>
      </c>
    </row>
    <row r="148" customFormat="false" ht="15" hidden="false" customHeight="false" outlineLevel="0" collapsed="false">
      <c r="A148" s="5" t="s">
        <v>55</v>
      </c>
      <c r="B148" s="5" t="s">
        <v>39</v>
      </c>
      <c r="C148" s="5" t="s">
        <v>79</v>
      </c>
      <c r="D148" s="5" t="n">
        <f aca="false">COUNTIFS('Uczniowie (zanonimizowani)'!$B$2:$B$4580,C148,'Uczniowie (zanonimizowani)'!$E$2:$E$4580,A148,'Uczniowie (zanonimizowani)'!$F$2:$F$4580,B148)</f>
        <v>13</v>
      </c>
      <c r="E148" s="5" t="n">
        <f aca="false">COUNTIFS('Uczniowie (zanonimizowani)'!$B$2:$B$4580,C148,'Uczniowie (zanonimizowani)'!$E$2:$E$4580,A148,'Uczniowie (zanonimizowani)'!$F$2:$F$4580,B148,'Uczniowie (zanonimizowani)'!$K$2:$K$4580,"TAK")</f>
        <v>0</v>
      </c>
      <c r="F148" s="7" t="n">
        <f aca="false">IFERROR(E148/D148,"")</f>
        <v>0</v>
      </c>
      <c r="G148" s="7" t="n">
        <f aca="false">IFERROR(AVERAGEIFS('Uczniowie (zanonimizowani)'!$I$2:$I$4580,'Uczniowie (zanonimizowani)'!$B$2:$B$4580,C148,'Uczniowie (zanonimizowani)'!$E$2:$E$4580,A148,'Uczniowie (zanonimizowani)'!$F$2:$F$4580,B148),"")</f>
        <v>0.842700939957798</v>
      </c>
      <c r="H148" s="7" t="n">
        <f aca="false">IFERROR(AVERAGEIFS('Uczniowie (zanonimizowani)'!$I$2:$I$4580,'Uczniowie (zanonimizowani)'!$B$2:$B$4580,C148,'Uczniowie (zanonimizowani)'!$E$2:$E$4580,A148,'Uczniowie (zanonimizowani)'!$F$2:$F$4580,B148,'Uczniowie (zanonimizowani)'!$K$2:$K$4580,"NIE"),"")</f>
        <v>0.842700939957798</v>
      </c>
      <c r="I148" s="7" t="n">
        <f aca="false">IFERROR(H148-G148,"")</f>
        <v>0</v>
      </c>
    </row>
    <row r="149" customFormat="false" ht="15" hidden="false" customHeight="false" outlineLevel="0" collapsed="false">
      <c r="A149" s="5" t="s">
        <v>55</v>
      </c>
      <c r="B149" s="5" t="s">
        <v>40</v>
      </c>
      <c r="C149" s="5" t="s">
        <v>79</v>
      </c>
      <c r="D149" s="5" t="n">
        <f aca="false">COUNTIFS('Uczniowie (zanonimizowani)'!$B$2:$B$4580,C149,'Uczniowie (zanonimizowani)'!$E$2:$E$4580,A149,'Uczniowie (zanonimizowani)'!$F$2:$F$4580,B149)</f>
        <v>13</v>
      </c>
      <c r="E149" s="5" t="n">
        <f aca="false">COUNTIFS('Uczniowie (zanonimizowani)'!$B$2:$B$4580,C149,'Uczniowie (zanonimizowani)'!$E$2:$E$4580,A149,'Uczniowie (zanonimizowani)'!$F$2:$F$4580,B149,'Uczniowie (zanonimizowani)'!$K$2:$K$4580,"TAK")</f>
        <v>0</v>
      </c>
      <c r="F149" s="7" t="n">
        <f aca="false">IFERROR(E149/D149,"")</f>
        <v>0</v>
      </c>
      <c r="G149" s="7" t="n">
        <f aca="false">IFERROR(AVERAGEIFS('Uczniowie (zanonimizowani)'!$I$2:$I$4580,'Uczniowie (zanonimizowani)'!$B$2:$B$4580,C149,'Uczniowie (zanonimizowani)'!$E$2:$E$4580,A149,'Uczniowie (zanonimizowani)'!$F$2:$F$4580,B149),"")</f>
        <v>0.665620094191523</v>
      </c>
      <c r="H149" s="7" t="n">
        <f aca="false">IFERROR(AVERAGEIFS('Uczniowie (zanonimizowani)'!$I$2:$I$4580,'Uczniowie (zanonimizowani)'!$B$2:$B$4580,C149,'Uczniowie (zanonimizowani)'!$E$2:$E$4580,A149,'Uczniowie (zanonimizowani)'!$F$2:$F$4580,B149,'Uczniowie (zanonimizowani)'!$K$2:$K$4580,"NIE"),"")</f>
        <v>0.665620094191523</v>
      </c>
      <c r="I149" s="7" t="n">
        <f aca="false">IFERROR(H149-G149,"")</f>
        <v>0</v>
      </c>
    </row>
    <row r="150" customFormat="false" ht="15" hidden="false" customHeight="false" outlineLevel="0" collapsed="false">
      <c r="A150" s="5" t="s">
        <v>57</v>
      </c>
      <c r="B150" s="5" t="s">
        <v>39</v>
      </c>
      <c r="C150" s="5" t="s">
        <v>79</v>
      </c>
      <c r="D150" s="5" t="n">
        <f aca="false">COUNTIFS('Uczniowie (zanonimizowani)'!$B$2:$B$4580,C150,'Uczniowie (zanonimizowani)'!$E$2:$E$4580,A150,'Uczniowie (zanonimizowani)'!$F$2:$F$4580,B150)</f>
        <v>22</v>
      </c>
      <c r="E150" s="5" t="n">
        <f aca="false">COUNTIFS('Uczniowie (zanonimizowani)'!$B$2:$B$4580,C150,'Uczniowie (zanonimizowani)'!$E$2:$E$4580,A150,'Uczniowie (zanonimizowani)'!$F$2:$F$4580,B150,'Uczniowie (zanonimizowani)'!$K$2:$K$4580,"TAK")</f>
        <v>0</v>
      </c>
      <c r="F150" s="7" t="n">
        <f aca="false">IFERROR(E150/D150,"")</f>
        <v>0</v>
      </c>
      <c r="G150" s="7" t="n">
        <f aca="false">IFERROR(AVERAGEIFS('Uczniowie (zanonimizowani)'!$I$2:$I$4580,'Uczniowie (zanonimizowani)'!$B$2:$B$4580,C150,'Uczniowie (zanonimizowani)'!$E$2:$E$4580,A150,'Uczniowie (zanonimizowani)'!$F$2:$F$4580,B150),"")</f>
        <v>0.801229931048305</v>
      </c>
      <c r="H150" s="7" t="n">
        <f aca="false">IFERROR(AVERAGEIFS('Uczniowie (zanonimizowani)'!$I$2:$I$4580,'Uczniowie (zanonimizowani)'!$B$2:$B$4580,C150,'Uczniowie (zanonimizowani)'!$E$2:$E$4580,A150,'Uczniowie (zanonimizowani)'!$F$2:$F$4580,B150,'Uczniowie (zanonimizowani)'!$K$2:$K$4580,"NIE"),"")</f>
        <v>0.801229931048305</v>
      </c>
      <c r="I150" s="7" t="n">
        <f aca="false">IFERROR(H150-G150,"")</f>
        <v>0</v>
      </c>
    </row>
    <row r="151" customFormat="false" ht="15" hidden="false" customHeight="false" outlineLevel="0" collapsed="false">
      <c r="A151" s="5" t="s">
        <v>57</v>
      </c>
      <c r="B151" s="5" t="s">
        <v>40</v>
      </c>
      <c r="C151" s="5" t="s">
        <v>79</v>
      </c>
      <c r="D151" s="5" t="n">
        <f aca="false">COUNTIFS('Uczniowie (zanonimizowani)'!$B$2:$B$4580,C151,'Uczniowie (zanonimizowani)'!$E$2:$E$4580,A151,'Uczniowie (zanonimizowani)'!$F$2:$F$4580,B151)</f>
        <v>22</v>
      </c>
      <c r="E151" s="5" t="n">
        <f aca="false">COUNTIFS('Uczniowie (zanonimizowani)'!$B$2:$B$4580,C151,'Uczniowie (zanonimizowani)'!$E$2:$E$4580,A151,'Uczniowie (zanonimizowani)'!$F$2:$F$4580,B151,'Uczniowie (zanonimizowani)'!$K$2:$K$4580,"TAK")</f>
        <v>1</v>
      </c>
      <c r="F151" s="7" t="n">
        <f aca="false">IFERROR(E151/D151,"")</f>
        <v>0.0454545454545455</v>
      </c>
      <c r="G151" s="7" t="n">
        <f aca="false">IFERROR(AVERAGEIFS('Uczniowie (zanonimizowani)'!$I$2:$I$4580,'Uczniowie (zanonimizowani)'!$B$2:$B$4580,C151,'Uczniowie (zanonimizowani)'!$E$2:$E$4580,A151,'Uczniowie (zanonimizowani)'!$F$2:$F$4580,B151),"")</f>
        <v>0.704304943031501</v>
      </c>
      <c r="H151" s="7" t="n">
        <f aca="false">IFERROR(AVERAGEIFS('Uczniowie (zanonimizowani)'!$I$2:$I$4580,'Uczniowie (zanonimizowani)'!$B$2:$B$4580,C151,'Uczniowie (zanonimizowani)'!$E$2:$E$4580,A151,'Uczniowie (zanonimizowani)'!$F$2:$F$4580,B151,'Uczniowie (zanonimizowani)'!$K$2:$K$4580,"NIE"),"")</f>
        <v>0.721413309853664</v>
      </c>
      <c r="I151" s="7" t="n">
        <f aca="false">IFERROR(H151-G151,"")</f>
        <v>0.0171083668221629</v>
      </c>
    </row>
    <row r="152" customFormat="false" ht="15" hidden="false" customHeight="false" outlineLevel="0" collapsed="false">
      <c r="A152" s="5" t="s">
        <v>75</v>
      </c>
      <c r="B152" s="5" t="s">
        <v>39</v>
      </c>
      <c r="C152" s="5" t="s">
        <v>79</v>
      </c>
      <c r="D152" s="5" t="n">
        <f aca="false">COUNTIFS('Uczniowie (zanonimizowani)'!$B$2:$B$4580,C152,'Uczniowie (zanonimizowani)'!$E$2:$E$4580,A152,'Uczniowie (zanonimizowani)'!$F$2:$F$4580,B152)</f>
        <v>23</v>
      </c>
      <c r="E152" s="5" t="n">
        <f aca="false">COUNTIFS('Uczniowie (zanonimizowani)'!$B$2:$B$4580,C152,'Uczniowie (zanonimizowani)'!$E$2:$E$4580,A152,'Uczniowie (zanonimizowani)'!$F$2:$F$4580,B152,'Uczniowie (zanonimizowani)'!$K$2:$K$4580,"TAK")</f>
        <v>1</v>
      </c>
      <c r="F152" s="7" t="n">
        <f aca="false">IFERROR(E152/D152,"")</f>
        <v>0.0434782608695652</v>
      </c>
      <c r="G152" s="7" t="n">
        <f aca="false">IFERROR(AVERAGEIFS('Uczniowie (zanonimizowani)'!$I$2:$I$4580,'Uczniowie (zanonimizowani)'!$B$2:$B$4580,C152,'Uczniowie (zanonimizowani)'!$E$2:$E$4580,A152,'Uczniowie (zanonimizowani)'!$F$2:$F$4580,B152),"")</f>
        <v>0.763099944334032</v>
      </c>
      <c r="H152" s="7" t="n">
        <f aca="false">IFERROR(AVERAGEIFS('Uczniowie (zanonimizowani)'!$I$2:$I$4580,'Uczniowie (zanonimizowani)'!$B$2:$B$4580,C152,'Uczniowie (zanonimizowani)'!$E$2:$E$4580,A152,'Uczniowie (zanonimizowani)'!$F$2:$F$4580,B152,'Uczniowie (zanonimizowani)'!$K$2:$K$4580,"NIE"),"")</f>
        <v>0.779539319451203</v>
      </c>
      <c r="I152" s="7" t="n">
        <f aca="false">IFERROR(H152-G152,"")</f>
        <v>0.016439375117171</v>
      </c>
    </row>
    <row r="153" customFormat="false" ht="15" hidden="false" customHeight="false" outlineLevel="0" collapsed="false">
      <c r="A153" s="5" t="s">
        <v>75</v>
      </c>
      <c r="B153" s="5" t="s">
        <v>40</v>
      </c>
      <c r="C153" s="5" t="s">
        <v>79</v>
      </c>
      <c r="D153" s="5" t="n">
        <f aca="false">COUNTIFS('Uczniowie (zanonimizowani)'!$B$2:$B$4580,C153,'Uczniowie (zanonimizowani)'!$E$2:$E$4580,A153,'Uczniowie (zanonimizowani)'!$F$2:$F$4580,B153)</f>
        <v>23</v>
      </c>
      <c r="E153" s="5" t="n">
        <f aca="false">COUNTIFS('Uczniowie (zanonimizowani)'!$B$2:$B$4580,C153,'Uczniowie (zanonimizowani)'!$E$2:$E$4580,A153,'Uczniowie (zanonimizowani)'!$F$2:$F$4580,B153,'Uczniowie (zanonimizowani)'!$K$2:$K$4580,"TAK")</f>
        <v>0</v>
      </c>
      <c r="F153" s="7" t="n">
        <f aca="false">IFERROR(E153/D153,"")</f>
        <v>0</v>
      </c>
      <c r="G153" s="7" t="n">
        <f aca="false">IFERROR(AVERAGEIFS('Uczniowie (zanonimizowani)'!$I$2:$I$4580,'Uczniowie (zanonimizowani)'!$B$2:$B$4580,C153,'Uczniowie (zanonimizowani)'!$E$2:$E$4580,A153,'Uczniowie (zanonimizowani)'!$F$2:$F$4580,B153),"")</f>
        <v>0.617808150454371</v>
      </c>
      <c r="H153" s="7" t="n">
        <f aca="false">IFERROR(AVERAGEIFS('Uczniowie (zanonimizowani)'!$I$2:$I$4580,'Uczniowie (zanonimizowani)'!$B$2:$B$4580,C153,'Uczniowie (zanonimizowani)'!$E$2:$E$4580,A153,'Uczniowie (zanonimizowani)'!$F$2:$F$4580,B153,'Uczniowie (zanonimizowani)'!$K$2:$K$4580,"NIE"),"")</f>
        <v>0.617808150454371</v>
      </c>
      <c r="I153" s="7" t="n">
        <f aca="false">IFERROR(H153-G153,"")</f>
        <v>0</v>
      </c>
    </row>
    <row r="154" customFormat="false" ht="15" hidden="false" customHeight="false" outlineLevel="0" collapsed="false">
      <c r="A154" s="5" t="s">
        <v>38</v>
      </c>
      <c r="B154" s="5" t="s">
        <v>39</v>
      </c>
      <c r="C154" s="5" t="s">
        <v>47</v>
      </c>
      <c r="D154" s="5" t="n">
        <f aca="false">COUNTIFS('Uczniowie (zanonimizowani)'!$B$2:$B$4580,C154,'Uczniowie (zanonimizowani)'!$E$2:$E$4580,A154,'Uczniowie (zanonimizowani)'!$F$2:$F$4580,B154)</f>
        <v>20</v>
      </c>
      <c r="E154" s="5" t="n">
        <f aca="false">COUNTIFS('Uczniowie (zanonimizowani)'!$B$2:$B$4580,C154,'Uczniowie (zanonimizowani)'!$E$2:$E$4580,A154,'Uczniowie (zanonimizowani)'!$F$2:$F$4580,B154,'Uczniowie (zanonimizowani)'!$K$2:$K$4580,"TAK")</f>
        <v>0</v>
      </c>
      <c r="F154" s="7" t="n">
        <f aca="false">IFERROR(E154/D154,"")</f>
        <v>0</v>
      </c>
      <c r="G154" s="7" t="n">
        <f aca="false">IFERROR(AVERAGEIFS('Uczniowie (zanonimizowani)'!$I$2:$I$4580,'Uczniowie (zanonimizowani)'!$B$2:$B$4580,C154,'Uczniowie (zanonimizowani)'!$E$2:$E$4580,A154,'Uczniowie (zanonimizowani)'!$F$2:$F$4580,B154),"")</f>
        <v>0.840935926692748</v>
      </c>
      <c r="H154" s="7" t="n">
        <f aca="false">IFERROR(AVERAGEIFS('Uczniowie (zanonimizowani)'!$I$2:$I$4580,'Uczniowie (zanonimizowani)'!$B$2:$B$4580,C154,'Uczniowie (zanonimizowani)'!$E$2:$E$4580,A154,'Uczniowie (zanonimizowani)'!$F$2:$F$4580,B154,'Uczniowie (zanonimizowani)'!$K$2:$K$4580,"NIE"),"")</f>
        <v>0.840935926692748</v>
      </c>
      <c r="I154" s="7" t="n">
        <f aca="false">IFERROR(H154-G154,"")</f>
        <v>0</v>
      </c>
    </row>
    <row r="155" customFormat="false" ht="15" hidden="false" customHeight="false" outlineLevel="0" collapsed="false">
      <c r="A155" s="5" t="s">
        <v>38</v>
      </c>
      <c r="B155" s="5" t="s">
        <v>40</v>
      </c>
      <c r="C155" s="5" t="s">
        <v>47</v>
      </c>
      <c r="D155" s="5" t="n">
        <f aca="false">COUNTIFS('Uczniowie (zanonimizowani)'!$B$2:$B$4580,C155,'Uczniowie (zanonimizowani)'!$E$2:$E$4580,A155,'Uczniowie (zanonimizowani)'!$F$2:$F$4580,B155)</f>
        <v>20</v>
      </c>
      <c r="E155" s="5" t="n">
        <f aca="false">COUNTIFS('Uczniowie (zanonimizowani)'!$B$2:$B$4580,C155,'Uczniowie (zanonimizowani)'!$E$2:$E$4580,A155,'Uczniowie (zanonimizowani)'!$F$2:$F$4580,B155,'Uczniowie (zanonimizowani)'!$K$2:$K$4580,"TAK")</f>
        <v>0</v>
      </c>
      <c r="F155" s="7" t="n">
        <f aca="false">IFERROR(E155/D155,"")</f>
        <v>0</v>
      </c>
      <c r="G155" s="7" t="n">
        <f aca="false">IFERROR(AVERAGEIFS('Uczniowie (zanonimizowani)'!$I$2:$I$4580,'Uczniowie (zanonimizowani)'!$B$2:$B$4580,C155,'Uczniowie (zanonimizowani)'!$E$2:$E$4580,A155,'Uczniowie (zanonimizowani)'!$F$2:$F$4580,B155),"")</f>
        <v>0.840887062789718</v>
      </c>
      <c r="H155" s="7" t="n">
        <f aca="false">IFERROR(AVERAGEIFS('Uczniowie (zanonimizowani)'!$I$2:$I$4580,'Uczniowie (zanonimizowani)'!$B$2:$B$4580,C155,'Uczniowie (zanonimizowani)'!$E$2:$E$4580,A155,'Uczniowie (zanonimizowani)'!$F$2:$F$4580,B155,'Uczniowie (zanonimizowani)'!$K$2:$K$4580,"NIE"),"")</f>
        <v>0.840887062789718</v>
      </c>
      <c r="I155" s="7" t="n">
        <f aca="false">IFERROR(H155-G155,"")</f>
        <v>0</v>
      </c>
    </row>
    <row r="156" customFormat="false" ht="15" hidden="false" customHeight="false" outlineLevel="0" collapsed="false">
      <c r="A156" s="5" t="s">
        <v>46</v>
      </c>
      <c r="B156" s="5" t="s">
        <v>39</v>
      </c>
      <c r="C156" s="5" t="s">
        <v>47</v>
      </c>
      <c r="D156" s="5" t="n">
        <f aca="false">COUNTIFS('Uczniowie (zanonimizowani)'!$B$2:$B$4580,C156,'Uczniowie (zanonimizowani)'!$E$2:$E$4580,A156,'Uczniowie (zanonimizowani)'!$F$2:$F$4580,B156)</f>
        <v>21</v>
      </c>
      <c r="E156" s="5" t="n">
        <f aca="false">COUNTIFS('Uczniowie (zanonimizowani)'!$B$2:$B$4580,C156,'Uczniowie (zanonimizowani)'!$E$2:$E$4580,A156,'Uczniowie (zanonimizowani)'!$F$2:$F$4580,B156,'Uczniowie (zanonimizowani)'!$K$2:$K$4580,"TAK")</f>
        <v>1</v>
      </c>
      <c r="F156" s="7" t="n">
        <f aca="false">IFERROR(E156/D156,"")</f>
        <v>0.0476190476190476</v>
      </c>
      <c r="G156" s="7" t="n">
        <f aca="false">IFERROR(AVERAGEIFS('Uczniowie (zanonimizowani)'!$I$2:$I$4580,'Uczniowie (zanonimizowani)'!$B$2:$B$4580,C156,'Uczniowie (zanonimizowani)'!$E$2:$E$4580,A156,'Uczniowie (zanonimizowani)'!$F$2:$F$4580,B156),"")</f>
        <v>0.732812739243608</v>
      </c>
      <c r="H156" s="7" t="n">
        <f aca="false">IFERROR(AVERAGEIFS('Uczniowie (zanonimizowani)'!$I$2:$I$4580,'Uczniowie (zanonimizowani)'!$B$2:$B$4580,C156,'Uczniowie (zanonimizowani)'!$E$2:$E$4580,A156,'Uczniowie (zanonimizowani)'!$F$2:$F$4580,B156,'Uczniowie (zanonimizowani)'!$K$2:$K$4580,"NIE"),"")</f>
        <v>0.751366559485531</v>
      </c>
      <c r="I156" s="7" t="n">
        <f aca="false">IFERROR(H156-G156,"")</f>
        <v>0.0185538202419231</v>
      </c>
    </row>
    <row r="157" customFormat="false" ht="15" hidden="false" customHeight="false" outlineLevel="0" collapsed="false">
      <c r="A157" s="5" t="s">
        <v>46</v>
      </c>
      <c r="B157" s="5" t="s">
        <v>40</v>
      </c>
      <c r="C157" s="5" t="s">
        <v>47</v>
      </c>
      <c r="D157" s="5" t="n">
        <f aca="false">COUNTIFS('Uczniowie (zanonimizowani)'!$B$2:$B$4580,C157,'Uczniowie (zanonimizowani)'!$E$2:$E$4580,A157,'Uczniowie (zanonimizowani)'!$F$2:$F$4580,B157)</f>
        <v>21</v>
      </c>
      <c r="E157" s="5" t="n">
        <f aca="false">COUNTIFS('Uczniowie (zanonimizowani)'!$B$2:$B$4580,C157,'Uczniowie (zanonimizowani)'!$E$2:$E$4580,A157,'Uczniowie (zanonimizowani)'!$F$2:$F$4580,B157,'Uczniowie (zanonimizowani)'!$K$2:$K$4580,"TAK")</f>
        <v>1</v>
      </c>
      <c r="F157" s="7" t="n">
        <f aca="false">IFERROR(E157/D157,"")</f>
        <v>0.0476190476190476</v>
      </c>
      <c r="G157" s="7" t="n">
        <f aca="false">IFERROR(AVERAGEIFS('Uczniowie (zanonimizowani)'!$I$2:$I$4580,'Uczniowie (zanonimizowani)'!$B$2:$B$4580,C157,'Uczniowie (zanonimizowani)'!$E$2:$E$4580,A157,'Uczniowie (zanonimizowani)'!$F$2:$F$4580,B157),"")</f>
        <v>0.64964090165683</v>
      </c>
      <c r="H157" s="7" t="n">
        <f aca="false">IFERROR(AVERAGEIFS('Uczniowie (zanonimizowani)'!$I$2:$I$4580,'Uczniowie (zanonimizowani)'!$B$2:$B$4580,C157,'Uczniowie (zanonimizowani)'!$E$2:$E$4580,A157,'Uczniowie (zanonimizowani)'!$F$2:$F$4580,B157,'Uczniowie (zanonimizowani)'!$K$2:$K$4580,"NIE"),"")</f>
        <v>0.677244897959184</v>
      </c>
      <c r="I157" s="7" t="n">
        <f aca="false">IFERROR(H157-G157,"")</f>
        <v>0.0276039963023537</v>
      </c>
    </row>
    <row r="158" customFormat="false" ht="15" hidden="false" customHeight="false" outlineLevel="0" collapsed="false">
      <c r="A158" s="5" t="s">
        <v>89</v>
      </c>
      <c r="B158" s="5" t="s">
        <v>39</v>
      </c>
      <c r="C158" s="5" t="s">
        <v>47</v>
      </c>
      <c r="D158" s="5" t="n">
        <f aca="false">COUNTIFS('Uczniowie (zanonimizowani)'!$B$2:$B$4580,C158,'Uczniowie (zanonimizowani)'!$E$2:$E$4580,A158,'Uczniowie (zanonimizowani)'!$F$2:$F$4580,B158)</f>
        <v>26</v>
      </c>
      <c r="E158" s="5" t="n">
        <f aca="false">COUNTIFS('Uczniowie (zanonimizowani)'!$B$2:$B$4580,C158,'Uczniowie (zanonimizowani)'!$E$2:$E$4580,A158,'Uczniowie (zanonimizowani)'!$F$2:$F$4580,B158,'Uczniowie (zanonimizowani)'!$K$2:$K$4580,"TAK")</f>
        <v>1</v>
      </c>
      <c r="F158" s="7" t="n">
        <f aca="false">IFERROR(E158/D158,"")</f>
        <v>0.0384615384615385</v>
      </c>
      <c r="G158" s="7" t="n">
        <f aca="false">IFERROR(AVERAGEIFS('Uczniowie (zanonimizowani)'!$I$2:$I$4580,'Uczniowie (zanonimizowani)'!$B$2:$B$4580,C158,'Uczniowie (zanonimizowani)'!$E$2:$E$4580,A158,'Uczniowie (zanonimizowani)'!$F$2:$F$4580,B158),"")</f>
        <v>0.781167235208307</v>
      </c>
      <c r="H158" s="7" t="n">
        <f aca="false">IFERROR(AVERAGEIFS('Uczniowie (zanonimizowani)'!$I$2:$I$4580,'Uczniowie (zanonimizowani)'!$B$2:$B$4580,C158,'Uczniowie (zanonimizowani)'!$E$2:$E$4580,A158,'Uczniowie (zanonimizowani)'!$F$2:$F$4580,B158,'Uczniowie (zanonimizowani)'!$K$2:$K$4580,"NIE"),"")</f>
        <v>0.792848707225335</v>
      </c>
      <c r="I158" s="7" t="n">
        <f aca="false">IFERROR(H158-G158,"")</f>
        <v>0.011681472017028</v>
      </c>
    </row>
    <row r="159" customFormat="false" ht="15" hidden="false" customHeight="false" outlineLevel="0" collapsed="false">
      <c r="A159" s="5" t="s">
        <v>89</v>
      </c>
      <c r="B159" s="5" t="s">
        <v>40</v>
      </c>
      <c r="C159" s="5" t="s">
        <v>47</v>
      </c>
      <c r="D159" s="5" t="n">
        <f aca="false">COUNTIFS('Uczniowie (zanonimizowani)'!$B$2:$B$4580,C159,'Uczniowie (zanonimizowani)'!$E$2:$E$4580,A159,'Uczniowie (zanonimizowani)'!$F$2:$F$4580,B159)</f>
        <v>25</v>
      </c>
      <c r="E159" s="5" t="n">
        <f aca="false">COUNTIFS('Uczniowie (zanonimizowani)'!$B$2:$B$4580,C159,'Uczniowie (zanonimizowani)'!$E$2:$E$4580,A159,'Uczniowie (zanonimizowani)'!$F$2:$F$4580,B159,'Uczniowie (zanonimizowani)'!$K$2:$K$4580,"TAK")</f>
        <v>0</v>
      </c>
      <c r="F159" s="7" t="n">
        <f aca="false">IFERROR(E159/D159,"")</f>
        <v>0</v>
      </c>
      <c r="G159" s="7" t="n">
        <f aca="false">IFERROR(AVERAGEIFS('Uczniowie (zanonimizowani)'!$I$2:$I$4580,'Uczniowie (zanonimizowani)'!$B$2:$B$4580,C159,'Uczniowie (zanonimizowani)'!$E$2:$E$4580,A159,'Uczniowie (zanonimizowani)'!$F$2:$F$4580,B159),"")</f>
        <v>0.646888997431166</v>
      </c>
      <c r="H159" s="7" t="n">
        <f aca="false">IFERROR(AVERAGEIFS('Uczniowie (zanonimizowani)'!$I$2:$I$4580,'Uczniowie (zanonimizowani)'!$B$2:$B$4580,C159,'Uczniowie (zanonimizowani)'!$E$2:$E$4580,A159,'Uczniowie (zanonimizowani)'!$F$2:$F$4580,B159,'Uczniowie (zanonimizowani)'!$K$2:$K$4580,"NIE"),"")</f>
        <v>0.646888997431166</v>
      </c>
      <c r="I159" s="7" t="n">
        <f aca="false">IFERROR(H159-G159,"")</f>
        <v>0</v>
      </c>
    </row>
    <row r="160" customFormat="false" ht="15" hidden="false" customHeight="false" outlineLevel="0" collapsed="false">
      <c r="A160" s="5" t="s">
        <v>55</v>
      </c>
      <c r="B160" s="5" t="s">
        <v>39</v>
      </c>
      <c r="C160" s="5" t="s">
        <v>85</v>
      </c>
      <c r="D160" s="5" t="n">
        <f aca="false">COUNTIFS('Uczniowie (zanonimizowani)'!$B$2:$B$4580,C160,'Uczniowie (zanonimizowani)'!$E$2:$E$4580,A160,'Uczniowie (zanonimizowani)'!$F$2:$F$4580,B160)</f>
        <v>13</v>
      </c>
      <c r="E160" s="5" t="n">
        <f aca="false">COUNTIFS('Uczniowie (zanonimizowani)'!$B$2:$B$4580,C160,'Uczniowie (zanonimizowani)'!$E$2:$E$4580,A160,'Uczniowie (zanonimizowani)'!$F$2:$F$4580,B160,'Uczniowie (zanonimizowani)'!$K$2:$K$4580,"TAK")</f>
        <v>0</v>
      </c>
      <c r="F160" s="7" t="n">
        <f aca="false">IFERROR(E160/D160,"")</f>
        <v>0</v>
      </c>
      <c r="G160" s="7" t="n">
        <f aca="false">IFERROR(AVERAGEIFS('Uczniowie (zanonimizowani)'!$I$2:$I$4580,'Uczniowie (zanonimizowani)'!$B$2:$B$4580,C160,'Uczniowie (zanonimizowani)'!$E$2:$E$4580,A160,'Uczniowie (zanonimizowani)'!$F$2:$F$4580,B160),"")</f>
        <v>0.749525882331509</v>
      </c>
      <c r="H160" s="7" t="n">
        <f aca="false">IFERROR(AVERAGEIFS('Uczniowie (zanonimizowani)'!$I$2:$I$4580,'Uczniowie (zanonimizowani)'!$B$2:$B$4580,C160,'Uczniowie (zanonimizowani)'!$E$2:$E$4580,A160,'Uczniowie (zanonimizowani)'!$F$2:$F$4580,B160,'Uczniowie (zanonimizowani)'!$K$2:$K$4580,"NIE"),"")</f>
        <v>0.749525882331509</v>
      </c>
      <c r="I160" s="7" t="n">
        <f aca="false">IFERROR(H160-G160,"")</f>
        <v>0</v>
      </c>
    </row>
    <row r="161" customFormat="false" ht="15" hidden="false" customHeight="false" outlineLevel="0" collapsed="false">
      <c r="A161" s="5" t="s">
        <v>55</v>
      </c>
      <c r="B161" s="5" t="s">
        <v>40</v>
      </c>
      <c r="C161" s="5" t="s">
        <v>85</v>
      </c>
      <c r="D161" s="5" t="n">
        <f aca="false">COUNTIFS('Uczniowie (zanonimizowani)'!$B$2:$B$4580,C161,'Uczniowie (zanonimizowani)'!$E$2:$E$4580,A161,'Uczniowie (zanonimizowani)'!$F$2:$F$4580,B161)</f>
        <v>13</v>
      </c>
      <c r="E161" s="5" t="n">
        <f aca="false">COUNTIFS('Uczniowie (zanonimizowani)'!$B$2:$B$4580,C161,'Uczniowie (zanonimizowani)'!$E$2:$E$4580,A161,'Uczniowie (zanonimizowani)'!$F$2:$F$4580,B161,'Uczniowie (zanonimizowani)'!$K$2:$K$4580,"TAK")</f>
        <v>0</v>
      </c>
      <c r="F161" s="7" t="n">
        <f aca="false">IFERROR(E161/D161,"")</f>
        <v>0</v>
      </c>
      <c r="G161" s="7" t="n">
        <f aca="false">IFERROR(AVERAGEIFS('Uczniowie (zanonimizowani)'!$I$2:$I$4580,'Uczniowie (zanonimizowani)'!$B$2:$B$4580,C161,'Uczniowie (zanonimizowani)'!$E$2:$E$4580,A161,'Uczniowie (zanonimizowani)'!$F$2:$F$4580,B161),"")</f>
        <v>0.699611192374422</v>
      </c>
      <c r="H161" s="7" t="n">
        <f aca="false">IFERROR(AVERAGEIFS('Uczniowie (zanonimizowani)'!$I$2:$I$4580,'Uczniowie (zanonimizowani)'!$B$2:$B$4580,C161,'Uczniowie (zanonimizowani)'!$E$2:$E$4580,A161,'Uczniowie (zanonimizowani)'!$F$2:$F$4580,B161,'Uczniowie (zanonimizowani)'!$K$2:$K$4580,"NIE"),"")</f>
        <v>0.699611192374422</v>
      </c>
      <c r="I161" s="7" t="n">
        <f aca="false">IFERROR(H161-G161,"")</f>
        <v>0</v>
      </c>
    </row>
    <row r="162" customFormat="false" ht="15" hidden="false" customHeight="false" outlineLevel="0" collapsed="false">
      <c r="A162" s="5" t="s">
        <v>75</v>
      </c>
      <c r="B162" s="5" t="s">
        <v>39</v>
      </c>
      <c r="C162" s="5" t="s">
        <v>85</v>
      </c>
      <c r="D162" s="5" t="n">
        <f aca="false">COUNTIFS('Uczniowie (zanonimizowani)'!$B$2:$B$4580,C162,'Uczniowie (zanonimizowani)'!$E$2:$E$4580,A162,'Uczniowie (zanonimizowani)'!$F$2:$F$4580,B162)</f>
        <v>20</v>
      </c>
      <c r="E162" s="5" t="n">
        <f aca="false">COUNTIFS('Uczniowie (zanonimizowani)'!$B$2:$B$4580,C162,'Uczniowie (zanonimizowani)'!$E$2:$E$4580,A162,'Uczniowie (zanonimizowani)'!$F$2:$F$4580,B162,'Uczniowie (zanonimizowani)'!$K$2:$K$4580,"TAK")</f>
        <v>0</v>
      </c>
      <c r="F162" s="7" t="n">
        <f aca="false">IFERROR(E162/D162,"")</f>
        <v>0</v>
      </c>
      <c r="G162" s="7" t="n">
        <f aca="false">IFERROR(AVERAGEIFS('Uczniowie (zanonimizowani)'!$I$2:$I$4580,'Uczniowie (zanonimizowani)'!$B$2:$B$4580,C162,'Uczniowie (zanonimizowani)'!$E$2:$E$4580,A162,'Uczniowie (zanonimizowani)'!$F$2:$F$4580,B162),"")</f>
        <v>0.813278221587111</v>
      </c>
      <c r="H162" s="7" t="n">
        <f aca="false">IFERROR(AVERAGEIFS('Uczniowie (zanonimizowani)'!$I$2:$I$4580,'Uczniowie (zanonimizowani)'!$B$2:$B$4580,C162,'Uczniowie (zanonimizowani)'!$E$2:$E$4580,A162,'Uczniowie (zanonimizowani)'!$F$2:$F$4580,B162,'Uczniowie (zanonimizowani)'!$K$2:$K$4580,"NIE"),"")</f>
        <v>0.813278221587111</v>
      </c>
      <c r="I162" s="7" t="n">
        <f aca="false">IFERROR(H162-G162,"")</f>
        <v>0</v>
      </c>
    </row>
    <row r="163" customFormat="false" ht="15" hidden="false" customHeight="false" outlineLevel="0" collapsed="false">
      <c r="A163" s="5" t="s">
        <v>75</v>
      </c>
      <c r="B163" s="5" t="s">
        <v>40</v>
      </c>
      <c r="C163" s="5" t="s">
        <v>85</v>
      </c>
      <c r="D163" s="5" t="n">
        <f aca="false">COUNTIFS('Uczniowie (zanonimizowani)'!$B$2:$B$4580,C163,'Uczniowie (zanonimizowani)'!$E$2:$E$4580,A163,'Uczniowie (zanonimizowani)'!$F$2:$F$4580,B163)</f>
        <v>20</v>
      </c>
      <c r="E163" s="5" t="n">
        <f aca="false">COUNTIFS('Uczniowie (zanonimizowani)'!$B$2:$B$4580,C163,'Uczniowie (zanonimizowani)'!$E$2:$E$4580,A163,'Uczniowie (zanonimizowani)'!$F$2:$F$4580,B163,'Uczniowie (zanonimizowani)'!$K$2:$K$4580,"TAK")</f>
        <v>0</v>
      </c>
      <c r="F163" s="7" t="n">
        <f aca="false">IFERROR(E163/D163,"")</f>
        <v>0</v>
      </c>
      <c r="G163" s="7" t="n">
        <f aca="false">IFERROR(AVERAGEIFS('Uczniowie (zanonimizowani)'!$I$2:$I$4580,'Uczniowie (zanonimizowani)'!$B$2:$B$4580,C163,'Uczniowie (zanonimizowani)'!$E$2:$E$4580,A163,'Uczniowie (zanonimizowani)'!$F$2:$F$4580,B163),"")</f>
        <v>0.714856847423326</v>
      </c>
      <c r="H163" s="7" t="n">
        <f aca="false">IFERROR(AVERAGEIFS('Uczniowie (zanonimizowani)'!$I$2:$I$4580,'Uczniowie (zanonimizowani)'!$B$2:$B$4580,C163,'Uczniowie (zanonimizowani)'!$E$2:$E$4580,A163,'Uczniowie (zanonimizowani)'!$F$2:$F$4580,B163,'Uczniowie (zanonimizowani)'!$K$2:$K$4580,"NIE"),"")</f>
        <v>0.714856847423326</v>
      </c>
      <c r="I163" s="7" t="n">
        <f aca="false">IFERROR(H163-G163,"")</f>
        <v>0</v>
      </c>
    </row>
    <row r="164" customFormat="false" ht="15" hidden="false" customHeight="false" outlineLevel="0" collapsed="false">
      <c r="A164" s="5" t="s">
        <v>55</v>
      </c>
      <c r="B164" s="5" t="s">
        <v>39</v>
      </c>
      <c r="C164" s="5" t="s">
        <v>54</v>
      </c>
      <c r="D164" s="5" t="n">
        <f aca="false">COUNTIFS('Uczniowie (zanonimizowani)'!$B$2:$B$4580,C164,'Uczniowie (zanonimizowani)'!$E$2:$E$4580,A164,'Uczniowie (zanonimizowani)'!$F$2:$F$4580,B164)</f>
        <v>29</v>
      </c>
      <c r="E164" s="5" t="n">
        <f aca="false">COUNTIFS('Uczniowie (zanonimizowani)'!$B$2:$B$4580,C164,'Uczniowie (zanonimizowani)'!$E$2:$E$4580,A164,'Uczniowie (zanonimizowani)'!$F$2:$F$4580,B164,'Uczniowie (zanonimizowani)'!$K$2:$K$4580,"TAK")</f>
        <v>2</v>
      </c>
      <c r="F164" s="7" t="n">
        <f aca="false">IFERROR(E164/D164,"")</f>
        <v>0.0689655172413793</v>
      </c>
      <c r="G164" s="7" t="n">
        <f aca="false">IFERROR(AVERAGEIFS('Uczniowie (zanonimizowani)'!$I$2:$I$4580,'Uczniowie (zanonimizowani)'!$B$2:$B$4580,C164,'Uczniowie (zanonimizowani)'!$E$2:$E$4580,A164,'Uczniowie (zanonimizowani)'!$F$2:$F$4580,B164),"")</f>
        <v>0.724758230156684</v>
      </c>
      <c r="H164" s="7" t="n">
        <f aca="false">IFERROR(AVERAGEIFS('Uczniowie (zanonimizowani)'!$I$2:$I$4580,'Uczniowie (zanonimizowani)'!$B$2:$B$4580,C164,'Uczniowie (zanonimizowani)'!$E$2:$E$4580,A164,'Uczniowie (zanonimizowani)'!$F$2:$F$4580,B164,'Uczniowie (zanonimizowani)'!$K$2:$K$4580,"NIE"),"")</f>
        <v>0.744685680507388</v>
      </c>
      <c r="I164" s="7" t="n">
        <f aca="false">IFERROR(H164-G164,"")</f>
        <v>0.0199274503507041</v>
      </c>
    </row>
    <row r="165" customFormat="false" ht="15" hidden="false" customHeight="false" outlineLevel="0" collapsed="false">
      <c r="A165" s="5" t="s">
        <v>55</v>
      </c>
      <c r="B165" s="5" t="s">
        <v>40</v>
      </c>
      <c r="C165" s="5" t="s">
        <v>54</v>
      </c>
      <c r="D165" s="5" t="n">
        <f aca="false">COUNTIFS('Uczniowie (zanonimizowani)'!$B$2:$B$4580,C165,'Uczniowie (zanonimizowani)'!$E$2:$E$4580,A165,'Uczniowie (zanonimizowani)'!$F$2:$F$4580,B165)</f>
        <v>29</v>
      </c>
      <c r="E165" s="5" t="n">
        <f aca="false">COUNTIFS('Uczniowie (zanonimizowani)'!$B$2:$B$4580,C165,'Uczniowie (zanonimizowani)'!$E$2:$E$4580,A165,'Uczniowie (zanonimizowani)'!$F$2:$F$4580,B165,'Uczniowie (zanonimizowani)'!$K$2:$K$4580,"TAK")</f>
        <v>0</v>
      </c>
      <c r="F165" s="7" t="n">
        <f aca="false">IFERROR(E165/D165,"")</f>
        <v>0</v>
      </c>
      <c r="G165" s="7" t="n">
        <f aca="false">IFERROR(AVERAGEIFS('Uczniowie (zanonimizowani)'!$I$2:$I$4580,'Uczniowie (zanonimizowani)'!$B$2:$B$4580,C165,'Uczniowie (zanonimizowani)'!$E$2:$E$4580,A165,'Uczniowie (zanonimizowani)'!$F$2:$F$4580,B165),"")</f>
        <v>0.571359288923618</v>
      </c>
      <c r="H165" s="7" t="n">
        <f aca="false">IFERROR(AVERAGEIFS('Uczniowie (zanonimizowani)'!$I$2:$I$4580,'Uczniowie (zanonimizowani)'!$B$2:$B$4580,C165,'Uczniowie (zanonimizowani)'!$E$2:$E$4580,A165,'Uczniowie (zanonimizowani)'!$F$2:$F$4580,B165,'Uczniowie (zanonimizowani)'!$K$2:$K$4580,"NIE"),"")</f>
        <v>0.571359288923618</v>
      </c>
      <c r="I165" s="7" t="n">
        <f aca="false">IFERROR(H165-G165,"")</f>
        <v>0</v>
      </c>
    </row>
    <row r="166" customFormat="false" ht="15" hidden="false" customHeight="false" outlineLevel="0" collapsed="false">
      <c r="A166" s="5" t="s">
        <v>75</v>
      </c>
      <c r="B166" s="5" t="s">
        <v>39</v>
      </c>
      <c r="C166" s="5" t="s">
        <v>54</v>
      </c>
      <c r="D166" s="5" t="n">
        <f aca="false">COUNTIFS('Uczniowie (zanonimizowani)'!$B$2:$B$4580,C166,'Uczniowie (zanonimizowani)'!$E$2:$E$4580,A166,'Uczniowie (zanonimizowani)'!$F$2:$F$4580,B166)</f>
        <v>24</v>
      </c>
      <c r="E166" s="5" t="n">
        <f aca="false">COUNTIFS('Uczniowie (zanonimizowani)'!$B$2:$B$4580,C166,'Uczniowie (zanonimizowani)'!$E$2:$E$4580,A166,'Uczniowie (zanonimizowani)'!$F$2:$F$4580,B166,'Uczniowie (zanonimizowani)'!$K$2:$K$4580,"TAK")</f>
        <v>0</v>
      </c>
      <c r="F166" s="7" t="n">
        <f aca="false">IFERROR(E166/D166,"")</f>
        <v>0</v>
      </c>
      <c r="G166" s="7" t="n">
        <f aca="false">IFERROR(AVERAGEIFS('Uczniowie (zanonimizowani)'!$I$2:$I$4580,'Uczniowie (zanonimizowani)'!$B$2:$B$4580,C166,'Uczniowie (zanonimizowani)'!$E$2:$E$4580,A166,'Uczniowie (zanonimizowani)'!$F$2:$F$4580,B166),"")</f>
        <v>0.749181113365615</v>
      </c>
      <c r="H166" s="7" t="n">
        <f aca="false">IFERROR(AVERAGEIFS('Uczniowie (zanonimizowani)'!$I$2:$I$4580,'Uczniowie (zanonimizowani)'!$B$2:$B$4580,C166,'Uczniowie (zanonimizowani)'!$E$2:$E$4580,A166,'Uczniowie (zanonimizowani)'!$F$2:$F$4580,B166,'Uczniowie (zanonimizowani)'!$K$2:$K$4580,"NIE"),"")</f>
        <v>0.749181113365615</v>
      </c>
      <c r="I166" s="7" t="n">
        <f aca="false">IFERROR(H166-G166,"")</f>
        <v>0</v>
      </c>
    </row>
    <row r="167" customFormat="false" ht="15" hidden="false" customHeight="false" outlineLevel="0" collapsed="false">
      <c r="A167" s="5" t="s">
        <v>75</v>
      </c>
      <c r="B167" s="5" t="s">
        <v>40</v>
      </c>
      <c r="C167" s="5" t="s">
        <v>54</v>
      </c>
      <c r="D167" s="5" t="n">
        <f aca="false">COUNTIFS('Uczniowie (zanonimizowani)'!$B$2:$B$4580,C167,'Uczniowie (zanonimizowani)'!$E$2:$E$4580,A167,'Uczniowie (zanonimizowani)'!$F$2:$F$4580,B167)</f>
        <v>24</v>
      </c>
      <c r="E167" s="5" t="n">
        <f aca="false">COUNTIFS('Uczniowie (zanonimizowani)'!$B$2:$B$4580,C167,'Uczniowie (zanonimizowani)'!$E$2:$E$4580,A167,'Uczniowie (zanonimizowani)'!$F$2:$F$4580,B167,'Uczniowie (zanonimizowani)'!$K$2:$K$4580,"TAK")</f>
        <v>0</v>
      </c>
      <c r="F167" s="7" t="n">
        <f aca="false">IFERROR(E167/D167,"")</f>
        <v>0</v>
      </c>
      <c r="G167" s="7" t="n">
        <f aca="false">IFERROR(AVERAGEIFS('Uczniowie (zanonimizowani)'!$I$2:$I$4580,'Uczniowie (zanonimizowani)'!$B$2:$B$4580,C167,'Uczniowie (zanonimizowani)'!$E$2:$E$4580,A167,'Uczniowie (zanonimizowani)'!$F$2:$F$4580,B167),"")</f>
        <v>0.640170386332013</v>
      </c>
      <c r="H167" s="7" t="n">
        <f aca="false">IFERROR(AVERAGEIFS('Uczniowie (zanonimizowani)'!$I$2:$I$4580,'Uczniowie (zanonimizowani)'!$B$2:$B$4580,C167,'Uczniowie (zanonimizowani)'!$E$2:$E$4580,A167,'Uczniowie (zanonimizowani)'!$F$2:$F$4580,B167,'Uczniowie (zanonimizowani)'!$K$2:$K$4580,"NIE"),"")</f>
        <v>0.640170386332013</v>
      </c>
      <c r="I167" s="7" t="n">
        <f aca="false">IFERROR(H167-G167,"")</f>
        <v>0</v>
      </c>
    </row>
    <row r="168" customFormat="false" ht="15" hidden="false" customHeight="false" outlineLevel="0" collapsed="false">
      <c r="A168" s="5" t="s">
        <v>55</v>
      </c>
      <c r="B168" s="5" t="s">
        <v>39</v>
      </c>
      <c r="C168" s="5" t="s">
        <v>61</v>
      </c>
      <c r="D168" s="5" t="n">
        <f aca="false">COUNTIFS('Uczniowie (zanonimizowani)'!$B$2:$B$4580,C168,'Uczniowie (zanonimizowani)'!$E$2:$E$4580,A168,'Uczniowie (zanonimizowani)'!$F$2:$F$4580,B168)</f>
        <v>22</v>
      </c>
      <c r="E168" s="5" t="n">
        <f aca="false">COUNTIFS('Uczniowie (zanonimizowani)'!$B$2:$B$4580,C168,'Uczniowie (zanonimizowani)'!$E$2:$E$4580,A168,'Uczniowie (zanonimizowani)'!$F$2:$F$4580,B168,'Uczniowie (zanonimizowani)'!$K$2:$K$4580,"TAK")</f>
        <v>0</v>
      </c>
      <c r="F168" s="7" t="n">
        <f aca="false">IFERROR(E168/D168,"")</f>
        <v>0</v>
      </c>
      <c r="G168" s="7" t="n">
        <f aca="false">IFERROR(AVERAGEIFS('Uczniowie (zanonimizowani)'!$I$2:$I$4580,'Uczniowie (zanonimizowani)'!$B$2:$B$4580,C168,'Uczniowie (zanonimizowani)'!$E$2:$E$4580,A168,'Uczniowie (zanonimizowani)'!$F$2:$F$4580,B168),"")</f>
        <v>0.829588993382097</v>
      </c>
      <c r="H168" s="7" t="n">
        <f aca="false">IFERROR(AVERAGEIFS('Uczniowie (zanonimizowani)'!$I$2:$I$4580,'Uczniowie (zanonimizowani)'!$B$2:$B$4580,C168,'Uczniowie (zanonimizowani)'!$E$2:$E$4580,A168,'Uczniowie (zanonimizowani)'!$F$2:$F$4580,B168,'Uczniowie (zanonimizowani)'!$K$2:$K$4580,"NIE"),"")</f>
        <v>0.829588993382097</v>
      </c>
      <c r="I168" s="7" t="n">
        <f aca="false">IFERROR(H168-G168,"")</f>
        <v>0</v>
      </c>
    </row>
    <row r="169" customFormat="false" ht="15" hidden="false" customHeight="false" outlineLevel="0" collapsed="false">
      <c r="A169" s="5" t="s">
        <v>55</v>
      </c>
      <c r="B169" s="5" t="s">
        <v>40</v>
      </c>
      <c r="C169" s="5" t="s">
        <v>61</v>
      </c>
      <c r="D169" s="5" t="n">
        <f aca="false">COUNTIFS('Uczniowie (zanonimizowani)'!$B$2:$B$4580,C169,'Uczniowie (zanonimizowani)'!$E$2:$E$4580,A169,'Uczniowie (zanonimizowani)'!$F$2:$F$4580,B169)</f>
        <v>22</v>
      </c>
      <c r="E169" s="5" t="n">
        <f aca="false">COUNTIFS('Uczniowie (zanonimizowani)'!$B$2:$B$4580,C169,'Uczniowie (zanonimizowani)'!$E$2:$E$4580,A169,'Uczniowie (zanonimizowani)'!$F$2:$F$4580,B169,'Uczniowie (zanonimizowani)'!$K$2:$K$4580,"TAK")</f>
        <v>0</v>
      </c>
      <c r="F169" s="7" t="n">
        <f aca="false">IFERROR(E169/D169,"")</f>
        <v>0</v>
      </c>
      <c r="G169" s="7" t="n">
        <f aca="false">IFERROR(AVERAGEIFS('Uczniowie (zanonimizowani)'!$I$2:$I$4580,'Uczniowie (zanonimizowani)'!$B$2:$B$4580,C169,'Uczniowie (zanonimizowani)'!$E$2:$E$4580,A169,'Uczniowie (zanonimizowani)'!$F$2:$F$4580,B169),"")</f>
        <v>0.675787357605539</v>
      </c>
      <c r="H169" s="7" t="n">
        <f aca="false">IFERROR(AVERAGEIFS('Uczniowie (zanonimizowani)'!$I$2:$I$4580,'Uczniowie (zanonimizowani)'!$B$2:$B$4580,C169,'Uczniowie (zanonimizowani)'!$E$2:$E$4580,A169,'Uczniowie (zanonimizowani)'!$F$2:$F$4580,B169,'Uczniowie (zanonimizowani)'!$K$2:$K$4580,"NIE"),"")</f>
        <v>0.675787357605539</v>
      </c>
      <c r="I169" s="7" t="n">
        <f aca="false">IFERROR(H169-G169,"")</f>
        <v>0</v>
      </c>
    </row>
    <row r="170" customFormat="false" ht="15" hidden="false" customHeight="false" outlineLevel="0" collapsed="false">
      <c r="A170" s="5" t="s">
        <v>57</v>
      </c>
      <c r="B170" s="5" t="s">
        <v>39</v>
      </c>
      <c r="C170" s="5" t="s">
        <v>61</v>
      </c>
      <c r="D170" s="5" t="n">
        <f aca="false">COUNTIFS('Uczniowie (zanonimizowani)'!$B$2:$B$4580,C170,'Uczniowie (zanonimizowani)'!$E$2:$E$4580,A170,'Uczniowie (zanonimizowani)'!$F$2:$F$4580,B170)</f>
        <v>18</v>
      </c>
      <c r="E170" s="5" t="n">
        <f aca="false">COUNTIFS('Uczniowie (zanonimizowani)'!$B$2:$B$4580,C170,'Uczniowie (zanonimizowani)'!$E$2:$E$4580,A170,'Uczniowie (zanonimizowani)'!$F$2:$F$4580,B170,'Uczniowie (zanonimizowani)'!$K$2:$K$4580,"TAK")</f>
        <v>0</v>
      </c>
      <c r="F170" s="7" t="n">
        <f aca="false">IFERROR(E170/D170,"")</f>
        <v>0</v>
      </c>
      <c r="G170" s="7" t="n">
        <f aca="false">IFERROR(AVERAGEIFS('Uczniowie (zanonimizowani)'!$I$2:$I$4580,'Uczniowie (zanonimizowani)'!$B$2:$B$4580,C170,'Uczniowie (zanonimizowani)'!$E$2:$E$4580,A170,'Uczniowie (zanonimizowani)'!$F$2:$F$4580,B170),"")</f>
        <v>0.749849920392556</v>
      </c>
      <c r="H170" s="7" t="n">
        <f aca="false">IFERROR(AVERAGEIFS('Uczniowie (zanonimizowani)'!$I$2:$I$4580,'Uczniowie (zanonimizowani)'!$B$2:$B$4580,C170,'Uczniowie (zanonimizowani)'!$E$2:$E$4580,A170,'Uczniowie (zanonimizowani)'!$F$2:$F$4580,B170,'Uczniowie (zanonimizowani)'!$K$2:$K$4580,"NIE"),"")</f>
        <v>0.749849920392556</v>
      </c>
      <c r="I170" s="7" t="n">
        <f aca="false">IFERROR(H170-G170,"")</f>
        <v>0</v>
      </c>
    </row>
    <row r="171" customFormat="false" ht="15" hidden="false" customHeight="false" outlineLevel="0" collapsed="false">
      <c r="A171" s="5" t="s">
        <v>57</v>
      </c>
      <c r="B171" s="5" t="s">
        <v>40</v>
      </c>
      <c r="C171" s="5" t="s">
        <v>61</v>
      </c>
      <c r="D171" s="5" t="n">
        <f aca="false">COUNTIFS('Uczniowie (zanonimizowani)'!$B$2:$B$4580,C171,'Uczniowie (zanonimizowani)'!$E$2:$E$4580,A171,'Uczniowie (zanonimizowani)'!$F$2:$F$4580,B171)</f>
        <v>18</v>
      </c>
      <c r="E171" s="5" t="n">
        <f aca="false">COUNTIFS('Uczniowie (zanonimizowani)'!$B$2:$B$4580,C171,'Uczniowie (zanonimizowani)'!$E$2:$E$4580,A171,'Uczniowie (zanonimizowani)'!$F$2:$F$4580,B171,'Uczniowie (zanonimizowani)'!$K$2:$K$4580,"TAK")</f>
        <v>1</v>
      </c>
      <c r="F171" s="7" t="n">
        <f aca="false">IFERROR(E171/D171,"")</f>
        <v>0.0555555555555556</v>
      </c>
      <c r="G171" s="7" t="n">
        <f aca="false">IFERROR(AVERAGEIFS('Uczniowie (zanonimizowani)'!$I$2:$I$4580,'Uczniowie (zanonimizowani)'!$B$2:$B$4580,C171,'Uczniowie (zanonimizowani)'!$E$2:$E$4580,A171,'Uczniowie (zanonimizowani)'!$F$2:$F$4580,B171),"")</f>
        <v>0.536780697871225</v>
      </c>
      <c r="H171" s="7" t="n">
        <f aca="false">IFERROR(AVERAGEIFS('Uczniowie (zanonimizowani)'!$I$2:$I$4580,'Uczniowie (zanonimizowani)'!$B$2:$B$4580,C171,'Uczniowie (zanonimizowani)'!$E$2:$E$4580,A171,'Uczniowie (zanonimizowani)'!$F$2:$F$4580,B171,'Uczniowie (zanonimizowani)'!$K$2:$K$4580,"NIE"),"")</f>
        <v>0.550388118601618</v>
      </c>
      <c r="I171" s="7" t="n">
        <f aca="false">IFERROR(H171-G171,"")</f>
        <v>0.0136074207303929</v>
      </c>
    </row>
    <row r="172" customFormat="false" ht="15" hidden="false" customHeight="false" outlineLevel="0" collapsed="false">
      <c r="A172" s="5" t="s">
        <v>75</v>
      </c>
      <c r="B172" s="5" t="s">
        <v>39</v>
      </c>
      <c r="C172" s="5" t="s">
        <v>61</v>
      </c>
      <c r="D172" s="5" t="n">
        <f aca="false">COUNTIFS('Uczniowie (zanonimizowani)'!$B$2:$B$4580,C172,'Uczniowie (zanonimizowani)'!$E$2:$E$4580,A172,'Uczniowie (zanonimizowani)'!$F$2:$F$4580,B172)</f>
        <v>23</v>
      </c>
      <c r="E172" s="5" t="n">
        <f aca="false">COUNTIFS('Uczniowie (zanonimizowani)'!$B$2:$B$4580,C172,'Uczniowie (zanonimizowani)'!$E$2:$E$4580,A172,'Uczniowie (zanonimizowani)'!$F$2:$F$4580,B172,'Uczniowie (zanonimizowani)'!$K$2:$K$4580,"TAK")</f>
        <v>0</v>
      </c>
      <c r="F172" s="7" t="n">
        <f aca="false">IFERROR(E172/D172,"")</f>
        <v>0</v>
      </c>
      <c r="G172" s="7" t="n">
        <f aca="false">IFERROR(AVERAGEIFS('Uczniowie (zanonimizowani)'!$I$2:$I$4580,'Uczniowie (zanonimizowani)'!$B$2:$B$4580,C172,'Uczniowie (zanonimizowani)'!$E$2:$E$4580,A172,'Uczniowie (zanonimizowani)'!$F$2:$F$4580,B172),"")</f>
        <v>0.789068908941756</v>
      </c>
      <c r="H172" s="7" t="n">
        <f aca="false">IFERROR(AVERAGEIFS('Uczniowie (zanonimizowani)'!$I$2:$I$4580,'Uczniowie (zanonimizowani)'!$B$2:$B$4580,C172,'Uczniowie (zanonimizowani)'!$E$2:$E$4580,A172,'Uczniowie (zanonimizowani)'!$F$2:$F$4580,B172,'Uczniowie (zanonimizowani)'!$K$2:$K$4580,"NIE"),"")</f>
        <v>0.789068908941756</v>
      </c>
      <c r="I172" s="7" t="n">
        <f aca="false">IFERROR(H172-G172,"")</f>
        <v>0</v>
      </c>
    </row>
    <row r="173" customFormat="false" ht="15" hidden="false" customHeight="false" outlineLevel="0" collapsed="false">
      <c r="A173" s="5" t="s">
        <v>75</v>
      </c>
      <c r="B173" s="5" t="s">
        <v>40</v>
      </c>
      <c r="C173" s="5" t="s">
        <v>61</v>
      </c>
      <c r="D173" s="5" t="n">
        <f aca="false">COUNTIFS('Uczniowie (zanonimizowani)'!$B$2:$B$4580,C173,'Uczniowie (zanonimizowani)'!$E$2:$E$4580,A173,'Uczniowie (zanonimizowani)'!$F$2:$F$4580,B173)</f>
        <v>23</v>
      </c>
      <c r="E173" s="5" t="n">
        <f aca="false">COUNTIFS('Uczniowie (zanonimizowani)'!$B$2:$B$4580,C173,'Uczniowie (zanonimizowani)'!$E$2:$E$4580,A173,'Uczniowie (zanonimizowani)'!$F$2:$F$4580,B173,'Uczniowie (zanonimizowani)'!$K$2:$K$4580,"TAK")</f>
        <v>0</v>
      </c>
      <c r="F173" s="7" t="n">
        <f aca="false">IFERROR(E173/D173,"")</f>
        <v>0</v>
      </c>
      <c r="G173" s="7" t="n">
        <f aca="false">IFERROR(AVERAGEIFS('Uczniowie (zanonimizowani)'!$I$2:$I$4580,'Uczniowie (zanonimizowani)'!$B$2:$B$4580,C173,'Uczniowie (zanonimizowani)'!$E$2:$E$4580,A173,'Uczniowie (zanonimizowani)'!$F$2:$F$4580,B173),"")</f>
        <v>0.643193221818958</v>
      </c>
      <c r="H173" s="7" t="n">
        <f aca="false">IFERROR(AVERAGEIFS('Uczniowie (zanonimizowani)'!$I$2:$I$4580,'Uczniowie (zanonimizowani)'!$B$2:$B$4580,C173,'Uczniowie (zanonimizowani)'!$E$2:$E$4580,A173,'Uczniowie (zanonimizowani)'!$F$2:$F$4580,B173,'Uczniowie (zanonimizowani)'!$K$2:$K$4580,"NIE"),"")</f>
        <v>0.643193221818958</v>
      </c>
      <c r="I173" s="7" t="n">
        <f aca="false">IFERROR(H173-G173,"")</f>
        <v>0</v>
      </c>
    </row>
    <row r="174" customFormat="false" ht="15" hidden="false" customHeight="false" outlineLevel="0" collapsed="false">
      <c r="A174" s="5" t="s">
        <v>89</v>
      </c>
      <c r="B174" s="5" t="s">
        <v>39</v>
      </c>
      <c r="C174" s="5" t="s">
        <v>61</v>
      </c>
      <c r="D174" s="5" t="n">
        <f aca="false">COUNTIFS('Uczniowie (zanonimizowani)'!$B$2:$B$4580,C174,'Uczniowie (zanonimizowani)'!$E$2:$E$4580,A174,'Uczniowie (zanonimizowani)'!$F$2:$F$4580,B174)</f>
        <v>19</v>
      </c>
      <c r="E174" s="5" t="n">
        <f aca="false">COUNTIFS('Uczniowie (zanonimizowani)'!$B$2:$B$4580,C174,'Uczniowie (zanonimizowani)'!$E$2:$E$4580,A174,'Uczniowie (zanonimizowani)'!$F$2:$F$4580,B174,'Uczniowie (zanonimizowani)'!$K$2:$K$4580,"TAK")</f>
        <v>0</v>
      </c>
      <c r="F174" s="7" t="n">
        <f aca="false">IFERROR(E174/D174,"")</f>
        <v>0</v>
      </c>
      <c r="G174" s="7" t="n">
        <f aca="false">IFERROR(AVERAGEIFS('Uczniowie (zanonimizowani)'!$I$2:$I$4580,'Uczniowie (zanonimizowani)'!$B$2:$B$4580,C174,'Uczniowie (zanonimizowani)'!$E$2:$E$4580,A174,'Uczniowie (zanonimizowani)'!$F$2:$F$4580,B174),"")</f>
        <v>0.748090502259059</v>
      </c>
      <c r="H174" s="7" t="n">
        <f aca="false">IFERROR(AVERAGEIFS('Uczniowie (zanonimizowani)'!$I$2:$I$4580,'Uczniowie (zanonimizowani)'!$B$2:$B$4580,C174,'Uczniowie (zanonimizowani)'!$E$2:$E$4580,A174,'Uczniowie (zanonimizowani)'!$F$2:$F$4580,B174,'Uczniowie (zanonimizowani)'!$K$2:$K$4580,"NIE"),"")</f>
        <v>0.748090502259059</v>
      </c>
      <c r="I174" s="7" t="n">
        <f aca="false">IFERROR(H174-G174,"")</f>
        <v>0</v>
      </c>
    </row>
    <row r="175" customFormat="false" ht="15" hidden="false" customHeight="false" outlineLevel="0" collapsed="false">
      <c r="A175" s="5" t="s">
        <v>89</v>
      </c>
      <c r="B175" s="5" t="s">
        <v>40</v>
      </c>
      <c r="C175" s="5" t="s">
        <v>61</v>
      </c>
      <c r="D175" s="5" t="n">
        <f aca="false">COUNTIFS('Uczniowie (zanonimizowani)'!$B$2:$B$4580,C175,'Uczniowie (zanonimizowani)'!$E$2:$E$4580,A175,'Uczniowie (zanonimizowani)'!$F$2:$F$4580,B175)</f>
        <v>19</v>
      </c>
      <c r="E175" s="5" t="n">
        <f aca="false">COUNTIFS('Uczniowie (zanonimizowani)'!$B$2:$B$4580,C175,'Uczniowie (zanonimizowani)'!$E$2:$E$4580,A175,'Uczniowie (zanonimizowani)'!$F$2:$F$4580,B175,'Uczniowie (zanonimizowani)'!$K$2:$K$4580,"TAK")</f>
        <v>0</v>
      </c>
      <c r="F175" s="7" t="n">
        <f aca="false">IFERROR(E175/D175,"")</f>
        <v>0</v>
      </c>
      <c r="G175" s="7" t="n">
        <f aca="false">IFERROR(AVERAGEIFS('Uczniowie (zanonimizowani)'!$I$2:$I$4580,'Uczniowie (zanonimizowani)'!$B$2:$B$4580,C175,'Uczniowie (zanonimizowani)'!$E$2:$E$4580,A175,'Uczniowie (zanonimizowani)'!$F$2:$F$4580,B175),"")</f>
        <v>0.629583194183617</v>
      </c>
      <c r="H175" s="7" t="n">
        <f aca="false">IFERROR(AVERAGEIFS('Uczniowie (zanonimizowani)'!$I$2:$I$4580,'Uczniowie (zanonimizowani)'!$B$2:$B$4580,C175,'Uczniowie (zanonimizowani)'!$E$2:$E$4580,A175,'Uczniowie (zanonimizowani)'!$F$2:$F$4580,B175,'Uczniowie (zanonimizowani)'!$K$2:$K$4580,"NIE"),"")</f>
        <v>0.629583194183617</v>
      </c>
      <c r="I175" s="7" t="n">
        <f aca="false">IFERROR(H175-G175,"")</f>
        <v>0</v>
      </c>
    </row>
    <row r="176" customFormat="false" ht="15" hidden="false" customHeight="false" outlineLevel="0" collapsed="false">
      <c r="A176" s="5" t="s">
        <v>55</v>
      </c>
      <c r="B176" s="5" t="s">
        <v>39</v>
      </c>
      <c r="C176" s="5" t="s">
        <v>66</v>
      </c>
      <c r="D176" s="5" t="n">
        <f aca="false">COUNTIFS('Uczniowie (zanonimizowani)'!$B$2:$B$4580,C176,'Uczniowie (zanonimizowani)'!$E$2:$E$4580,A176,'Uczniowie (zanonimizowani)'!$F$2:$F$4580,B176)</f>
        <v>23</v>
      </c>
      <c r="E176" s="5" t="n">
        <f aca="false">COUNTIFS('Uczniowie (zanonimizowani)'!$B$2:$B$4580,C176,'Uczniowie (zanonimizowani)'!$E$2:$E$4580,A176,'Uczniowie (zanonimizowani)'!$F$2:$F$4580,B176,'Uczniowie (zanonimizowani)'!$K$2:$K$4580,"TAK")</f>
        <v>0</v>
      </c>
      <c r="F176" s="7" t="n">
        <f aca="false">IFERROR(E176/D176,"")</f>
        <v>0</v>
      </c>
      <c r="G176" s="7" t="n">
        <f aca="false">IFERROR(AVERAGEIFS('Uczniowie (zanonimizowani)'!$I$2:$I$4580,'Uczniowie (zanonimizowani)'!$B$2:$B$4580,C176,'Uczniowie (zanonimizowani)'!$E$2:$E$4580,A176,'Uczniowie (zanonimizowani)'!$F$2:$F$4580,B176),"")</f>
        <v>0.634010505664199</v>
      </c>
      <c r="H176" s="7" t="n">
        <f aca="false">IFERROR(AVERAGEIFS('Uczniowie (zanonimizowani)'!$I$2:$I$4580,'Uczniowie (zanonimizowani)'!$B$2:$B$4580,C176,'Uczniowie (zanonimizowani)'!$E$2:$E$4580,A176,'Uczniowie (zanonimizowani)'!$F$2:$F$4580,B176,'Uczniowie (zanonimizowani)'!$K$2:$K$4580,"NIE"),"")</f>
        <v>0.634010505664199</v>
      </c>
      <c r="I176" s="7" t="n">
        <f aca="false">IFERROR(H176-G176,"")</f>
        <v>0</v>
      </c>
    </row>
    <row r="177" customFormat="false" ht="15" hidden="false" customHeight="false" outlineLevel="0" collapsed="false">
      <c r="A177" s="5" t="s">
        <v>55</v>
      </c>
      <c r="B177" s="5" t="s">
        <v>40</v>
      </c>
      <c r="C177" s="5" t="s">
        <v>66</v>
      </c>
      <c r="D177" s="5" t="n">
        <f aca="false">COUNTIFS('Uczniowie (zanonimizowani)'!$B$2:$B$4580,C177,'Uczniowie (zanonimizowani)'!$E$2:$E$4580,A177,'Uczniowie (zanonimizowani)'!$F$2:$F$4580,B177)</f>
        <v>23</v>
      </c>
      <c r="E177" s="5" t="n">
        <f aca="false">COUNTIFS('Uczniowie (zanonimizowani)'!$B$2:$B$4580,C177,'Uczniowie (zanonimizowani)'!$E$2:$E$4580,A177,'Uczniowie (zanonimizowani)'!$F$2:$F$4580,B177,'Uczniowie (zanonimizowani)'!$K$2:$K$4580,"TAK")</f>
        <v>0</v>
      </c>
      <c r="F177" s="7" t="n">
        <f aca="false">IFERROR(E177/D177,"")</f>
        <v>0</v>
      </c>
      <c r="G177" s="7" t="n">
        <f aca="false">IFERROR(AVERAGEIFS('Uczniowie (zanonimizowani)'!$I$2:$I$4580,'Uczniowie (zanonimizowani)'!$B$2:$B$4580,C177,'Uczniowie (zanonimizowani)'!$E$2:$E$4580,A177,'Uczniowie (zanonimizowani)'!$F$2:$F$4580,B177),"")</f>
        <v>0.439868744872847</v>
      </c>
      <c r="H177" s="7" t="n">
        <f aca="false">IFERROR(AVERAGEIFS('Uczniowie (zanonimizowani)'!$I$2:$I$4580,'Uczniowie (zanonimizowani)'!$B$2:$B$4580,C177,'Uczniowie (zanonimizowani)'!$E$2:$E$4580,A177,'Uczniowie (zanonimizowani)'!$F$2:$F$4580,B177,'Uczniowie (zanonimizowani)'!$K$2:$K$4580,"NIE"),"")</f>
        <v>0.439868744872847</v>
      </c>
      <c r="I177" s="7" t="n">
        <f aca="false">IFERROR(H177-G177,"")</f>
        <v>0</v>
      </c>
    </row>
    <row r="178" customFormat="false" ht="15" hidden="false" customHeight="false" outlineLevel="0" collapsed="false">
      <c r="A178" s="5" t="s">
        <v>55</v>
      </c>
      <c r="B178" s="5" t="s">
        <v>39</v>
      </c>
      <c r="C178" s="5" t="s">
        <v>70</v>
      </c>
      <c r="D178" s="5" t="n">
        <f aca="false">COUNTIFS('Uczniowie (zanonimizowani)'!$B$2:$B$4580,C178,'Uczniowie (zanonimizowani)'!$E$2:$E$4580,A178,'Uczniowie (zanonimizowani)'!$F$2:$F$4580,B178)</f>
        <v>17</v>
      </c>
      <c r="E178" s="5" t="n">
        <f aca="false">COUNTIFS('Uczniowie (zanonimizowani)'!$B$2:$B$4580,C178,'Uczniowie (zanonimizowani)'!$E$2:$E$4580,A178,'Uczniowie (zanonimizowani)'!$F$2:$F$4580,B178,'Uczniowie (zanonimizowani)'!$K$2:$K$4580,"TAK")</f>
        <v>0</v>
      </c>
      <c r="F178" s="7" t="n">
        <f aca="false">IFERROR(E178/D178,"")</f>
        <v>0</v>
      </c>
      <c r="G178" s="7" t="n">
        <f aca="false">IFERROR(AVERAGEIFS('Uczniowie (zanonimizowani)'!$I$2:$I$4580,'Uczniowie (zanonimizowani)'!$B$2:$B$4580,C178,'Uczniowie (zanonimizowani)'!$E$2:$E$4580,A178,'Uczniowie (zanonimizowani)'!$F$2:$F$4580,B178),"")</f>
        <v>0.746627091203454</v>
      </c>
      <c r="H178" s="7" t="n">
        <f aca="false">IFERROR(AVERAGEIFS('Uczniowie (zanonimizowani)'!$I$2:$I$4580,'Uczniowie (zanonimizowani)'!$B$2:$B$4580,C178,'Uczniowie (zanonimizowani)'!$E$2:$E$4580,A178,'Uczniowie (zanonimizowani)'!$F$2:$F$4580,B178,'Uczniowie (zanonimizowani)'!$K$2:$K$4580,"NIE"),"")</f>
        <v>0.746627091203454</v>
      </c>
      <c r="I178" s="7" t="n">
        <f aca="false">IFERROR(H178-G178,"")</f>
        <v>0</v>
      </c>
    </row>
    <row r="179" customFormat="false" ht="15" hidden="false" customHeight="false" outlineLevel="0" collapsed="false">
      <c r="A179" s="5" t="s">
        <v>55</v>
      </c>
      <c r="B179" s="5" t="s">
        <v>40</v>
      </c>
      <c r="C179" s="5" t="s">
        <v>70</v>
      </c>
      <c r="D179" s="5" t="n">
        <f aca="false">COUNTIFS('Uczniowie (zanonimizowani)'!$B$2:$B$4580,C179,'Uczniowie (zanonimizowani)'!$E$2:$E$4580,A179,'Uczniowie (zanonimizowani)'!$F$2:$F$4580,B179)</f>
        <v>17</v>
      </c>
      <c r="E179" s="5" t="n">
        <f aca="false">COUNTIFS('Uczniowie (zanonimizowani)'!$B$2:$B$4580,C179,'Uczniowie (zanonimizowani)'!$E$2:$E$4580,A179,'Uczniowie (zanonimizowani)'!$F$2:$F$4580,B179,'Uczniowie (zanonimizowani)'!$K$2:$K$4580,"TAK")</f>
        <v>1</v>
      </c>
      <c r="F179" s="7" t="n">
        <f aca="false">IFERROR(E179/D179,"")</f>
        <v>0.0588235294117647</v>
      </c>
      <c r="G179" s="7" t="n">
        <f aca="false">IFERROR(AVERAGEIFS('Uczniowie (zanonimizowani)'!$I$2:$I$4580,'Uczniowie (zanonimizowani)'!$B$2:$B$4580,C179,'Uczniowie (zanonimizowani)'!$E$2:$E$4580,A179,'Uczniowie (zanonimizowani)'!$F$2:$F$4580,B179),"")</f>
        <v>0.572519083969466</v>
      </c>
      <c r="H179" s="7" t="n">
        <f aca="false">IFERROR(AVERAGEIFS('Uczniowie (zanonimizowani)'!$I$2:$I$4580,'Uczniowie (zanonimizowani)'!$B$2:$B$4580,C179,'Uczniowie (zanonimizowani)'!$E$2:$E$4580,A179,'Uczniowie (zanonimizowani)'!$F$2:$F$4580,B179,'Uczniowie (zanonimizowani)'!$K$2:$K$4580,"NIE"),"")</f>
        <v>0.587070610687023</v>
      </c>
      <c r="I179" s="7" t="n">
        <f aca="false">IFERROR(H179-G179,"")</f>
        <v>0.0145515267175573</v>
      </c>
    </row>
    <row r="180" customFormat="false" ht="15" hidden="false" customHeight="false" outlineLevel="0" collapsed="false">
      <c r="A180" s="5" t="s">
        <v>89</v>
      </c>
      <c r="B180" s="5" t="s">
        <v>39</v>
      </c>
      <c r="C180" s="5" t="s">
        <v>95</v>
      </c>
      <c r="D180" s="5" t="n">
        <f aca="false">COUNTIFS('Uczniowie (zanonimizowani)'!$B$2:$B$4580,C180,'Uczniowie (zanonimizowani)'!$E$2:$E$4580,A180,'Uczniowie (zanonimizowani)'!$F$2:$F$4580,B180)</f>
        <v>14</v>
      </c>
      <c r="E180" s="5" t="n">
        <f aca="false">COUNTIFS('Uczniowie (zanonimizowani)'!$B$2:$B$4580,C180,'Uczniowie (zanonimizowani)'!$E$2:$E$4580,A180,'Uczniowie (zanonimizowani)'!$F$2:$F$4580,B180,'Uczniowie (zanonimizowani)'!$K$2:$K$4580,"TAK")</f>
        <v>0</v>
      </c>
      <c r="F180" s="7" t="n">
        <f aca="false">IFERROR(E180/D180,"")</f>
        <v>0</v>
      </c>
      <c r="G180" s="7" t="n">
        <f aca="false">IFERROR(AVERAGEIFS('Uczniowie (zanonimizowani)'!$I$2:$I$4580,'Uczniowie (zanonimizowani)'!$B$2:$B$4580,C180,'Uczniowie (zanonimizowani)'!$E$2:$E$4580,A180,'Uczniowie (zanonimizowani)'!$F$2:$F$4580,B180),"")</f>
        <v>0.735342805785382</v>
      </c>
      <c r="H180" s="7" t="n">
        <f aca="false">IFERROR(AVERAGEIFS('Uczniowie (zanonimizowani)'!$I$2:$I$4580,'Uczniowie (zanonimizowani)'!$B$2:$B$4580,C180,'Uczniowie (zanonimizowani)'!$E$2:$E$4580,A180,'Uczniowie (zanonimizowani)'!$F$2:$F$4580,B180,'Uczniowie (zanonimizowani)'!$K$2:$K$4580,"NIE"),"")</f>
        <v>0.735342805785382</v>
      </c>
      <c r="I180" s="7" t="n">
        <f aca="false">IFERROR(H180-G180,"")</f>
        <v>0</v>
      </c>
    </row>
    <row r="181" customFormat="false" ht="15" hidden="false" customHeight="false" outlineLevel="0" collapsed="false">
      <c r="A181" s="5" t="s">
        <v>89</v>
      </c>
      <c r="B181" s="5" t="s">
        <v>40</v>
      </c>
      <c r="C181" s="5" t="s">
        <v>95</v>
      </c>
      <c r="D181" s="5" t="n">
        <f aca="false">COUNTIFS('Uczniowie (zanonimizowani)'!$B$2:$B$4580,C181,'Uczniowie (zanonimizowani)'!$E$2:$E$4580,A181,'Uczniowie (zanonimizowani)'!$F$2:$F$4580,B181)</f>
        <v>14</v>
      </c>
      <c r="E181" s="5" t="n">
        <f aca="false">COUNTIFS('Uczniowie (zanonimizowani)'!$B$2:$B$4580,C181,'Uczniowie (zanonimizowani)'!$E$2:$E$4580,A181,'Uczniowie (zanonimizowani)'!$F$2:$F$4580,B181,'Uczniowie (zanonimizowani)'!$K$2:$K$4580,"TAK")</f>
        <v>0</v>
      </c>
      <c r="F181" s="7" t="n">
        <f aca="false">IFERROR(E181/D181,"")</f>
        <v>0</v>
      </c>
      <c r="G181" s="7" t="n">
        <f aca="false">IFERROR(AVERAGEIFS('Uczniowie (zanonimizowani)'!$I$2:$I$4580,'Uczniowie (zanonimizowani)'!$B$2:$B$4580,C181,'Uczniowie (zanonimizowani)'!$E$2:$E$4580,A181,'Uczniowie (zanonimizowani)'!$F$2:$F$4580,B181),"")</f>
        <v>0.609255115733246</v>
      </c>
      <c r="H181" s="7" t="n">
        <f aca="false">IFERROR(AVERAGEIFS('Uczniowie (zanonimizowani)'!$I$2:$I$4580,'Uczniowie (zanonimizowani)'!$B$2:$B$4580,C181,'Uczniowie (zanonimizowani)'!$E$2:$E$4580,A181,'Uczniowie (zanonimizowani)'!$F$2:$F$4580,B181,'Uczniowie (zanonimizowani)'!$K$2:$K$4580,"NIE"),"")</f>
        <v>0.609255115733246</v>
      </c>
      <c r="I181" s="7" t="n">
        <f aca="false">IFERROR(H181-G181,"")</f>
        <v>0</v>
      </c>
    </row>
    <row r="182" customFormat="false" ht="15" hidden="false" customHeight="false" outlineLevel="0" collapsed="false">
      <c r="A182" s="5" t="s">
        <v>38</v>
      </c>
      <c r="B182" s="5" t="s">
        <v>39</v>
      </c>
      <c r="C182" s="5" t="s">
        <v>36</v>
      </c>
      <c r="D182" s="5" t="n">
        <f aca="false">COUNTIFS('Uczniowie (zanonimizowani)'!$B$2:$B$4580,C182,'Uczniowie (zanonimizowani)'!$E$2:$E$4580,A182,'Uczniowie (zanonimizowani)'!$F$2:$F$4580,B182)</f>
        <v>23</v>
      </c>
      <c r="E182" s="5" t="n">
        <f aca="false">COUNTIFS('Uczniowie (zanonimizowani)'!$B$2:$B$4580,C182,'Uczniowie (zanonimizowani)'!$E$2:$E$4580,A182,'Uczniowie (zanonimizowani)'!$F$2:$F$4580,B182,'Uczniowie (zanonimizowani)'!$K$2:$K$4580,"TAK")</f>
        <v>1</v>
      </c>
      <c r="F182" s="7" t="n">
        <f aca="false">IFERROR(E182/D182,"")</f>
        <v>0.0434782608695652</v>
      </c>
      <c r="G182" s="7" t="n">
        <f aca="false">IFERROR(AVERAGEIFS('Uczniowie (zanonimizowani)'!$I$2:$I$4580,'Uczniowie (zanonimizowani)'!$B$2:$B$4580,C182,'Uczniowie (zanonimizowani)'!$E$2:$E$4580,A182,'Uczniowie (zanonimizowani)'!$F$2:$F$4580,B182),"")</f>
        <v>0.682668019481602</v>
      </c>
      <c r="H182" s="7" t="n">
        <f aca="false">IFERROR(AVERAGEIFS('Uczniowie (zanonimizowani)'!$I$2:$I$4580,'Uczniowie (zanonimizowani)'!$B$2:$B$4580,C182,'Uczniowie (zanonimizowani)'!$E$2:$E$4580,A182,'Uczniowie (zanonimizowani)'!$F$2:$F$4580,B182,'Uczniowie (zanonimizowani)'!$K$2:$K$4580,"NIE"),"")</f>
        <v>0.700495400733991</v>
      </c>
      <c r="I182" s="7" t="n">
        <f aca="false">IFERROR(H182-G182,"")</f>
        <v>0.0178273812523889</v>
      </c>
    </row>
    <row r="183" customFormat="false" ht="15" hidden="false" customHeight="false" outlineLevel="0" collapsed="false">
      <c r="A183" s="5" t="s">
        <v>38</v>
      </c>
      <c r="B183" s="5" t="s">
        <v>40</v>
      </c>
      <c r="C183" s="5" t="s">
        <v>36</v>
      </c>
      <c r="D183" s="5" t="n">
        <f aca="false">COUNTIFS('Uczniowie (zanonimizowani)'!$B$2:$B$4580,C183,'Uczniowie (zanonimizowani)'!$E$2:$E$4580,A183,'Uczniowie (zanonimizowani)'!$F$2:$F$4580,B183)</f>
        <v>23</v>
      </c>
      <c r="E183" s="5" t="n">
        <f aca="false">COUNTIFS('Uczniowie (zanonimizowani)'!$B$2:$B$4580,C183,'Uczniowie (zanonimizowani)'!$E$2:$E$4580,A183,'Uczniowie (zanonimizowani)'!$F$2:$F$4580,B183,'Uczniowie (zanonimizowani)'!$K$2:$K$4580,"TAK")</f>
        <v>0</v>
      </c>
      <c r="F183" s="7" t="n">
        <f aca="false">IFERROR(E183/D183,"")</f>
        <v>0</v>
      </c>
      <c r="G183" s="7" t="n">
        <f aca="false">IFERROR(AVERAGEIFS('Uczniowie (zanonimizowani)'!$I$2:$I$4580,'Uczniowie (zanonimizowani)'!$B$2:$B$4580,C183,'Uczniowie (zanonimizowani)'!$E$2:$E$4580,A183,'Uczniowie (zanonimizowani)'!$F$2:$F$4580,B183),"")</f>
        <v>0.719254636466441</v>
      </c>
      <c r="H183" s="7" t="n">
        <f aca="false">IFERROR(AVERAGEIFS('Uczniowie (zanonimizowani)'!$I$2:$I$4580,'Uczniowie (zanonimizowani)'!$B$2:$B$4580,C183,'Uczniowie (zanonimizowani)'!$E$2:$E$4580,A183,'Uczniowie (zanonimizowani)'!$F$2:$F$4580,B183,'Uczniowie (zanonimizowani)'!$K$2:$K$4580,"NIE"),"")</f>
        <v>0.719254636466441</v>
      </c>
      <c r="I183" s="7" t="n">
        <f aca="false">IFERROR(H183-G183,"")</f>
        <v>0</v>
      </c>
    </row>
    <row r="184" customFormat="false" ht="15" hidden="false" customHeight="false" outlineLevel="0" collapsed="false">
      <c r="A184" s="5" t="s">
        <v>46</v>
      </c>
      <c r="B184" s="5" t="s">
        <v>39</v>
      </c>
      <c r="C184" s="5" t="s">
        <v>36</v>
      </c>
      <c r="D184" s="5" t="n">
        <f aca="false">COUNTIFS('Uczniowie (zanonimizowani)'!$B$2:$B$4580,C184,'Uczniowie (zanonimizowani)'!$E$2:$E$4580,A184,'Uczniowie (zanonimizowani)'!$F$2:$F$4580,B184)</f>
        <v>25</v>
      </c>
      <c r="E184" s="5" t="n">
        <f aca="false">COUNTIFS('Uczniowie (zanonimizowani)'!$B$2:$B$4580,C184,'Uczniowie (zanonimizowani)'!$E$2:$E$4580,A184,'Uczniowie (zanonimizowani)'!$F$2:$F$4580,B184,'Uczniowie (zanonimizowani)'!$K$2:$K$4580,"TAK")</f>
        <v>0</v>
      </c>
      <c r="F184" s="7" t="n">
        <f aca="false">IFERROR(E184/D184,"")</f>
        <v>0</v>
      </c>
      <c r="G184" s="7" t="n">
        <f aca="false">IFERROR(AVERAGEIFS('Uczniowie (zanonimizowani)'!$I$2:$I$4580,'Uczniowie (zanonimizowani)'!$B$2:$B$4580,C184,'Uczniowie (zanonimizowani)'!$E$2:$E$4580,A184,'Uczniowie (zanonimizowani)'!$F$2:$F$4580,B184),"")</f>
        <v>0.695220973327663</v>
      </c>
      <c r="H184" s="7" t="n">
        <f aca="false">IFERROR(AVERAGEIFS('Uczniowie (zanonimizowani)'!$I$2:$I$4580,'Uczniowie (zanonimizowani)'!$B$2:$B$4580,C184,'Uczniowie (zanonimizowani)'!$E$2:$E$4580,A184,'Uczniowie (zanonimizowani)'!$F$2:$F$4580,B184,'Uczniowie (zanonimizowani)'!$K$2:$K$4580,"NIE"),"")</f>
        <v>0.695220973327663</v>
      </c>
      <c r="I184" s="7" t="n">
        <f aca="false">IFERROR(H184-G184,"")</f>
        <v>0</v>
      </c>
    </row>
    <row r="185" customFormat="false" ht="15" hidden="false" customHeight="false" outlineLevel="0" collapsed="false">
      <c r="A185" s="5" t="s">
        <v>46</v>
      </c>
      <c r="B185" s="5" t="s">
        <v>40</v>
      </c>
      <c r="C185" s="5" t="s">
        <v>36</v>
      </c>
      <c r="D185" s="5" t="n">
        <f aca="false">COUNTIFS('Uczniowie (zanonimizowani)'!$B$2:$B$4580,C185,'Uczniowie (zanonimizowani)'!$E$2:$E$4580,A185,'Uczniowie (zanonimizowani)'!$F$2:$F$4580,B185)</f>
        <v>25</v>
      </c>
      <c r="E185" s="5" t="n">
        <f aca="false">COUNTIFS('Uczniowie (zanonimizowani)'!$B$2:$B$4580,C185,'Uczniowie (zanonimizowani)'!$E$2:$E$4580,A185,'Uczniowie (zanonimizowani)'!$F$2:$F$4580,B185,'Uczniowie (zanonimizowani)'!$K$2:$K$4580,"TAK")</f>
        <v>0</v>
      </c>
      <c r="F185" s="7" t="n">
        <f aca="false">IFERROR(E185/D185,"")</f>
        <v>0</v>
      </c>
      <c r="G185" s="7" t="n">
        <f aca="false">IFERROR(AVERAGEIFS('Uczniowie (zanonimizowani)'!$I$2:$I$4580,'Uczniowie (zanonimizowani)'!$B$2:$B$4580,C185,'Uczniowie (zanonimizowani)'!$E$2:$E$4580,A185,'Uczniowie (zanonimizowani)'!$F$2:$F$4580,B185),"")</f>
        <v>0.579435874519617</v>
      </c>
      <c r="H185" s="7" t="n">
        <f aca="false">IFERROR(AVERAGEIFS('Uczniowie (zanonimizowani)'!$I$2:$I$4580,'Uczniowie (zanonimizowani)'!$B$2:$B$4580,C185,'Uczniowie (zanonimizowani)'!$E$2:$E$4580,A185,'Uczniowie (zanonimizowani)'!$F$2:$F$4580,B185,'Uczniowie (zanonimizowani)'!$K$2:$K$4580,"NIE"),"")</f>
        <v>0.579435874519617</v>
      </c>
      <c r="I185" s="7" t="n">
        <f aca="false">IFERROR(H185-G185,"")</f>
        <v>0</v>
      </c>
    </row>
    <row r="186" customFormat="false" ht="15" hidden="false" customHeight="false" outlineLevel="0" collapsed="false">
      <c r="A186" s="5" t="s">
        <v>57</v>
      </c>
      <c r="B186" s="5" t="s">
        <v>39</v>
      </c>
      <c r="C186" s="5" t="s">
        <v>80</v>
      </c>
      <c r="D186" s="5" t="n">
        <f aca="false">COUNTIFS('Uczniowie (zanonimizowani)'!$B$2:$B$4580,C186,'Uczniowie (zanonimizowani)'!$E$2:$E$4580,A186,'Uczniowie (zanonimizowani)'!$F$2:$F$4580,B186)</f>
        <v>13</v>
      </c>
      <c r="E186" s="5" t="n">
        <f aca="false">COUNTIFS('Uczniowie (zanonimizowani)'!$B$2:$B$4580,C186,'Uczniowie (zanonimizowani)'!$E$2:$E$4580,A186,'Uczniowie (zanonimizowani)'!$F$2:$F$4580,B186,'Uczniowie (zanonimizowani)'!$K$2:$K$4580,"TAK")</f>
        <v>0</v>
      </c>
      <c r="F186" s="7" t="n">
        <f aca="false">IFERROR(E186/D186,"")</f>
        <v>0</v>
      </c>
      <c r="G186" s="7" t="n">
        <f aca="false">IFERROR(AVERAGEIFS('Uczniowie (zanonimizowani)'!$I$2:$I$4580,'Uczniowie (zanonimizowani)'!$B$2:$B$4580,C186,'Uczniowie (zanonimizowani)'!$E$2:$E$4580,A186,'Uczniowie (zanonimizowani)'!$F$2:$F$4580,B186),"")</f>
        <v>0.812307692307692</v>
      </c>
      <c r="H186" s="7" t="n">
        <f aca="false">IFERROR(AVERAGEIFS('Uczniowie (zanonimizowani)'!$I$2:$I$4580,'Uczniowie (zanonimizowani)'!$B$2:$B$4580,C186,'Uczniowie (zanonimizowani)'!$E$2:$E$4580,A186,'Uczniowie (zanonimizowani)'!$F$2:$F$4580,B186,'Uczniowie (zanonimizowani)'!$K$2:$K$4580,"NIE"),"")</f>
        <v>0.812307692307692</v>
      </c>
      <c r="I186" s="7" t="n">
        <f aca="false">IFERROR(H186-G186,"")</f>
        <v>0</v>
      </c>
    </row>
    <row r="187" customFormat="false" ht="15" hidden="false" customHeight="false" outlineLevel="0" collapsed="false">
      <c r="A187" s="5" t="s">
        <v>57</v>
      </c>
      <c r="B187" s="5" t="s">
        <v>40</v>
      </c>
      <c r="C187" s="5" t="s">
        <v>80</v>
      </c>
      <c r="D187" s="5" t="n">
        <f aca="false">COUNTIFS('Uczniowie (zanonimizowani)'!$B$2:$B$4580,C187,'Uczniowie (zanonimizowani)'!$E$2:$E$4580,A187,'Uczniowie (zanonimizowani)'!$F$2:$F$4580,B187)</f>
        <v>13</v>
      </c>
      <c r="E187" s="5" t="n">
        <f aca="false">COUNTIFS('Uczniowie (zanonimizowani)'!$B$2:$B$4580,C187,'Uczniowie (zanonimizowani)'!$E$2:$E$4580,A187,'Uczniowie (zanonimizowani)'!$F$2:$F$4580,B187,'Uczniowie (zanonimizowani)'!$K$2:$K$4580,"TAK")</f>
        <v>2</v>
      </c>
      <c r="F187" s="7" t="n">
        <f aca="false">IFERROR(E187/D187,"")</f>
        <v>0.153846153846154</v>
      </c>
      <c r="G187" s="7" t="n">
        <f aca="false">IFERROR(AVERAGEIFS('Uczniowie (zanonimizowani)'!$I$2:$I$4580,'Uczniowie (zanonimizowani)'!$B$2:$B$4580,C187,'Uczniowie (zanonimizowani)'!$E$2:$E$4580,A187,'Uczniowie (zanonimizowani)'!$F$2:$F$4580,B187),"")</f>
        <v>0.749286578795313</v>
      </c>
      <c r="H187" s="7" t="n">
        <f aca="false">IFERROR(AVERAGEIFS('Uczniowie (zanonimizowani)'!$I$2:$I$4580,'Uczniowie (zanonimizowani)'!$B$2:$B$4580,C187,'Uczniowie (zanonimizowani)'!$E$2:$E$4580,A187,'Uczniowie (zanonimizowani)'!$F$2:$F$4580,B187,'Uczniowie (zanonimizowani)'!$K$2:$K$4580,"NIE"),"")</f>
        <v>0.82345252742855</v>
      </c>
      <c r="I187" s="7" t="n">
        <f aca="false">IFERROR(H187-G187,"")</f>
        <v>0.0741659486332367</v>
      </c>
    </row>
    <row r="188" customFormat="false" ht="15" hidden="false" customHeight="false" outlineLevel="0" collapsed="false">
      <c r="A188" s="5" t="s">
        <v>75</v>
      </c>
      <c r="B188" s="5" t="s">
        <v>39</v>
      </c>
      <c r="C188" s="5" t="s">
        <v>80</v>
      </c>
      <c r="D188" s="5" t="n">
        <f aca="false">COUNTIFS('Uczniowie (zanonimizowani)'!$B$2:$B$4580,C188,'Uczniowie (zanonimizowani)'!$E$2:$E$4580,A188,'Uczniowie (zanonimizowani)'!$F$2:$F$4580,B188)</f>
        <v>22</v>
      </c>
      <c r="E188" s="5" t="n">
        <f aca="false">COUNTIFS('Uczniowie (zanonimizowani)'!$B$2:$B$4580,C188,'Uczniowie (zanonimizowani)'!$E$2:$E$4580,A188,'Uczniowie (zanonimizowani)'!$F$2:$F$4580,B188,'Uczniowie (zanonimizowani)'!$K$2:$K$4580,"TAK")</f>
        <v>4</v>
      </c>
      <c r="F188" s="7" t="n">
        <f aca="false">IFERROR(E188/D188,"")</f>
        <v>0.181818181818182</v>
      </c>
      <c r="G188" s="7" t="n">
        <f aca="false">IFERROR(AVERAGEIFS('Uczniowie (zanonimizowani)'!$I$2:$I$4580,'Uczniowie (zanonimizowani)'!$B$2:$B$4580,C188,'Uczniowie (zanonimizowani)'!$E$2:$E$4580,A188,'Uczniowie (zanonimizowani)'!$F$2:$F$4580,B188),"")</f>
        <v>0.817574013532191</v>
      </c>
      <c r="H188" s="7" t="n">
        <f aca="false">IFERROR(AVERAGEIFS('Uczniowie (zanonimizowani)'!$I$2:$I$4580,'Uczniowie (zanonimizowani)'!$B$2:$B$4580,C188,'Uczniowie (zanonimizowani)'!$E$2:$E$4580,A188,'Uczniowie (zanonimizowani)'!$F$2:$F$4580,B188,'Uczniowie (zanonimizowani)'!$K$2:$K$4580,"NIE"),"")</f>
        <v>0.865933439002419</v>
      </c>
      <c r="I188" s="7" t="n">
        <f aca="false">IFERROR(H188-G188,"")</f>
        <v>0.048359425470228</v>
      </c>
    </row>
    <row r="189" customFormat="false" ht="15" hidden="false" customHeight="false" outlineLevel="0" collapsed="false">
      <c r="A189" s="5" t="s">
        <v>75</v>
      </c>
      <c r="B189" s="5" t="s">
        <v>40</v>
      </c>
      <c r="C189" s="5" t="s">
        <v>80</v>
      </c>
      <c r="D189" s="5" t="n">
        <f aca="false">COUNTIFS('Uczniowie (zanonimizowani)'!$B$2:$B$4580,C189,'Uczniowie (zanonimizowani)'!$E$2:$E$4580,A189,'Uczniowie (zanonimizowani)'!$F$2:$F$4580,B189)</f>
        <v>22</v>
      </c>
      <c r="E189" s="5" t="n">
        <f aca="false">COUNTIFS('Uczniowie (zanonimizowani)'!$B$2:$B$4580,C189,'Uczniowie (zanonimizowani)'!$E$2:$E$4580,A189,'Uczniowie (zanonimizowani)'!$F$2:$F$4580,B189,'Uczniowie (zanonimizowani)'!$K$2:$K$4580,"TAK")</f>
        <v>2</v>
      </c>
      <c r="F189" s="7" t="n">
        <f aca="false">IFERROR(E189/D189,"")</f>
        <v>0.0909090909090909</v>
      </c>
      <c r="G189" s="7" t="n">
        <f aca="false">IFERROR(AVERAGEIFS('Uczniowie (zanonimizowani)'!$I$2:$I$4580,'Uczniowie (zanonimizowani)'!$B$2:$B$4580,C189,'Uczniowie (zanonimizowani)'!$E$2:$E$4580,A189,'Uczniowie (zanonimizowani)'!$F$2:$F$4580,B189),"")</f>
        <v>0.728194255274024</v>
      </c>
      <c r="H189" s="7" t="n">
        <f aca="false">IFERROR(AVERAGEIFS('Uczniowie (zanonimizowani)'!$I$2:$I$4580,'Uczniowie (zanonimizowani)'!$B$2:$B$4580,C189,'Uczniowie (zanonimizowani)'!$E$2:$E$4580,A189,'Uczniowie (zanonimizowani)'!$F$2:$F$4580,B189,'Uczniowie (zanonimizowani)'!$K$2:$K$4580,"NIE"),"")</f>
        <v>0.749353654241002</v>
      </c>
      <c r="I189" s="7" t="n">
        <f aca="false">IFERROR(H189-G189,"")</f>
        <v>0.0211593989669774</v>
      </c>
    </row>
    <row r="190" customFormat="false" ht="15" hidden="false" customHeight="false" outlineLevel="0" collapsed="false">
      <c r="A190" s="5" t="s">
        <v>89</v>
      </c>
      <c r="B190" s="5" t="s">
        <v>39</v>
      </c>
      <c r="C190" s="5" t="s">
        <v>80</v>
      </c>
      <c r="D190" s="5" t="n">
        <f aca="false">COUNTIFS('Uczniowie (zanonimizowani)'!$B$2:$B$4580,C190,'Uczniowie (zanonimizowani)'!$E$2:$E$4580,A190,'Uczniowie (zanonimizowani)'!$F$2:$F$4580,B190)</f>
        <v>22</v>
      </c>
      <c r="E190" s="5" t="n">
        <f aca="false">COUNTIFS('Uczniowie (zanonimizowani)'!$B$2:$B$4580,C190,'Uczniowie (zanonimizowani)'!$E$2:$E$4580,A190,'Uczniowie (zanonimizowani)'!$F$2:$F$4580,B190,'Uczniowie (zanonimizowani)'!$K$2:$K$4580,"TAK")</f>
        <v>0</v>
      </c>
      <c r="F190" s="7" t="n">
        <f aca="false">IFERROR(E190/D190,"")</f>
        <v>0</v>
      </c>
      <c r="G190" s="7" t="n">
        <f aca="false">IFERROR(AVERAGEIFS('Uczniowie (zanonimizowani)'!$I$2:$I$4580,'Uczniowie (zanonimizowani)'!$B$2:$B$4580,C190,'Uczniowie (zanonimizowani)'!$E$2:$E$4580,A190,'Uczniowie (zanonimizowani)'!$F$2:$F$4580,B190),"")</f>
        <v>0.77630480804462</v>
      </c>
      <c r="H190" s="7" t="n">
        <f aca="false">IFERROR(AVERAGEIFS('Uczniowie (zanonimizowani)'!$I$2:$I$4580,'Uczniowie (zanonimizowani)'!$B$2:$B$4580,C190,'Uczniowie (zanonimizowani)'!$E$2:$E$4580,A190,'Uczniowie (zanonimizowani)'!$F$2:$F$4580,B190,'Uczniowie (zanonimizowani)'!$K$2:$K$4580,"NIE"),"")</f>
        <v>0.77630480804462</v>
      </c>
      <c r="I190" s="7" t="n">
        <f aca="false">IFERROR(H190-G190,"")</f>
        <v>0</v>
      </c>
    </row>
    <row r="191" customFormat="false" ht="15" hidden="false" customHeight="false" outlineLevel="0" collapsed="false">
      <c r="A191" s="5" t="s">
        <v>89</v>
      </c>
      <c r="B191" s="5" t="s">
        <v>40</v>
      </c>
      <c r="C191" s="5" t="s">
        <v>80</v>
      </c>
      <c r="D191" s="5" t="n">
        <f aca="false">COUNTIFS('Uczniowie (zanonimizowani)'!$B$2:$B$4580,C191,'Uczniowie (zanonimizowani)'!$E$2:$E$4580,A191,'Uczniowie (zanonimizowani)'!$F$2:$F$4580,B191)</f>
        <v>22</v>
      </c>
      <c r="E191" s="5" t="n">
        <f aca="false">COUNTIFS('Uczniowie (zanonimizowani)'!$B$2:$B$4580,C191,'Uczniowie (zanonimizowani)'!$E$2:$E$4580,A191,'Uczniowie (zanonimizowani)'!$F$2:$F$4580,B191,'Uczniowie (zanonimizowani)'!$K$2:$K$4580,"TAK")</f>
        <v>0</v>
      </c>
      <c r="F191" s="7" t="n">
        <f aca="false">IFERROR(E191/D191,"")</f>
        <v>0</v>
      </c>
      <c r="G191" s="7" t="n">
        <f aca="false">IFERROR(AVERAGEIFS('Uczniowie (zanonimizowani)'!$I$2:$I$4580,'Uczniowie (zanonimizowani)'!$B$2:$B$4580,C191,'Uczniowie (zanonimizowani)'!$E$2:$E$4580,A191,'Uczniowie (zanonimizowani)'!$F$2:$F$4580,B191),"")</f>
        <v>0.609737552732395</v>
      </c>
      <c r="H191" s="7" t="n">
        <f aca="false">IFERROR(AVERAGEIFS('Uczniowie (zanonimizowani)'!$I$2:$I$4580,'Uczniowie (zanonimizowani)'!$B$2:$B$4580,C191,'Uczniowie (zanonimizowani)'!$E$2:$E$4580,A191,'Uczniowie (zanonimizowani)'!$F$2:$F$4580,B191,'Uczniowie (zanonimizowani)'!$K$2:$K$4580,"NIE"),"")</f>
        <v>0.609737552732395</v>
      </c>
      <c r="I191" s="7" t="n">
        <f aca="false">IFERROR(H191-G191,"")</f>
        <v>0</v>
      </c>
    </row>
    <row r="192" customFormat="false" ht="15" hidden="false" customHeight="false" outlineLevel="0" collapsed="false">
      <c r="A192" s="5" t="s">
        <v>38</v>
      </c>
      <c r="B192" s="5" t="s">
        <v>39</v>
      </c>
      <c r="C192" s="5" t="s">
        <v>41</v>
      </c>
      <c r="D192" s="5" t="n">
        <f aca="false">COUNTIFS('Uczniowie (zanonimizowani)'!$B$2:$B$4580,C192,'Uczniowie (zanonimizowani)'!$E$2:$E$4580,A192,'Uczniowie (zanonimizowani)'!$F$2:$F$4580,B192)</f>
        <v>25</v>
      </c>
      <c r="E192" s="5" t="n">
        <f aca="false">COUNTIFS('Uczniowie (zanonimizowani)'!$B$2:$B$4580,C192,'Uczniowie (zanonimizowani)'!$E$2:$E$4580,A192,'Uczniowie (zanonimizowani)'!$F$2:$F$4580,B192,'Uczniowie (zanonimizowani)'!$K$2:$K$4580,"TAK")</f>
        <v>1</v>
      </c>
      <c r="F192" s="7" t="n">
        <f aca="false">IFERROR(E192/D192,"")</f>
        <v>0.04</v>
      </c>
      <c r="G192" s="7" t="n">
        <f aca="false">IFERROR(AVERAGEIFS('Uczniowie (zanonimizowani)'!$I$2:$I$4580,'Uczniowie (zanonimizowani)'!$B$2:$B$4580,C192,'Uczniowie (zanonimizowani)'!$E$2:$E$4580,A192,'Uczniowie (zanonimizowani)'!$F$2:$F$4580,B192),"")</f>
        <v>0.721811587857624</v>
      </c>
      <c r="H192" s="7" t="n">
        <f aca="false">IFERROR(AVERAGEIFS('Uczniowie (zanonimizowani)'!$I$2:$I$4580,'Uczniowie (zanonimizowani)'!$B$2:$B$4580,C192,'Uczniowie (zanonimizowani)'!$E$2:$E$4580,A192,'Uczniowie (zanonimizowani)'!$F$2:$F$4580,B192,'Uczniowie (zanonimizowani)'!$K$2:$K$4580,"NIE"),"")</f>
        <v>0.738651776567378</v>
      </c>
      <c r="I192" s="7" t="n">
        <f aca="false">IFERROR(H192-G192,"")</f>
        <v>0.0168401887097538</v>
      </c>
    </row>
    <row r="193" customFormat="false" ht="15" hidden="false" customHeight="false" outlineLevel="0" collapsed="false">
      <c r="A193" s="5" t="s">
        <v>38</v>
      </c>
      <c r="B193" s="5" t="s">
        <v>40</v>
      </c>
      <c r="C193" s="5" t="s">
        <v>41</v>
      </c>
      <c r="D193" s="5" t="n">
        <f aca="false">COUNTIFS('Uczniowie (zanonimizowani)'!$B$2:$B$4580,C193,'Uczniowie (zanonimizowani)'!$E$2:$E$4580,A193,'Uczniowie (zanonimizowani)'!$F$2:$F$4580,B193)</f>
        <v>25</v>
      </c>
      <c r="E193" s="5" t="n">
        <f aca="false">COUNTIFS('Uczniowie (zanonimizowani)'!$B$2:$B$4580,C193,'Uczniowie (zanonimizowani)'!$E$2:$E$4580,A193,'Uczniowie (zanonimizowani)'!$F$2:$F$4580,B193,'Uczniowie (zanonimizowani)'!$K$2:$K$4580,"TAK")</f>
        <v>1</v>
      </c>
      <c r="F193" s="7" t="n">
        <f aca="false">IFERROR(E193/D193,"")</f>
        <v>0.04</v>
      </c>
      <c r="G193" s="7" t="n">
        <f aca="false">IFERROR(AVERAGEIFS('Uczniowie (zanonimizowani)'!$I$2:$I$4580,'Uczniowie (zanonimizowani)'!$B$2:$B$4580,C193,'Uczniowie (zanonimizowani)'!$E$2:$E$4580,A193,'Uczniowie (zanonimizowani)'!$F$2:$F$4580,B193),"")</f>
        <v>0.757368749153002</v>
      </c>
      <c r="H193" s="7" t="n">
        <f aca="false">IFERROR(AVERAGEIFS('Uczniowie (zanonimizowani)'!$I$2:$I$4580,'Uczniowie (zanonimizowani)'!$B$2:$B$4580,C193,'Uczniowie (zanonimizowani)'!$E$2:$E$4580,A193,'Uczniowie (zanonimizowani)'!$F$2:$F$4580,B193,'Uczniowie (zanonimizowani)'!$K$2:$K$4580,"NIE"),"")</f>
        <v>0.775302284260138</v>
      </c>
      <c r="I193" s="7" t="n">
        <f aca="false">IFERROR(H193-G193,"")</f>
        <v>0.0179335351071358</v>
      </c>
    </row>
    <row r="194" customFormat="false" ht="15" hidden="false" customHeight="false" outlineLevel="0" collapsed="false">
      <c r="A194" s="5" t="s">
        <v>46</v>
      </c>
      <c r="B194" s="5" t="s">
        <v>39</v>
      </c>
      <c r="C194" s="5" t="s">
        <v>41</v>
      </c>
      <c r="D194" s="5" t="n">
        <f aca="false">COUNTIFS('Uczniowie (zanonimizowani)'!$B$2:$B$4580,C194,'Uczniowie (zanonimizowani)'!$E$2:$E$4580,A194,'Uczniowie (zanonimizowani)'!$F$2:$F$4580,B194)</f>
        <v>20</v>
      </c>
      <c r="E194" s="5" t="n">
        <f aca="false">COUNTIFS('Uczniowie (zanonimizowani)'!$B$2:$B$4580,C194,'Uczniowie (zanonimizowani)'!$E$2:$E$4580,A194,'Uczniowie (zanonimizowani)'!$F$2:$F$4580,B194,'Uczniowie (zanonimizowani)'!$K$2:$K$4580,"TAK")</f>
        <v>1</v>
      </c>
      <c r="F194" s="7" t="n">
        <f aca="false">IFERROR(E194/D194,"")</f>
        <v>0.05</v>
      </c>
      <c r="G194" s="7" t="n">
        <f aca="false">IFERROR(AVERAGEIFS('Uczniowie (zanonimizowani)'!$I$2:$I$4580,'Uczniowie (zanonimizowani)'!$B$2:$B$4580,C194,'Uczniowie (zanonimizowani)'!$E$2:$E$4580,A194,'Uczniowie (zanonimizowani)'!$F$2:$F$4580,B194),"")</f>
        <v>0.77420184048091</v>
      </c>
      <c r="H194" s="7" t="n">
        <f aca="false">IFERROR(AVERAGEIFS('Uczniowie (zanonimizowani)'!$I$2:$I$4580,'Uczniowie (zanonimizowani)'!$B$2:$B$4580,C194,'Uczniowie (zanonimizowani)'!$E$2:$E$4580,A194,'Uczniowie (zanonimizowani)'!$F$2:$F$4580,B194,'Uczniowie (zanonimizowani)'!$K$2:$K$4580,"NIE"),"")</f>
        <v>0.798590842042494</v>
      </c>
      <c r="I194" s="7" t="n">
        <f aca="false">IFERROR(H194-G194,"")</f>
        <v>0.0243890015615842</v>
      </c>
    </row>
    <row r="195" customFormat="false" ht="15" hidden="false" customHeight="false" outlineLevel="0" collapsed="false">
      <c r="A195" s="5" t="s">
        <v>46</v>
      </c>
      <c r="B195" s="5" t="s">
        <v>40</v>
      </c>
      <c r="C195" s="5" t="s">
        <v>41</v>
      </c>
      <c r="D195" s="5" t="n">
        <f aca="false">COUNTIFS('Uczniowie (zanonimizowani)'!$B$2:$B$4580,C195,'Uczniowie (zanonimizowani)'!$E$2:$E$4580,A195,'Uczniowie (zanonimizowani)'!$F$2:$F$4580,B195)</f>
        <v>20</v>
      </c>
      <c r="E195" s="5" t="n">
        <f aca="false">COUNTIFS('Uczniowie (zanonimizowani)'!$B$2:$B$4580,C195,'Uczniowie (zanonimizowani)'!$E$2:$E$4580,A195,'Uczniowie (zanonimizowani)'!$F$2:$F$4580,B195,'Uczniowie (zanonimizowani)'!$K$2:$K$4580,"TAK")</f>
        <v>1</v>
      </c>
      <c r="F195" s="7" t="n">
        <f aca="false">IFERROR(E195/D195,"")</f>
        <v>0.05</v>
      </c>
      <c r="G195" s="7" t="n">
        <f aca="false">IFERROR(AVERAGEIFS('Uczniowie (zanonimizowani)'!$I$2:$I$4580,'Uczniowie (zanonimizowani)'!$B$2:$B$4580,C195,'Uczniowie (zanonimizowani)'!$E$2:$E$4580,A195,'Uczniowie (zanonimizowani)'!$F$2:$F$4580,B195),"")</f>
        <v>0.669991185871034</v>
      </c>
      <c r="H195" s="7" t="n">
        <f aca="false">IFERROR(AVERAGEIFS('Uczniowie (zanonimizowani)'!$I$2:$I$4580,'Uczniowie (zanonimizowani)'!$B$2:$B$4580,C195,'Uczniowie (zanonimizowani)'!$E$2:$E$4580,A195,'Uczniowie (zanonimizowani)'!$F$2:$F$4580,B195,'Uczniowie (zanonimizowani)'!$K$2:$K$4580,"NIE"),"")</f>
        <v>0.705253879864246</v>
      </c>
      <c r="I195" s="7" t="n">
        <f aca="false">IFERROR(H195-G195,"")</f>
        <v>0.0352626939932122</v>
      </c>
    </row>
    <row r="196" customFormat="false" ht="15" hidden="false" customHeight="false" outlineLevel="0" collapsed="false">
      <c r="A196" s="5" t="s">
        <v>55</v>
      </c>
      <c r="B196" s="5" t="s">
        <v>39</v>
      </c>
      <c r="C196" s="5" t="s">
        <v>41</v>
      </c>
      <c r="D196" s="5" t="n">
        <f aca="false">COUNTIFS('Uczniowie (zanonimizowani)'!$B$2:$B$4580,C196,'Uczniowie (zanonimizowani)'!$E$2:$E$4580,A196,'Uczniowie (zanonimizowani)'!$F$2:$F$4580,B196)</f>
        <v>20</v>
      </c>
      <c r="E196" s="5" t="n">
        <f aca="false">COUNTIFS('Uczniowie (zanonimizowani)'!$B$2:$B$4580,C196,'Uczniowie (zanonimizowani)'!$E$2:$E$4580,A196,'Uczniowie (zanonimizowani)'!$F$2:$F$4580,B196,'Uczniowie (zanonimizowani)'!$K$2:$K$4580,"TAK")</f>
        <v>0</v>
      </c>
      <c r="F196" s="7" t="n">
        <f aca="false">IFERROR(E196/D196,"")</f>
        <v>0</v>
      </c>
      <c r="G196" s="7" t="n">
        <f aca="false">IFERROR(AVERAGEIFS('Uczniowie (zanonimizowani)'!$I$2:$I$4580,'Uczniowie (zanonimizowani)'!$B$2:$B$4580,C196,'Uczniowie (zanonimizowani)'!$E$2:$E$4580,A196,'Uczniowie (zanonimizowani)'!$F$2:$F$4580,B196),"")</f>
        <v>0.737357142857143</v>
      </c>
      <c r="H196" s="7" t="n">
        <f aca="false">IFERROR(AVERAGEIFS('Uczniowie (zanonimizowani)'!$I$2:$I$4580,'Uczniowie (zanonimizowani)'!$B$2:$B$4580,C196,'Uczniowie (zanonimizowani)'!$E$2:$E$4580,A196,'Uczniowie (zanonimizowani)'!$F$2:$F$4580,B196,'Uczniowie (zanonimizowani)'!$K$2:$K$4580,"NIE"),"")</f>
        <v>0.737357142857143</v>
      </c>
      <c r="I196" s="7" t="n">
        <f aca="false">IFERROR(H196-G196,"")</f>
        <v>0</v>
      </c>
    </row>
    <row r="197" customFormat="false" ht="15" hidden="false" customHeight="false" outlineLevel="0" collapsed="false">
      <c r="A197" s="5" t="s">
        <v>55</v>
      </c>
      <c r="B197" s="5" t="s">
        <v>40</v>
      </c>
      <c r="C197" s="5" t="s">
        <v>41</v>
      </c>
      <c r="D197" s="5" t="n">
        <f aca="false">COUNTIFS('Uczniowie (zanonimizowani)'!$B$2:$B$4580,C197,'Uczniowie (zanonimizowani)'!$E$2:$E$4580,A197,'Uczniowie (zanonimizowani)'!$F$2:$F$4580,B197)</f>
        <v>20</v>
      </c>
      <c r="E197" s="5" t="n">
        <f aca="false">COUNTIFS('Uczniowie (zanonimizowani)'!$B$2:$B$4580,C197,'Uczniowie (zanonimizowani)'!$E$2:$E$4580,A197,'Uczniowie (zanonimizowani)'!$F$2:$F$4580,B197,'Uczniowie (zanonimizowani)'!$K$2:$K$4580,"TAK")</f>
        <v>0</v>
      </c>
      <c r="F197" s="7" t="n">
        <f aca="false">IFERROR(E197/D197,"")</f>
        <v>0</v>
      </c>
      <c r="G197" s="7" t="n">
        <f aca="false">IFERROR(AVERAGEIFS('Uczniowie (zanonimizowani)'!$I$2:$I$4580,'Uczniowie (zanonimizowani)'!$B$2:$B$4580,C197,'Uczniowie (zanonimizowani)'!$E$2:$E$4580,A197,'Uczniowie (zanonimizowani)'!$F$2:$F$4580,B197),"")</f>
        <v>0.582517482517483</v>
      </c>
      <c r="H197" s="7" t="n">
        <f aca="false">IFERROR(AVERAGEIFS('Uczniowie (zanonimizowani)'!$I$2:$I$4580,'Uczniowie (zanonimizowani)'!$B$2:$B$4580,C197,'Uczniowie (zanonimizowani)'!$E$2:$E$4580,A197,'Uczniowie (zanonimizowani)'!$F$2:$F$4580,B197,'Uczniowie (zanonimizowani)'!$K$2:$K$4580,"NIE"),"")</f>
        <v>0.582517482517483</v>
      </c>
      <c r="I197" s="7" t="n">
        <f aca="false">IFERROR(H197-G197,"")</f>
        <v>0</v>
      </c>
    </row>
    <row r="198" customFormat="false" ht="15" hidden="false" customHeight="false" outlineLevel="0" collapsed="false">
      <c r="A198" s="5" t="s">
        <v>57</v>
      </c>
      <c r="B198" s="5" t="s">
        <v>39</v>
      </c>
      <c r="C198" s="5" t="s">
        <v>86</v>
      </c>
      <c r="D198" s="5" t="n">
        <f aca="false">COUNTIFS('Uczniowie (zanonimizowani)'!$B$2:$B$4580,C198,'Uczniowie (zanonimizowani)'!$E$2:$E$4580,A198,'Uczniowie (zanonimizowani)'!$F$2:$F$4580,B198)</f>
        <v>12</v>
      </c>
      <c r="E198" s="5" t="n">
        <f aca="false">COUNTIFS('Uczniowie (zanonimizowani)'!$B$2:$B$4580,C198,'Uczniowie (zanonimizowani)'!$E$2:$E$4580,A198,'Uczniowie (zanonimizowani)'!$F$2:$F$4580,B198,'Uczniowie (zanonimizowani)'!$K$2:$K$4580,"TAK")</f>
        <v>1</v>
      </c>
      <c r="F198" s="7" t="n">
        <f aca="false">IFERROR(E198/D198,"")</f>
        <v>0.0833333333333333</v>
      </c>
      <c r="G198" s="7" t="n">
        <f aca="false">IFERROR(AVERAGEIFS('Uczniowie (zanonimizowani)'!$I$2:$I$4580,'Uczniowie (zanonimizowani)'!$B$2:$B$4580,C198,'Uczniowie (zanonimizowani)'!$E$2:$E$4580,A198,'Uczniowie (zanonimizowani)'!$F$2:$F$4580,B198),"")</f>
        <v>0.683734780533825</v>
      </c>
      <c r="H198" s="7" t="n">
        <f aca="false">IFERROR(AVERAGEIFS('Uczniowie (zanonimizowani)'!$I$2:$I$4580,'Uczniowie (zanonimizowani)'!$B$2:$B$4580,C198,'Uczniowie (zanonimizowani)'!$E$2:$E$4580,A198,'Uczniowie (zanonimizowani)'!$F$2:$F$4580,B198,'Uczniowie (zanonimizowani)'!$K$2:$K$4580,"NIE"),"")</f>
        <v>0.705201737557344</v>
      </c>
      <c r="I198" s="7" t="n">
        <f aca="false">IFERROR(H198-G198,"")</f>
        <v>0.0214669570235195</v>
      </c>
    </row>
    <row r="199" customFormat="false" ht="15" hidden="false" customHeight="false" outlineLevel="0" collapsed="false">
      <c r="A199" s="5" t="s">
        <v>57</v>
      </c>
      <c r="B199" s="5" t="s">
        <v>40</v>
      </c>
      <c r="C199" s="5" t="s">
        <v>86</v>
      </c>
      <c r="D199" s="5" t="n">
        <f aca="false">COUNTIFS('Uczniowie (zanonimizowani)'!$B$2:$B$4580,C199,'Uczniowie (zanonimizowani)'!$E$2:$E$4580,A199,'Uczniowie (zanonimizowani)'!$F$2:$F$4580,B199)</f>
        <v>12</v>
      </c>
      <c r="E199" s="5" t="n">
        <f aca="false">COUNTIFS('Uczniowie (zanonimizowani)'!$B$2:$B$4580,C199,'Uczniowie (zanonimizowani)'!$E$2:$E$4580,A199,'Uczniowie (zanonimizowani)'!$F$2:$F$4580,B199,'Uczniowie (zanonimizowani)'!$K$2:$K$4580,"TAK")</f>
        <v>0</v>
      </c>
      <c r="F199" s="7" t="n">
        <f aca="false">IFERROR(E199/D199,"")</f>
        <v>0</v>
      </c>
      <c r="G199" s="7" t="n">
        <f aca="false">IFERROR(AVERAGEIFS('Uczniowie (zanonimizowani)'!$I$2:$I$4580,'Uczniowie (zanonimizowani)'!$B$2:$B$4580,C199,'Uczniowie (zanonimizowani)'!$E$2:$E$4580,A199,'Uczniowie (zanonimizowani)'!$F$2:$F$4580,B199),"")</f>
        <v>0.623252814299201</v>
      </c>
      <c r="H199" s="7" t="n">
        <f aca="false">IFERROR(AVERAGEIFS('Uczniowie (zanonimizowani)'!$I$2:$I$4580,'Uczniowie (zanonimizowani)'!$B$2:$B$4580,C199,'Uczniowie (zanonimizowani)'!$E$2:$E$4580,A199,'Uczniowie (zanonimizowani)'!$F$2:$F$4580,B199,'Uczniowie (zanonimizowani)'!$K$2:$K$4580,"NIE"),"")</f>
        <v>0.623252814299201</v>
      </c>
      <c r="I199" s="7" t="n">
        <f aca="false">IFERROR(H199-G199,"")</f>
        <v>0</v>
      </c>
    </row>
    <row r="200" customFormat="false" ht="15" hidden="false" customHeight="false" outlineLevel="0" collapsed="false">
      <c r="A200" s="5" t="s">
        <v>89</v>
      </c>
      <c r="B200" s="5" t="s">
        <v>39</v>
      </c>
      <c r="C200" s="5" t="s">
        <v>86</v>
      </c>
      <c r="D200" s="5" t="n">
        <f aca="false">COUNTIFS('Uczniowie (zanonimizowani)'!$B$2:$B$4580,C200,'Uczniowie (zanonimizowani)'!$E$2:$E$4580,A200,'Uczniowie (zanonimizowani)'!$F$2:$F$4580,B200)</f>
        <v>19</v>
      </c>
      <c r="E200" s="5" t="n">
        <f aca="false">COUNTIFS('Uczniowie (zanonimizowani)'!$B$2:$B$4580,C200,'Uczniowie (zanonimizowani)'!$E$2:$E$4580,A200,'Uczniowie (zanonimizowani)'!$F$2:$F$4580,B200,'Uczniowie (zanonimizowani)'!$K$2:$K$4580,"TAK")</f>
        <v>0</v>
      </c>
      <c r="F200" s="7" t="n">
        <f aca="false">IFERROR(E200/D200,"")</f>
        <v>0</v>
      </c>
      <c r="G200" s="7" t="n">
        <f aca="false">IFERROR(AVERAGEIFS('Uczniowie (zanonimizowani)'!$I$2:$I$4580,'Uczniowie (zanonimizowani)'!$B$2:$B$4580,C200,'Uczniowie (zanonimizowani)'!$E$2:$E$4580,A200,'Uczniowie (zanonimizowani)'!$F$2:$F$4580,B200),"")</f>
        <v>0.753798905810644</v>
      </c>
      <c r="H200" s="7" t="n">
        <f aca="false">IFERROR(AVERAGEIFS('Uczniowie (zanonimizowani)'!$I$2:$I$4580,'Uczniowie (zanonimizowani)'!$B$2:$B$4580,C200,'Uczniowie (zanonimizowani)'!$E$2:$E$4580,A200,'Uczniowie (zanonimizowani)'!$F$2:$F$4580,B200,'Uczniowie (zanonimizowani)'!$K$2:$K$4580,"NIE"),"")</f>
        <v>0.753798905810644</v>
      </c>
      <c r="I200" s="7" t="n">
        <f aca="false">IFERROR(H200-G200,"")</f>
        <v>0</v>
      </c>
    </row>
    <row r="201" customFormat="false" ht="15" hidden="false" customHeight="false" outlineLevel="0" collapsed="false">
      <c r="A201" s="5" t="s">
        <v>89</v>
      </c>
      <c r="B201" s="5" t="s">
        <v>40</v>
      </c>
      <c r="C201" s="5" t="s">
        <v>86</v>
      </c>
      <c r="D201" s="5" t="n">
        <f aca="false">COUNTIFS('Uczniowie (zanonimizowani)'!$B$2:$B$4580,C201,'Uczniowie (zanonimizowani)'!$E$2:$E$4580,A201,'Uczniowie (zanonimizowani)'!$F$2:$F$4580,B201)</f>
        <v>19</v>
      </c>
      <c r="E201" s="5" t="n">
        <f aca="false">COUNTIFS('Uczniowie (zanonimizowani)'!$B$2:$B$4580,C201,'Uczniowie (zanonimizowani)'!$E$2:$E$4580,A201,'Uczniowie (zanonimizowani)'!$F$2:$F$4580,B201,'Uczniowie (zanonimizowani)'!$K$2:$K$4580,"TAK")</f>
        <v>1</v>
      </c>
      <c r="F201" s="7" t="n">
        <f aca="false">IFERROR(E201/D201,"")</f>
        <v>0.0526315789473684</v>
      </c>
      <c r="G201" s="7" t="n">
        <f aca="false">IFERROR(AVERAGEIFS('Uczniowie (zanonimizowani)'!$I$2:$I$4580,'Uczniowie (zanonimizowani)'!$B$2:$B$4580,C201,'Uczniowie (zanonimizowani)'!$E$2:$E$4580,A201,'Uczniowie (zanonimizowani)'!$F$2:$F$4580,B201),"")</f>
        <v>0.533549181323353</v>
      </c>
      <c r="H201" s="7" t="n">
        <f aca="false">IFERROR(AVERAGEIFS('Uczniowie (zanonimizowani)'!$I$2:$I$4580,'Uczniowie (zanonimizowani)'!$B$2:$B$4580,C201,'Uczniowie (zanonimizowani)'!$E$2:$E$4580,A201,'Uczniowie (zanonimizowani)'!$F$2:$F$4580,B201,'Uczniowie (zanonimizowani)'!$K$2:$K$4580,"NIE"),"")</f>
        <v>0.563190802507983</v>
      </c>
      <c r="I201" s="7" t="n">
        <f aca="false">IFERROR(H201-G201,"")</f>
        <v>0.0296416211846307</v>
      </c>
    </row>
    <row r="202" customFormat="false" ht="15" hidden="false" customHeight="false" outlineLevel="0" collapsed="false">
      <c r="A202" s="5" t="s">
        <v>57</v>
      </c>
      <c r="B202" s="5" t="s">
        <v>39</v>
      </c>
      <c r="C202" s="5" t="s">
        <v>56</v>
      </c>
      <c r="D202" s="5" t="n">
        <f aca="false">COUNTIFS('Uczniowie (zanonimizowani)'!$B$2:$B$4580,C202,'Uczniowie (zanonimizowani)'!$E$2:$E$4580,A202,'Uczniowie (zanonimizowani)'!$F$2:$F$4580,B202)</f>
        <v>29</v>
      </c>
      <c r="E202" s="5" t="n">
        <f aca="false">COUNTIFS('Uczniowie (zanonimizowani)'!$B$2:$B$4580,C202,'Uczniowie (zanonimizowani)'!$E$2:$E$4580,A202,'Uczniowie (zanonimizowani)'!$F$2:$F$4580,B202,'Uczniowie (zanonimizowani)'!$K$2:$K$4580,"TAK")</f>
        <v>0</v>
      </c>
      <c r="F202" s="7" t="n">
        <f aca="false">IFERROR(E202/D202,"")</f>
        <v>0</v>
      </c>
      <c r="G202" s="7" t="n">
        <f aca="false">IFERROR(AVERAGEIFS('Uczniowie (zanonimizowani)'!$I$2:$I$4580,'Uczniowie (zanonimizowani)'!$B$2:$B$4580,C202,'Uczniowie (zanonimizowani)'!$E$2:$E$4580,A202,'Uczniowie (zanonimizowani)'!$F$2:$F$4580,B202),"")</f>
        <v>0.671795112351228</v>
      </c>
      <c r="H202" s="7" t="n">
        <f aca="false">IFERROR(AVERAGEIFS('Uczniowie (zanonimizowani)'!$I$2:$I$4580,'Uczniowie (zanonimizowani)'!$B$2:$B$4580,C202,'Uczniowie (zanonimizowani)'!$E$2:$E$4580,A202,'Uczniowie (zanonimizowani)'!$F$2:$F$4580,B202,'Uczniowie (zanonimizowani)'!$K$2:$K$4580,"NIE"),"")</f>
        <v>0.671795112351228</v>
      </c>
      <c r="I202" s="7" t="n">
        <f aca="false">IFERROR(H202-G202,"")</f>
        <v>0</v>
      </c>
    </row>
    <row r="203" customFormat="false" ht="15" hidden="false" customHeight="false" outlineLevel="0" collapsed="false">
      <c r="A203" s="5" t="s">
        <v>57</v>
      </c>
      <c r="B203" s="5" t="s">
        <v>40</v>
      </c>
      <c r="C203" s="5" t="s">
        <v>56</v>
      </c>
      <c r="D203" s="5" t="n">
        <f aca="false">COUNTIFS('Uczniowie (zanonimizowani)'!$B$2:$B$4580,C203,'Uczniowie (zanonimizowani)'!$E$2:$E$4580,A203,'Uczniowie (zanonimizowani)'!$F$2:$F$4580,B203)</f>
        <v>29</v>
      </c>
      <c r="E203" s="5" t="n">
        <f aca="false">COUNTIFS('Uczniowie (zanonimizowani)'!$B$2:$B$4580,C203,'Uczniowie (zanonimizowani)'!$E$2:$E$4580,A203,'Uczniowie (zanonimizowani)'!$F$2:$F$4580,B203,'Uczniowie (zanonimizowani)'!$K$2:$K$4580,"TAK")</f>
        <v>0</v>
      </c>
      <c r="F203" s="7" t="n">
        <f aca="false">IFERROR(E203/D203,"")</f>
        <v>0</v>
      </c>
      <c r="G203" s="7" t="n">
        <f aca="false">IFERROR(AVERAGEIFS('Uczniowie (zanonimizowani)'!$I$2:$I$4580,'Uczniowie (zanonimizowani)'!$B$2:$B$4580,C203,'Uczniowie (zanonimizowani)'!$E$2:$E$4580,A203,'Uczniowie (zanonimizowani)'!$F$2:$F$4580,B203),"")</f>
        <v>0.549367582709662</v>
      </c>
      <c r="H203" s="7" t="n">
        <f aca="false">IFERROR(AVERAGEIFS('Uczniowie (zanonimizowani)'!$I$2:$I$4580,'Uczniowie (zanonimizowani)'!$B$2:$B$4580,C203,'Uczniowie (zanonimizowani)'!$E$2:$E$4580,A203,'Uczniowie (zanonimizowani)'!$F$2:$F$4580,B203,'Uczniowie (zanonimizowani)'!$K$2:$K$4580,"NIE"),"")</f>
        <v>0.549367582709662</v>
      </c>
      <c r="I203" s="7" t="n">
        <f aca="false">IFERROR(H203-G203,"")</f>
        <v>0</v>
      </c>
    </row>
    <row r="204" customFormat="false" ht="15" hidden="false" customHeight="false" outlineLevel="0" collapsed="false">
      <c r="A204" s="5" t="s">
        <v>89</v>
      </c>
      <c r="B204" s="5" t="s">
        <v>39</v>
      </c>
      <c r="C204" s="5" t="s">
        <v>56</v>
      </c>
      <c r="D204" s="5" t="n">
        <f aca="false">COUNTIFS('Uczniowie (zanonimizowani)'!$B$2:$B$4580,C204,'Uczniowie (zanonimizowani)'!$E$2:$E$4580,A204,'Uczniowie (zanonimizowani)'!$F$2:$F$4580,B204)</f>
        <v>24</v>
      </c>
      <c r="E204" s="5" t="n">
        <f aca="false">COUNTIFS('Uczniowie (zanonimizowani)'!$B$2:$B$4580,C204,'Uczniowie (zanonimizowani)'!$E$2:$E$4580,A204,'Uczniowie (zanonimizowani)'!$F$2:$F$4580,B204,'Uczniowie (zanonimizowani)'!$K$2:$K$4580,"TAK")</f>
        <v>0</v>
      </c>
      <c r="F204" s="7" t="n">
        <f aca="false">IFERROR(E204/D204,"")</f>
        <v>0</v>
      </c>
      <c r="G204" s="7" t="n">
        <f aca="false">IFERROR(AVERAGEIFS('Uczniowie (zanonimizowani)'!$I$2:$I$4580,'Uczniowie (zanonimizowani)'!$B$2:$B$4580,C204,'Uczniowie (zanonimizowani)'!$E$2:$E$4580,A204,'Uczniowie (zanonimizowani)'!$F$2:$F$4580,B204),"")</f>
        <v>0.739591881885024</v>
      </c>
      <c r="H204" s="7" t="n">
        <f aca="false">IFERROR(AVERAGEIFS('Uczniowie (zanonimizowani)'!$I$2:$I$4580,'Uczniowie (zanonimizowani)'!$B$2:$B$4580,C204,'Uczniowie (zanonimizowani)'!$E$2:$E$4580,A204,'Uczniowie (zanonimizowani)'!$F$2:$F$4580,B204,'Uczniowie (zanonimizowani)'!$K$2:$K$4580,"NIE"),"")</f>
        <v>0.739591881885024</v>
      </c>
      <c r="I204" s="7" t="n">
        <f aca="false">IFERROR(H204-G204,"")</f>
        <v>0</v>
      </c>
    </row>
    <row r="205" customFormat="false" ht="15" hidden="false" customHeight="false" outlineLevel="0" collapsed="false">
      <c r="A205" s="5" t="s">
        <v>89</v>
      </c>
      <c r="B205" s="5" t="s">
        <v>40</v>
      </c>
      <c r="C205" s="5" t="s">
        <v>56</v>
      </c>
      <c r="D205" s="5" t="n">
        <f aca="false">COUNTIFS('Uczniowie (zanonimizowani)'!$B$2:$B$4580,C205,'Uczniowie (zanonimizowani)'!$E$2:$E$4580,A205,'Uczniowie (zanonimizowani)'!$F$2:$F$4580,B205)</f>
        <v>24</v>
      </c>
      <c r="E205" s="5" t="n">
        <f aca="false">COUNTIFS('Uczniowie (zanonimizowani)'!$B$2:$B$4580,C205,'Uczniowie (zanonimizowani)'!$E$2:$E$4580,A205,'Uczniowie (zanonimizowani)'!$F$2:$F$4580,B205,'Uczniowie (zanonimizowani)'!$K$2:$K$4580,"TAK")</f>
        <v>0</v>
      </c>
      <c r="F205" s="7" t="n">
        <f aca="false">IFERROR(E205/D205,"")</f>
        <v>0</v>
      </c>
      <c r="G205" s="7" t="n">
        <f aca="false">IFERROR(AVERAGEIFS('Uczniowie (zanonimizowani)'!$I$2:$I$4580,'Uczniowie (zanonimizowani)'!$B$2:$B$4580,C205,'Uczniowie (zanonimizowani)'!$E$2:$E$4580,A205,'Uczniowie (zanonimizowani)'!$F$2:$F$4580,B205),"")</f>
        <v>0.590575599425157</v>
      </c>
      <c r="H205" s="7" t="n">
        <f aca="false">IFERROR(AVERAGEIFS('Uczniowie (zanonimizowani)'!$I$2:$I$4580,'Uczniowie (zanonimizowani)'!$B$2:$B$4580,C205,'Uczniowie (zanonimizowani)'!$E$2:$E$4580,A205,'Uczniowie (zanonimizowani)'!$F$2:$F$4580,B205,'Uczniowie (zanonimizowani)'!$K$2:$K$4580,"NIE"),"")</f>
        <v>0.590575599425157</v>
      </c>
      <c r="I205" s="7" t="n">
        <f aca="false">IFERROR(H205-G205,"")</f>
        <v>0</v>
      </c>
    </row>
    <row r="206" customFormat="false" ht="15" hidden="false" customHeight="false" outlineLevel="0" collapsed="false">
      <c r="A206" s="5" t="s">
        <v>57</v>
      </c>
      <c r="B206" s="5" t="s">
        <v>39</v>
      </c>
      <c r="C206" s="5" t="s">
        <v>62</v>
      </c>
      <c r="D206" s="5" t="n">
        <f aca="false">COUNTIFS('Uczniowie (zanonimizowani)'!$B$2:$B$4580,C206,'Uczniowie (zanonimizowani)'!$E$2:$E$4580,A206,'Uczniowie (zanonimizowani)'!$F$2:$F$4580,B206)</f>
        <v>22</v>
      </c>
      <c r="E206" s="5" t="n">
        <f aca="false">COUNTIFS('Uczniowie (zanonimizowani)'!$B$2:$B$4580,C206,'Uczniowie (zanonimizowani)'!$E$2:$E$4580,A206,'Uczniowie (zanonimizowani)'!$F$2:$F$4580,B206,'Uczniowie (zanonimizowani)'!$K$2:$K$4580,"TAK")</f>
        <v>1</v>
      </c>
      <c r="F206" s="7" t="n">
        <f aca="false">IFERROR(E206/D206,"")</f>
        <v>0.0454545454545455</v>
      </c>
      <c r="G206" s="7" t="n">
        <f aca="false">IFERROR(AVERAGEIFS('Uczniowie (zanonimizowani)'!$I$2:$I$4580,'Uczniowie (zanonimizowani)'!$B$2:$B$4580,C206,'Uczniowie (zanonimizowani)'!$E$2:$E$4580,A206,'Uczniowie (zanonimizowani)'!$F$2:$F$4580,B206),"")</f>
        <v>0.82220833703605</v>
      </c>
      <c r="H206" s="7" t="n">
        <f aca="false">IFERROR(AVERAGEIFS('Uczniowie (zanonimizowani)'!$I$2:$I$4580,'Uczniowie (zanonimizowani)'!$B$2:$B$4580,C206,'Uczniowie (zanonimizowani)'!$E$2:$E$4580,A206,'Uczniowie (zanonimizowani)'!$F$2:$F$4580,B206,'Uczniowie (zanonimizowani)'!$K$2:$K$4580,"NIE"),"")</f>
        <v>0.835194688823721</v>
      </c>
      <c r="I206" s="7" t="n">
        <f aca="false">IFERROR(H206-G206,"")</f>
        <v>0.0129863517876714</v>
      </c>
    </row>
    <row r="207" customFormat="false" ht="15" hidden="false" customHeight="false" outlineLevel="0" collapsed="false">
      <c r="A207" s="5" t="s">
        <v>57</v>
      </c>
      <c r="B207" s="5" t="s">
        <v>40</v>
      </c>
      <c r="C207" s="5" t="s">
        <v>62</v>
      </c>
      <c r="D207" s="5" t="n">
        <f aca="false">COUNTIFS('Uczniowie (zanonimizowani)'!$B$2:$B$4580,C207,'Uczniowie (zanonimizowani)'!$E$2:$E$4580,A207,'Uczniowie (zanonimizowani)'!$F$2:$F$4580,B207)</f>
        <v>22</v>
      </c>
      <c r="E207" s="5" t="n">
        <f aca="false">COUNTIFS('Uczniowie (zanonimizowani)'!$B$2:$B$4580,C207,'Uczniowie (zanonimizowani)'!$E$2:$E$4580,A207,'Uczniowie (zanonimizowani)'!$F$2:$F$4580,B207,'Uczniowie (zanonimizowani)'!$K$2:$K$4580,"TAK")</f>
        <v>1</v>
      </c>
      <c r="F207" s="7" t="n">
        <f aca="false">IFERROR(E207/D207,"")</f>
        <v>0.0454545454545455</v>
      </c>
      <c r="G207" s="7" t="n">
        <f aca="false">IFERROR(AVERAGEIFS('Uczniowie (zanonimizowani)'!$I$2:$I$4580,'Uczniowie (zanonimizowani)'!$B$2:$B$4580,C207,'Uczniowie (zanonimizowani)'!$E$2:$E$4580,A207,'Uczniowie (zanonimizowani)'!$F$2:$F$4580,B207),"")</f>
        <v>0.614095630800843</v>
      </c>
      <c r="H207" s="7" t="n">
        <f aca="false">IFERROR(AVERAGEIFS('Uczniowie (zanonimizowani)'!$I$2:$I$4580,'Uczniowie (zanonimizowani)'!$B$2:$B$4580,C207,'Uczniowie (zanonimizowani)'!$E$2:$E$4580,A207,'Uczniowie (zanonimizowani)'!$F$2:$F$4580,B207,'Uczniowie (zanonimizowani)'!$K$2:$K$4580,"NIE"),"")</f>
        <v>0.628448548182707</v>
      </c>
      <c r="I207" s="7" t="n">
        <f aca="false">IFERROR(H207-G207,"")</f>
        <v>0.0143529173818634</v>
      </c>
    </row>
    <row r="208" customFormat="false" ht="15" hidden="false" customHeight="false" outlineLevel="0" collapsed="false">
      <c r="A208" s="5" t="s">
        <v>75</v>
      </c>
      <c r="B208" s="5" t="s">
        <v>39</v>
      </c>
      <c r="C208" s="5" t="s">
        <v>62</v>
      </c>
      <c r="D208" s="5" t="n">
        <f aca="false">COUNTIFS('Uczniowie (zanonimizowani)'!$B$2:$B$4580,C208,'Uczniowie (zanonimizowani)'!$E$2:$E$4580,A208,'Uczniowie (zanonimizowani)'!$F$2:$F$4580,B208)</f>
        <v>18</v>
      </c>
      <c r="E208" s="5" t="n">
        <f aca="false">COUNTIFS('Uczniowie (zanonimizowani)'!$B$2:$B$4580,C208,'Uczniowie (zanonimizowani)'!$E$2:$E$4580,A208,'Uczniowie (zanonimizowani)'!$F$2:$F$4580,B208,'Uczniowie (zanonimizowani)'!$K$2:$K$4580,"TAK")</f>
        <v>0</v>
      </c>
      <c r="F208" s="7" t="n">
        <f aca="false">IFERROR(E208/D208,"")</f>
        <v>0</v>
      </c>
      <c r="G208" s="7" t="n">
        <f aca="false">IFERROR(AVERAGEIFS('Uczniowie (zanonimizowani)'!$I$2:$I$4580,'Uczniowie (zanonimizowani)'!$B$2:$B$4580,C208,'Uczniowie (zanonimizowani)'!$E$2:$E$4580,A208,'Uczniowie (zanonimizowani)'!$F$2:$F$4580,B208),"")</f>
        <v>0.678876678876679</v>
      </c>
      <c r="H208" s="7" t="n">
        <f aca="false">IFERROR(AVERAGEIFS('Uczniowie (zanonimizowani)'!$I$2:$I$4580,'Uczniowie (zanonimizowani)'!$B$2:$B$4580,C208,'Uczniowie (zanonimizowani)'!$E$2:$E$4580,A208,'Uczniowie (zanonimizowani)'!$F$2:$F$4580,B208,'Uczniowie (zanonimizowani)'!$K$2:$K$4580,"NIE"),"")</f>
        <v>0.678876678876679</v>
      </c>
      <c r="I208" s="7" t="n">
        <f aca="false">IFERROR(H208-G208,"")</f>
        <v>0</v>
      </c>
    </row>
    <row r="209" customFormat="false" ht="15" hidden="false" customHeight="false" outlineLevel="0" collapsed="false">
      <c r="A209" s="5" t="s">
        <v>75</v>
      </c>
      <c r="B209" s="5" t="s">
        <v>40</v>
      </c>
      <c r="C209" s="5" t="s">
        <v>62</v>
      </c>
      <c r="D209" s="5" t="n">
        <f aca="false">COUNTIFS('Uczniowie (zanonimizowani)'!$B$2:$B$4580,C209,'Uczniowie (zanonimizowani)'!$E$2:$E$4580,A209,'Uczniowie (zanonimizowani)'!$F$2:$F$4580,B209)</f>
        <v>18</v>
      </c>
      <c r="E209" s="5" t="n">
        <f aca="false">COUNTIFS('Uczniowie (zanonimizowani)'!$B$2:$B$4580,C209,'Uczniowie (zanonimizowani)'!$E$2:$E$4580,A209,'Uczniowie (zanonimizowani)'!$F$2:$F$4580,B209,'Uczniowie (zanonimizowani)'!$K$2:$K$4580,"TAK")</f>
        <v>0</v>
      </c>
      <c r="F209" s="7" t="n">
        <f aca="false">IFERROR(E209/D209,"")</f>
        <v>0</v>
      </c>
      <c r="G209" s="7" t="n">
        <f aca="false">IFERROR(AVERAGEIFS('Uczniowie (zanonimizowani)'!$I$2:$I$4580,'Uczniowie (zanonimizowani)'!$B$2:$B$4580,C209,'Uczniowie (zanonimizowani)'!$E$2:$E$4580,A209,'Uczniowie (zanonimizowani)'!$F$2:$F$4580,B209),"")</f>
        <v>0.450709652742173</v>
      </c>
      <c r="H209" s="7" t="n">
        <f aca="false">IFERROR(AVERAGEIFS('Uczniowie (zanonimizowani)'!$I$2:$I$4580,'Uczniowie (zanonimizowani)'!$B$2:$B$4580,C209,'Uczniowie (zanonimizowani)'!$E$2:$E$4580,A209,'Uczniowie (zanonimizowani)'!$F$2:$F$4580,B209,'Uczniowie (zanonimizowani)'!$K$2:$K$4580,"NIE"),"")</f>
        <v>0.450709652742173</v>
      </c>
      <c r="I209" s="7" t="n">
        <f aca="false">IFERROR(H209-G209,"")</f>
        <v>0</v>
      </c>
    </row>
    <row r="210" customFormat="false" ht="15" hidden="false" customHeight="false" outlineLevel="0" collapsed="false">
      <c r="A210" s="5" t="s">
        <v>89</v>
      </c>
      <c r="B210" s="5" t="s">
        <v>39</v>
      </c>
      <c r="C210" s="5" t="s">
        <v>62</v>
      </c>
      <c r="D210" s="5" t="n">
        <f aca="false">COUNTIFS('Uczniowie (zanonimizowani)'!$B$2:$B$4580,C210,'Uczniowie (zanonimizowani)'!$E$2:$E$4580,A210,'Uczniowie (zanonimizowani)'!$F$2:$F$4580,B210)</f>
        <v>23</v>
      </c>
      <c r="E210" s="5" t="n">
        <f aca="false">COUNTIFS('Uczniowie (zanonimizowani)'!$B$2:$B$4580,C210,'Uczniowie (zanonimizowani)'!$E$2:$E$4580,A210,'Uczniowie (zanonimizowani)'!$F$2:$F$4580,B210,'Uczniowie (zanonimizowani)'!$K$2:$K$4580,"TAK")</f>
        <v>0</v>
      </c>
      <c r="F210" s="7" t="n">
        <f aca="false">IFERROR(E210/D210,"")</f>
        <v>0</v>
      </c>
      <c r="G210" s="7" t="n">
        <f aca="false">IFERROR(AVERAGEIFS('Uczniowie (zanonimizowani)'!$I$2:$I$4580,'Uczniowie (zanonimizowani)'!$B$2:$B$4580,C210,'Uczniowie (zanonimizowani)'!$E$2:$E$4580,A210,'Uczniowie (zanonimizowani)'!$F$2:$F$4580,B210),"")</f>
        <v>0.673596283787933</v>
      </c>
      <c r="H210" s="7" t="n">
        <f aca="false">IFERROR(AVERAGEIFS('Uczniowie (zanonimizowani)'!$I$2:$I$4580,'Uczniowie (zanonimizowani)'!$B$2:$B$4580,C210,'Uczniowie (zanonimizowani)'!$E$2:$E$4580,A210,'Uczniowie (zanonimizowani)'!$F$2:$F$4580,B210,'Uczniowie (zanonimizowani)'!$K$2:$K$4580,"NIE"),"")</f>
        <v>0.673596283787933</v>
      </c>
      <c r="I210" s="7" t="n">
        <f aca="false">IFERROR(H210-G210,"")</f>
        <v>0</v>
      </c>
    </row>
    <row r="211" customFormat="false" ht="15" hidden="false" customHeight="false" outlineLevel="0" collapsed="false">
      <c r="A211" s="5" t="s">
        <v>89</v>
      </c>
      <c r="B211" s="5" t="s">
        <v>40</v>
      </c>
      <c r="C211" s="5" t="s">
        <v>62</v>
      </c>
      <c r="D211" s="5" t="n">
        <f aca="false">COUNTIFS('Uczniowie (zanonimizowani)'!$B$2:$B$4580,C211,'Uczniowie (zanonimizowani)'!$E$2:$E$4580,A211,'Uczniowie (zanonimizowani)'!$F$2:$F$4580,B211)</f>
        <v>23</v>
      </c>
      <c r="E211" s="5" t="n">
        <f aca="false">COUNTIFS('Uczniowie (zanonimizowani)'!$B$2:$B$4580,C211,'Uczniowie (zanonimizowani)'!$E$2:$E$4580,A211,'Uczniowie (zanonimizowani)'!$F$2:$F$4580,B211,'Uczniowie (zanonimizowani)'!$K$2:$K$4580,"TAK")</f>
        <v>0</v>
      </c>
      <c r="F211" s="7" t="n">
        <f aca="false">IFERROR(E211/D211,"")</f>
        <v>0</v>
      </c>
      <c r="G211" s="7" t="n">
        <f aca="false">IFERROR(AVERAGEIFS('Uczniowie (zanonimizowani)'!$I$2:$I$4580,'Uczniowie (zanonimizowani)'!$B$2:$B$4580,C211,'Uczniowie (zanonimizowani)'!$E$2:$E$4580,A211,'Uczniowie (zanonimizowani)'!$F$2:$F$4580,B211),"")</f>
        <v>0.482348909855923</v>
      </c>
      <c r="H211" s="7" t="n">
        <f aca="false">IFERROR(AVERAGEIFS('Uczniowie (zanonimizowani)'!$I$2:$I$4580,'Uczniowie (zanonimizowani)'!$B$2:$B$4580,C211,'Uczniowie (zanonimizowani)'!$E$2:$E$4580,A211,'Uczniowie (zanonimizowani)'!$F$2:$F$4580,B211,'Uczniowie (zanonimizowani)'!$K$2:$K$4580,"NIE"),"")</f>
        <v>0.482348909855923</v>
      </c>
      <c r="I211" s="7" t="n">
        <f aca="false">IFERROR(H211-G211,"")</f>
        <v>0</v>
      </c>
    </row>
    <row r="212" customFormat="false" ht="15" hidden="false" customHeight="false" outlineLevel="0" collapsed="false">
      <c r="A212" s="5" t="s">
        <v>75</v>
      </c>
      <c r="B212" s="5" t="s">
        <v>39</v>
      </c>
      <c r="C212" s="5" t="s">
        <v>81</v>
      </c>
      <c r="D212" s="5" t="n">
        <f aca="false">COUNTIFS('Uczniowie (zanonimizowani)'!$B$2:$B$4580,C212,'Uczniowie (zanonimizowani)'!$E$2:$E$4580,A212,'Uczniowie (zanonimizowani)'!$F$2:$F$4580,B212)</f>
        <v>13</v>
      </c>
      <c r="E212" s="5" t="n">
        <f aca="false">COUNTIFS('Uczniowie (zanonimizowani)'!$B$2:$B$4580,C212,'Uczniowie (zanonimizowani)'!$E$2:$E$4580,A212,'Uczniowie (zanonimizowani)'!$F$2:$F$4580,B212,'Uczniowie (zanonimizowani)'!$K$2:$K$4580,"TAK")</f>
        <v>1</v>
      </c>
      <c r="F212" s="7" t="n">
        <f aca="false">IFERROR(E212/D212,"")</f>
        <v>0.0769230769230769</v>
      </c>
      <c r="G212" s="7" t="n">
        <f aca="false">IFERROR(AVERAGEIFS('Uczniowie (zanonimizowani)'!$I$2:$I$4580,'Uczniowie (zanonimizowani)'!$B$2:$B$4580,C212,'Uczniowie (zanonimizowani)'!$E$2:$E$4580,A212,'Uczniowie (zanonimizowani)'!$F$2:$F$4580,B212),"")</f>
        <v>0.718230219672181</v>
      </c>
      <c r="H212" s="7" t="n">
        <f aca="false">IFERROR(AVERAGEIFS('Uczniowie (zanonimizowani)'!$I$2:$I$4580,'Uczniowie (zanonimizowani)'!$B$2:$B$4580,C212,'Uczniowie (zanonimizowani)'!$E$2:$E$4580,A212,'Uczniowie (zanonimizowani)'!$F$2:$F$4580,B212,'Uczniowie (zanonimizowani)'!$K$2:$K$4580,"NIE"),"")</f>
        <v>0.773136010428729</v>
      </c>
      <c r="I212" s="7" t="n">
        <f aca="false">IFERROR(H212-G212,"")</f>
        <v>0.0549057907565477</v>
      </c>
    </row>
    <row r="213" customFormat="false" ht="15" hidden="false" customHeight="false" outlineLevel="0" collapsed="false">
      <c r="A213" s="5" t="s">
        <v>75</v>
      </c>
      <c r="B213" s="5" t="s">
        <v>40</v>
      </c>
      <c r="C213" s="5" t="s">
        <v>81</v>
      </c>
      <c r="D213" s="5" t="n">
        <f aca="false">COUNTIFS('Uczniowie (zanonimizowani)'!$B$2:$B$4580,C213,'Uczniowie (zanonimizowani)'!$E$2:$E$4580,A213,'Uczniowie (zanonimizowani)'!$F$2:$F$4580,B213)</f>
        <v>13</v>
      </c>
      <c r="E213" s="5" t="n">
        <f aca="false">COUNTIFS('Uczniowie (zanonimizowani)'!$B$2:$B$4580,C213,'Uczniowie (zanonimizowani)'!$E$2:$E$4580,A213,'Uczniowie (zanonimizowani)'!$F$2:$F$4580,B213,'Uczniowie (zanonimizowani)'!$K$2:$K$4580,"TAK")</f>
        <v>2</v>
      </c>
      <c r="F213" s="7" t="n">
        <f aca="false">IFERROR(E213/D213,"")</f>
        <v>0.153846153846154</v>
      </c>
      <c r="G213" s="7" t="n">
        <f aca="false">IFERROR(AVERAGEIFS('Uczniowie (zanonimizowani)'!$I$2:$I$4580,'Uczniowie (zanonimizowani)'!$B$2:$B$4580,C213,'Uczniowie (zanonimizowani)'!$E$2:$E$4580,A213,'Uczniowie (zanonimizowani)'!$F$2:$F$4580,B213),"")</f>
        <v>0.63187616993012</v>
      </c>
      <c r="H213" s="7" t="n">
        <f aca="false">IFERROR(AVERAGEIFS('Uczniowie (zanonimizowani)'!$I$2:$I$4580,'Uczniowie (zanonimizowani)'!$B$2:$B$4580,C213,'Uczniowie (zanonimizowani)'!$E$2:$E$4580,A213,'Uczniowie (zanonimizowani)'!$F$2:$F$4580,B213,'Uczniowie (zanonimizowani)'!$K$2:$K$4580,"NIE"),"")</f>
        <v>0.723115872923195</v>
      </c>
      <c r="I213" s="7" t="n">
        <f aca="false">IFERROR(H213-G213,"")</f>
        <v>0.0912397029930748</v>
      </c>
    </row>
    <row r="214" customFormat="false" ht="15" hidden="false" customHeight="false" outlineLevel="0" collapsed="false">
      <c r="A214" s="5" t="s">
        <v>89</v>
      </c>
      <c r="B214" s="5" t="s">
        <v>39</v>
      </c>
      <c r="C214" s="5" t="s">
        <v>81</v>
      </c>
      <c r="D214" s="5" t="n">
        <f aca="false">COUNTIFS('Uczniowie (zanonimizowani)'!$B$2:$B$4580,C214,'Uczniowie (zanonimizowani)'!$E$2:$E$4580,A214,'Uczniowie (zanonimizowani)'!$F$2:$F$4580,B214)</f>
        <v>23</v>
      </c>
      <c r="E214" s="5" t="n">
        <f aca="false">COUNTIFS('Uczniowie (zanonimizowani)'!$B$2:$B$4580,C214,'Uczniowie (zanonimizowani)'!$E$2:$E$4580,A214,'Uczniowie (zanonimizowani)'!$F$2:$F$4580,B214,'Uczniowie (zanonimizowani)'!$K$2:$K$4580,"TAK")</f>
        <v>1</v>
      </c>
      <c r="F214" s="7" t="n">
        <f aca="false">IFERROR(E214/D214,"")</f>
        <v>0.0434782608695652</v>
      </c>
      <c r="G214" s="7" t="n">
        <f aca="false">IFERROR(AVERAGEIFS('Uczniowie (zanonimizowani)'!$I$2:$I$4580,'Uczniowie (zanonimizowani)'!$B$2:$B$4580,C214,'Uczniowie (zanonimizowani)'!$E$2:$E$4580,A214,'Uczniowie (zanonimizowani)'!$F$2:$F$4580,B214),"")</f>
        <v>0.710963542202125</v>
      </c>
      <c r="H214" s="7" t="n">
        <f aca="false">IFERROR(AVERAGEIFS('Uczniowie (zanonimizowani)'!$I$2:$I$4580,'Uczniowie (zanonimizowani)'!$B$2:$B$4580,C214,'Uczniowie (zanonimizowani)'!$E$2:$E$4580,A214,'Uczniowie (zanonimizowani)'!$F$2:$F$4580,B214,'Uczniowie (zanonimizowani)'!$K$2:$K$4580,"NIE"),"")</f>
        <v>0.740754814322423</v>
      </c>
      <c r="I214" s="7" t="n">
        <f aca="false">IFERROR(H214-G214,"")</f>
        <v>0.0297912721202985</v>
      </c>
    </row>
    <row r="215" customFormat="false" ht="15" hidden="false" customHeight="false" outlineLevel="0" collapsed="false">
      <c r="A215" s="5" t="s">
        <v>89</v>
      </c>
      <c r="B215" s="5" t="s">
        <v>40</v>
      </c>
      <c r="C215" s="5" t="s">
        <v>81</v>
      </c>
      <c r="D215" s="5" t="n">
        <f aca="false">COUNTIFS('Uczniowie (zanonimizowani)'!$B$2:$B$4580,C215,'Uczniowie (zanonimizowani)'!$E$2:$E$4580,A215,'Uczniowie (zanonimizowani)'!$F$2:$F$4580,B215)</f>
        <v>22</v>
      </c>
      <c r="E215" s="5" t="n">
        <f aca="false">COUNTIFS('Uczniowie (zanonimizowani)'!$B$2:$B$4580,C215,'Uczniowie (zanonimizowani)'!$E$2:$E$4580,A215,'Uczniowie (zanonimizowani)'!$F$2:$F$4580,B215,'Uczniowie (zanonimizowani)'!$K$2:$K$4580,"TAK")</f>
        <v>1</v>
      </c>
      <c r="F215" s="7" t="n">
        <f aca="false">IFERROR(E215/D215,"")</f>
        <v>0.0454545454545455</v>
      </c>
      <c r="G215" s="7" t="n">
        <f aca="false">IFERROR(AVERAGEIFS('Uczniowie (zanonimizowani)'!$I$2:$I$4580,'Uczniowie (zanonimizowani)'!$B$2:$B$4580,C215,'Uczniowie (zanonimizowani)'!$E$2:$E$4580,A215,'Uczniowie (zanonimizowani)'!$F$2:$F$4580,B215),"")</f>
        <v>0.603759586397726</v>
      </c>
      <c r="H215" s="7" t="n">
        <f aca="false">IFERROR(AVERAGEIFS('Uczniowie (zanonimizowani)'!$I$2:$I$4580,'Uczniowie (zanonimizowani)'!$B$2:$B$4580,C215,'Uczniowie (zanonimizowani)'!$E$2:$E$4580,A215,'Uczniowie (zanonimizowani)'!$F$2:$F$4580,B215,'Uczniowie (zanonimizowani)'!$K$2:$K$4580,"NIE"),"")</f>
        <v>0.613055919780196</v>
      </c>
      <c r="I215" s="7" t="n">
        <f aca="false">IFERROR(H215-G215,"")</f>
        <v>0.00929633338247005</v>
      </c>
    </row>
    <row r="216" customFormat="false" ht="15" hidden="false" customHeight="false" outlineLevel="0" collapsed="false">
      <c r="A216" s="5" t="s">
        <v>75</v>
      </c>
      <c r="B216" s="5" t="s">
        <v>39</v>
      </c>
      <c r="C216" s="5" t="s">
        <v>87</v>
      </c>
      <c r="D216" s="5" t="n">
        <f aca="false">COUNTIFS('Uczniowie (zanonimizowani)'!$B$2:$B$4580,C216,'Uczniowie (zanonimizowani)'!$E$2:$E$4580,A216,'Uczniowie (zanonimizowani)'!$F$2:$F$4580,B216)</f>
        <v>12</v>
      </c>
      <c r="E216" s="5" t="n">
        <f aca="false">COUNTIFS('Uczniowie (zanonimizowani)'!$B$2:$B$4580,C216,'Uczniowie (zanonimizowani)'!$E$2:$E$4580,A216,'Uczniowie (zanonimizowani)'!$F$2:$F$4580,B216,'Uczniowie (zanonimizowani)'!$K$2:$K$4580,"TAK")</f>
        <v>1</v>
      </c>
      <c r="F216" s="7" t="n">
        <f aca="false">IFERROR(E216/D216,"")</f>
        <v>0.0833333333333333</v>
      </c>
      <c r="G216" s="7" t="n">
        <f aca="false">IFERROR(AVERAGEIFS('Uczniowie (zanonimizowani)'!$I$2:$I$4580,'Uczniowie (zanonimizowani)'!$B$2:$B$4580,C216,'Uczniowie (zanonimizowani)'!$E$2:$E$4580,A216,'Uczniowie (zanonimizowani)'!$F$2:$F$4580,B216),"")</f>
        <v>0.766583081040762</v>
      </c>
      <c r="H216" s="7" t="n">
        <f aca="false">IFERROR(AVERAGEIFS('Uczniowie (zanonimizowani)'!$I$2:$I$4580,'Uczniowie (zanonimizowani)'!$B$2:$B$4580,C216,'Uczniowie (zanonimizowani)'!$E$2:$E$4580,A216,'Uczniowie (zanonimizowani)'!$F$2:$F$4580,B216,'Uczniowie (zanonimizowani)'!$K$2:$K$4580,"NIE"),"")</f>
        <v>0.789968288917874</v>
      </c>
      <c r="I216" s="7" t="n">
        <f aca="false">IFERROR(H216-G216,"")</f>
        <v>0.0233852078771126</v>
      </c>
    </row>
    <row r="217" customFormat="false" ht="15" hidden="false" customHeight="false" outlineLevel="0" collapsed="false">
      <c r="A217" s="5" t="s">
        <v>75</v>
      </c>
      <c r="B217" s="5" t="s">
        <v>40</v>
      </c>
      <c r="C217" s="5" t="s">
        <v>87</v>
      </c>
      <c r="D217" s="5" t="n">
        <f aca="false">COUNTIFS('Uczniowie (zanonimizowani)'!$B$2:$B$4580,C217,'Uczniowie (zanonimizowani)'!$E$2:$E$4580,A217,'Uczniowie (zanonimizowani)'!$F$2:$F$4580,B217)</f>
        <v>12</v>
      </c>
      <c r="E217" s="5" t="n">
        <f aca="false">COUNTIFS('Uczniowie (zanonimizowani)'!$B$2:$B$4580,C217,'Uczniowie (zanonimizowani)'!$E$2:$E$4580,A217,'Uczniowie (zanonimizowani)'!$F$2:$F$4580,B217,'Uczniowie (zanonimizowani)'!$K$2:$K$4580,"TAK")</f>
        <v>1</v>
      </c>
      <c r="F217" s="7" t="n">
        <f aca="false">IFERROR(E217/D217,"")</f>
        <v>0.0833333333333333</v>
      </c>
      <c r="G217" s="7" t="n">
        <f aca="false">IFERROR(AVERAGEIFS('Uczniowie (zanonimizowani)'!$I$2:$I$4580,'Uczniowie (zanonimizowani)'!$B$2:$B$4580,C217,'Uczniowie (zanonimizowani)'!$E$2:$E$4580,A217,'Uczniowie (zanonimizowani)'!$F$2:$F$4580,B217),"")</f>
        <v>0.607720437197694</v>
      </c>
      <c r="H217" s="7" t="n">
        <f aca="false">IFERROR(AVERAGEIFS('Uczniowie (zanonimizowani)'!$I$2:$I$4580,'Uczniowie (zanonimizowani)'!$B$2:$B$4580,C217,'Uczniowie (zanonimizowani)'!$E$2:$E$4580,A217,'Uczniowie (zanonimizowani)'!$F$2:$F$4580,B217,'Uczniowie (zanonimizowani)'!$K$2:$K$4580,"NIE"),"")</f>
        <v>0.640444004758407</v>
      </c>
      <c r="I217" s="7" t="n">
        <f aca="false">IFERROR(H217-G217,"")</f>
        <v>0.032723567560713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2026-08-31T06:33:50Z</dcterms:created>
  <dc:creator>openpyxl</dc:creator>
  <dc:description/>
  <dc:language>en-US</dc:language>
  <cp:lastModifiedBy/>
  <dcterms:modified xsi:type="dcterms:W3CDTF">2026-08-31T06:33:52Z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